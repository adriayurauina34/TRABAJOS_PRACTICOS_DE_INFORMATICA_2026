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SCALITO-08\Downloads\"/>
    </mc:Choice>
  </mc:AlternateContent>
  <xr:revisionPtr revIDLastSave="0" documentId="13_ncr:1_{EA607518-783C-4C68-A259-F5ED96A40863}" xr6:coauthVersionLast="36" xr6:coauthVersionMax="47" xr10:uidLastSave="{00000000-0000-0000-0000-000000000000}"/>
  <bookViews>
    <workbookView xWindow="0" yWindow="0" windowWidth="23040" windowHeight="9060" firstSheet="1" activeTab="10" xr2:uid="{EFCA4101-1B54-4747-970B-F51F426D6C4A}"/>
  </bookViews>
  <sheets>
    <sheet name="EL TIO TECH" sheetId="11" r:id="rId1"/>
    <sheet name="Ejercicio 01" sheetId="1" r:id="rId2"/>
    <sheet name="Ejercicio 02" sheetId="2" r:id="rId3"/>
    <sheet name="Ejercicio 03" sheetId="3" r:id="rId4"/>
    <sheet name="Ejercicio 04" sheetId="4" r:id="rId5"/>
    <sheet name="Ejercicio 05" sheetId="8" r:id="rId6"/>
    <sheet name="Ejercicio 6" sheetId="9" r:id="rId7"/>
    <sheet name="Ejercicio 7" sheetId="5" r:id="rId8"/>
    <sheet name="Ejercicio 8" sheetId="6" r:id="rId9"/>
    <sheet name="Ejercicio 9" sheetId="7" r:id="rId10"/>
    <sheet name="Ejercicio 10" sheetId="10" r:id="rId11"/>
  </sheets>
  <definedNames>
    <definedName name="_xlnm._FilterDatabase" localSheetId="1" hidden="1">'Ejercicio 01'!$A$2:$J$278</definedName>
    <definedName name="_xlnm._FilterDatabase" localSheetId="2" hidden="1">'Ejercicio 02'!$A$1:$I$610</definedName>
    <definedName name="_xlnm._FilterDatabase" localSheetId="3" hidden="1">'Ejercicio 03'!$A$1:$J$610</definedName>
    <definedName name="_xlnm._FilterDatabase" localSheetId="4" hidden="1">'Ejercicio 04'!$A$1:$J$610</definedName>
    <definedName name="_xlnm._FilterDatabase" localSheetId="5" hidden="1">'Ejercicio 05'!$A$1:$J$610</definedName>
    <definedName name="_xlnm._FilterDatabase" localSheetId="10" hidden="1">'Ejercicio 10'!$B$8:$F$617</definedName>
    <definedName name="_xlnm._FilterDatabase" localSheetId="6" hidden="1">'Ejercicio 6'!$A$2:$D$186</definedName>
    <definedName name="_xlnm._FilterDatabase" localSheetId="7" hidden="1">'Ejercicio 7'!$A$1:$G$28</definedName>
    <definedName name="_xlnm._FilterDatabase" localSheetId="8" hidden="1">'Ejercicio 8'!$A$1:$J$610</definedName>
    <definedName name="_xlnm._FilterDatabase" localSheetId="9" hidden="1">'Ejercicio 9'!$A$1:$J$610</definedName>
    <definedName name="_xlnm.Extract" localSheetId="1">'Ejercicio 01'!$V$120:$AE$120</definedName>
    <definedName name="_xlnm.Extract" localSheetId="2">'Ejercicio 02'!$BF$6</definedName>
    <definedName name="_xlnm.Extract" localSheetId="3">'Ejercicio 03'!$AU$6:$AV$6</definedName>
    <definedName name="_xlnm.Extract" localSheetId="4">'Ejercicio 04'!$BJ$6</definedName>
    <definedName name="_xlnm.Extract" localSheetId="5">'Ejercicio 05'!$AO$5:$AP$5</definedName>
    <definedName name="_xlnm.Extract" localSheetId="10">'Ejercicio 10'!$J$11:$N$11</definedName>
    <definedName name="_xlnm.Extract" localSheetId="6">'Ejercicio 6'!$F$18:$I$18</definedName>
    <definedName name="_xlnm.Extract" localSheetId="7">'Ejercicio 7'!$K$31:$Q$31</definedName>
    <definedName name="_xlnm.Extract" localSheetId="8">'Ejercicio 8'!$M$27:$V$27</definedName>
    <definedName name="_xlnm.Extract" localSheetId="9">'Ejercicio 9'!$C$26:$F$26</definedName>
    <definedName name="_xlnm.Criteria" localSheetId="1">'Ejercicio 01'!$V$117:$X$118</definedName>
    <definedName name="_xlnm.Criteria" localSheetId="2">'Ejercicio 02'!$BD$6:$BD$7</definedName>
    <definedName name="_xlnm.Criteria" localSheetId="3">'Ejercicio 03'!$AR$6:$AS$7</definedName>
    <definedName name="_xlnm.Criteria" localSheetId="4">'Ejercicio 04'!$BF$6:$BH$7</definedName>
    <definedName name="_xlnm.Criteria" localSheetId="5">'Ejercicio 05'!$AM$5:$AM$6</definedName>
    <definedName name="_xlnm.Criteria" localSheetId="10">'Ejercicio 10'!$J$8:$N$9</definedName>
    <definedName name="_xlnm.Criteria" localSheetId="6">'Ejercicio 6'!$I$12:$I$13</definedName>
    <definedName name="_xlnm.Criteria" localSheetId="7">'Ejercicio 7'!$I$26:$I$27</definedName>
    <definedName name="_xlnm.Criteria" localSheetId="8">'Ejercicio 8'!$M$20:$W$22</definedName>
    <definedName name="_xlnm.Criteria" localSheetId="9">'Ejercicio 9'!$C$20:$M$22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9" l="1"/>
  <c r="AM6" i="8"/>
</calcChain>
</file>

<file path=xl/sharedStrings.xml><?xml version="1.0" encoding="utf-8"?>
<sst xmlns="http://schemas.openxmlformats.org/spreadsheetml/2006/main" count="26682" uniqueCount="770">
  <si>
    <t>Código</t>
  </si>
  <si>
    <t>Fecha Venta</t>
  </si>
  <si>
    <t>Cliente</t>
  </si>
  <si>
    <t>País Destinatario</t>
  </si>
  <si>
    <t>Categoría Producto</t>
  </si>
  <si>
    <t>Nombre Producto</t>
  </si>
  <si>
    <t>Precio Unidad</t>
  </si>
  <si>
    <t>Cantidad</t>
  </si>
  <si>
    <t>Importe</t>
  </si>
  <si>
    <t>Forma de Pago</t>
  </si>
  <si>
    <t>CABQ-140</t>
  </si>
  <si>
    <t>Martensen</t>
  </si>
  <si>
    <t>Colombia</t>
  </si>
  <si>
    <t>Lácteos</t>
  </si>
  <si>
    <t>Queso Cabrales</t>
  </si>
  <si>
    <t>Contado</t>
  </si>
  <si>
    <t>CACC-228</t>
  </si>
  <si>
    <t>Bebidas</t>
  </si>
  <si>
    <t>Cerveza tibetana Barley</t>
  </si>
  <si>
    <t>CSBS-420</t>
  </si>
  <si>
    <t>Santander</t>
  </si>
  <si>
    <t>Condimentos</t>
  </si>
  <si>
    <t>Sirope de arce</t>
  </si>
  <si>
    <t>HSBC-155</t>
  </si>
  <si>
    <t>Holanda</t>
  </si>
  <si>
    <t>Cerveza Klosterbier Rhönbräu</t>
  </si>
  <si>
    <t>Crédito</t>
  </si>
  <si>
    <t>HFBC-322</t>
  </si>
  <si>
    <t>Thomas</t>
  </si>
  <si>
    <t>Café de Malasia</t>
  </si>
  <si>
    <t>HSRV-527</t>
  </si>
  <si>
    <t>Star</t>
  </si>
  <si>
    <t>Vino Côte de Blaye</t>
  </si>
  <si>
    <t>HSBM-405</t>
  </si>
  <si>
    <t>Repostería</t>
  </si>
  <si>
    <t>Mermelada de Sir Rodney's</t>
  </si>
  <si>
    <t>CSCL-504</t>
  </si>
  <si>
    <t>Licor verde Chartreuse</t>
  </si>
  <si>
    <t>CALM-150</t>
  </si>
  <si>
    <t>Mermelada de grosellas de la abuela</t>
  </si>
  <si>
    <t>CSRC-020</t>
  </si>
  <si>
    <t>Camembert Pierrot</t>
  </si>
  <si>
    <t>CSBB-300</t>
  </si>
  <si>
    <t>Barras de pan de Escocia</t>
  </si>
  <si>
    <t>ISCC-190</t>
  </si>
  <si>
    <t>Inglaterra</t>
  </si>
  <si>
    <t>IALS-800</t>
  </si>
  <si>
    <t>Salsa de arándanos Northwoods</t>
  </si>
  <si>
    <t>IALC-714</t>
  </si>
  <si>
    <t>ISCQ-60</t>
  </si>
  <si>
    <t>CABS-.32</t>
  </si>
  <si>
    <t>Carnes</t>
  </si>
  <si>
    <t>Salchicha Thüringer</t>
  </si>
  <si>
    <t>CSLC-7.8</t>
  </si>
  <si>
    <t>Cerveza Outback</t>
  </si>
  <si>
    <t>CFBQ-522</t>
  </si>
  <si>
    <t>Queso Mozzarella Giovanni</t>
  </si>
  <si>
    <t>CSCC-7.5</t>
  </si>
  <si>
    <t>IACB-291</t>
  </si>
  <si>
    <t>Buey Mishi Kobe</t>
  </si>
  <si>
    <t>IFBM-0.5</t>
  </si>
  <si>
    <t>Mezcla Gumbo del chef Anton</t>
  </si>
  <si>
    <t>CARC-95</t>
  </si>
  <si>
    <t>CALC-195</t>
  </si>
  <si>
    <t>Chocolate blanco</t>
  </si>
  <si>
    <t>CFRR-310</t>
  </si>
  <si>
    <t>Raclet de queso Courdavault</t>
  </si>
  <si>
    <t>CABC-140</t>
  </si>
  <si>
    <t>Crema de chocolate y nueces NuNuCa</t>
  </si>
  <si>
    <t>ISBC-210</t>
  </si>
  <si>
    <t>Cerveza Laughing Lumberjack</t>
  </si>
  <si>
    <t>IFBC-72</t>
  </si>
  <si>
    <t>Cerveza negra Steeleye</t>
  </si>
  <si>
    <t>CSRC-540</t>
  </si>
  <si>
    <t>CARR-840</t>
  </si>
  <si>
    <t>Regaliz</t>
  </si>
  <si>
    <t>CSBO-4.6</t>
  </si>
  <si>
    <t>Ositos de goma Gumbär</t>
  </si>
  <si>
    <t>ISCT-720</t>
  </si>
  <si>
    <t>Té Dharamsala</t>
  </si>
  <si>
    <t>ISLP-450</t>
  </si>
  <si>
    <t>Paté chino</t>
  </si>
  <si>
    <t>IFRQ-210</t>
  </si>
  <si>
    <t>IACB-250</t>
  </si>
  <si>
    <t>PSCP-240</t>
  </si>
  <si>
    <t>Portugal</t>
  </si>
  <si>
    <t>PACS-.05</t>
  </si>
  <si>
    <t>Salsa de pimiento picante de Luisiana</t>
  </si>
  <si>
    <t>PSRS-.75</t>
  </si>
  <si>
    <t>PSCT-986</t>
  </si>
  <si>
    <t>Tarta de azúcar</t>
  </si>
  <si>
    <t>PSBS-310</t>
  </si>
  <si>
    <t>CFRC-2.5</t>
  </si>
  <si>
    <t>CABP-3.5</t>
  </si>
  <si>
    <t>Postre de merengue Pavlova</t>
  </si>
  <si>
    <t>HSCC-150</t>
  </si>
  <si>
    <t>CSLS-520</t>
  </si>
  <si>
    <t>Salsa verde original Frankfurter</t>
  </si>
  <si>
    <t>CSCQ-7.5</t>
  </si>
  <si>
    <t>Queso gorgonzola Telino</t>
  </si>
  <si>
    <t>CFRS-170</t>
  </si>
  <si>
    <t>PABC-70</t>
  </si>
  <si>
    <t>PARC-380</t>
  </si>
  <si>
    <t>PSLB-225</t>
  </si>
  <si>
    <t>HABQ-30</t>
  </si>
  <si>
    <t>CFBC-45</t>
  </si>
  <si>
    <t>CACT-360</t>
  </si>
  <si>
    <t>CFCS-.05</t>
  </si>
  <si>
    <t>CSRS-240</t>
  </si>
  <si>
    <t>CSCB-250</t>
  </si>
  <si>
    <t>CSLE-660</t>
  </si>
  <si>
    <t>Especias Cajun del chef Anton</t>
  </si>
  <si>
    <t>CSCQ-100</t>
  </si>
  <si>
    <t>Queso de cabra</t>
  </si>
  <si>
    <t>CFBS-.75</t>
  </si>
  <si>
    <t>PSBC-210</t>
  </si>
  <si>
    <t>PSCT-180</t>
  </si>
  <si>
    <t>PSLC-468</t>
  </si>
  <si>
    <t>Cordero Alice Springs</t>
  </si>
  <si>
    <t>HALQ-560</t>
  </si>
  <si>
    <t>HARQ-192</t>
  </si>
  <si>
    <t>Queso Mascarpone Fabioli</t>
  </si>
  <si>
    <t>HALP-4.7</t>
  </si>
  <si>
    <t>CSLC-7.5</t>
  </si>
  <si>
    <t>Crema de queso Fløtemys</t>
  </si>
  <si>
    <t>PSBC-340</t>
  </si>
  <si>
    <t>PFBC-.89</t>
  </si>
  <si>
    <t>CSCR-7.5</t>
  </si>
  <si>
    <t>Refresco Guaraná Fantástica</t>
  </si>
  <si>
    <t>CSRC-585</t>
  </si>
  <si>
    <t>ISLC-390</t>
  </si>
  <si>
    <t>CACQ-84</t>
  </si>
  <si>
    <t>CABP-475</t>
  </si>
  <si>
    <t>PSRL-90</t>
  </si>
  <si>
    <t>Licor Cloudberry</t>
  </si>
  <si>
    <t>PSCG-7.5</t>
  </si>
  <si>
    <t>Galletas Zaanse</t>
  </si>
  <si>
    <t>IFCE-5.6</t>
  </si>
  <si>
    <t>Empanada de carne</t>
  </si>
  <si>
    <t>IABS-855</t>
  </si>
  <si>
    <t>CART-378</t>
  </si>
  <si>
    <t>CSCC-72</t>
  </si>
  <si>
    <t>CSBP-250</t>
  </si>
  <si>
    <t>HALC-280</t>
  </si>
  <si>
    <t>Chop de Cerveza Sasquatch</t>
  </si>
  <si>
    <t>HFCQ-4.8</t>
  </si>
  <si>
    <t>IACS-441</t>
  </si>
  <si>
    <t>ISCS-90</t>
  </si>
  <si>
    <t>ISCP-180</t>
  </si>
  <si>
    <t>PSRP-96</t>
  </si>
  <si>
    <t>PARC-120</t>
  </si>
  <si>
    <t>PSLC-.25</t>
  </si>
  <si>
    <t>IFLR-220</t>
  </si>
  <si>
    <t>IARQ-625</t>
  </si>
  <si>
    <t>IACM-050</t>
  </si>
  <si>
    <t>HSCM-427</t>
  </si>
  <si>
    <t>HALP-180</t>
  </si>
  <si>
    <t>HSBQ-174</t>
  </si>
  <si>
    <t>CABC-155</t>
  </si>
  <si>
    <t>HACL-080</t>
  </si>
  <si>
    <t>CSCS-42</t>
  </si>
  <si>
    <t>CACP-108</t>
  </si>
  <si>
    <t>PABS-280</t>
  </si>
  <si>
    <t>PFBV-810</t>
  </si>
  <si>
    <t>HFCL-180</t>
  </si>
  <si>
    <t>HSLS-195</t>
  </si>
  <si>
    <t>HARQ-630</t>
  </si>
  <si>
    <t>HSCM-215</t>
  </si>
  <si>
    <t>CFLM-000</t>
  </si>
  <si>
    <t>CARQ-315</t>
  </si>
  <si>
    <t>CALC-8.6</t>
  </si>
  <si>
    <t>IABQ-800</t>
  </si>
  <si>
    <t>IFLC-276</t>
  </si>
  <si>
    <t>ISBQ-696</t>
  </si>
  <si>
    <t>PSLR-54</t>
  </si>
  <si>
    <t>PSLC-306</t>
  </si>
  <si>
    <t>PSBQ-342</t>
  </si>
  <si>
    <t>PSRC-90</t>
  </si>
  <si>
    <t>PSLC-56</t>
  </si>
  <si>
    <t>PSRQ-190</t>
  </si>
  <si>
    <t>PFLB-25</t>
  </si>
  <si>
    <t>ISCQ-7.5</t>
  </si>
  <si>
    <t>ISCS-304</t>
  </si>
  <si>
    <t>HSRS-36</t>
  </si>
  <si>
    <t>HSLR-40</t>
  </si>
  <si>
    <t>CARQ-080</t>
  </si>
  <si>
    <t>Queso Gudbrandsdals</t>
  </si>
  <si>
    <t>CSBP-322</t>
  </si>
  <si>
    <t>Pastas de té de chocolate</t>
  </si>
  <si>
    <t>IFLC-380</t>
  </si>
  <si>
    <t>IACQ-120</t>
  </si>
  <si>
    <t>IFLS-.05</t>
  </si>
  <si>
    <t>IALC-075</t>
  </si>
  <si>
    <t>ISRQ-75</t>
  </si>
  <si>
    <t>ISBO-.76</t>
  </si>
  <si>
    <t>PSCC-60</t>
  </si>
  <si>
    <t>CFCA-.75</t>
  </si>
  <si>
    <t>Azúcar negra Malacca</t>
  </si>
  <si>
    <t>CSLS-114</t>
  </si>
  <si>
    <t>CSBQ-152</t>
  </si>
  <si>
    <t>Queso Manchego La Pastora</t>
  </si>
  <si>
    <t>IFCT-450</t>
  </si>
  <si>
    <t>ISBM-0.5</t>
  </si>
  <si>
    <t>CACC-380</t>
  </si>
  <si>
    <t>CABS-285</t>
  </si>
  <si>
    <t>HACC-280</t>
  </si>
  <si>
    <t>ISCP-840</t>
  </si>
  <si>
    <t>ISLS-200</t>
  </si>
  <si>
    <t>ISCC-700</t>
  </si>
  <si>
    <t>CALC-468</t>
  </si>
  <si>
    <t>CSCC-190</t>
  </si>
  <si>
    <t>CABP-180</t>
  </si>
  <si>
    <t>IABC-45</t>
  </si>
  <si>
    <t>CSCC-656</t>
  </si>
  <si>
    <t>CSCS-364</t>
  </si>
  <si>
    <t>CALP-4.8</t>
  </si>
  <si>
    <t>HSBQ-25</t>
  </si>
  <si>
    <t>CARB-940</t>
  </si>
  <si>
    <t>CSLC-8.6</t>
  </si>
  <si>
    <t>CARC-3.5</t>
  </si>
  <si>
    <t>HFRC-371</t>
  </si>
  <si>
    <t>CSRO-6.9</t>
  </si>
  <si>
    <t>HACO-.38</t>
  </si>
  <si>
    <t>IFLE-550</t>
  </si>
  <si>
    <t>CFRC-510</t>
  </si>
  <si>
    <t>IALC-336</t>
  </si>
  <si>
    <t>CFRQ-250</t>
  </si>
  <si>
    <t>CALO-.38</t>
  </si>
  <si>
    <t>ISBC-510</t>
  </si>
  <si>
    <t>CABC-5.5</t>
  </si>
  <si>
    <t>CACT-180</t>
  </si>
  <si>
    <t>HSBS-.75</t>
  </si>
  <si>
    <t>CSRC-855</t>
  </si>
  <si>
    <t>CARC-6.5</t>
  </si>
  <si>
    <t>HSBR-800</t>
  </si>
  <si>
    <t>CFLL-756</t>
  </si>
  <si>
    <t>CSCQ-250</t>
  </si>
  <si>
    <t>CACE-492</t>
  </si>
  <si>
    <t>CSBS-156</t>
  </si>
  <si>
    <t>CFRC-360</t>
  </si>
  <si>
    <t>CFBB-200</t>
  </si>
  <si>
    <t>Bollos de Sir Rodney's</t>
  </si>
  <si>
    <t>PSBR-27</t>
  </si>
  <si>
    <t>PSRC-72</t>
  </si>
  <si>
    <t>PFLP-9.2</t>
  </si>
  <si>
    <t>PFCQ-39</t>
  </si>
  <si>
    <t>PSLP-.34</t>
  </si>
  <si>
    <t>HSBQ-180</t>
  </si>
  <si>
    <t>CSRC-280</t>
  </si>
  <si>
    <t>CFCP-698</t>
  </si>
  <si>
    <t>IFRS-300</t>
  </si>
  <si>
    <t>Sirope de regaliz</t>
  </si>
  <si>
    <t>IFCC-.25</t>
  </si>
  <si>
    <t>CFCA-6.8</t>
  </si>
  <si>
    <t>CSBS-106</t>
  </si>
  <si>
    <t>CFCC-120</t>
  </si>
  <si>
    <t>CFCS-.85</t>
  </si>
  <si>
    <t>CFCM-427</t>
  </si>
  <si>
    <t>CFRS-130</t>
  </si>
  <si>
    <t>CFRR-300</t>
  </si>
  <si>
    <t>CSBM-620</t>
  </si>
  <si>
    <t>CFRC-300</t>
  </si>
  <si>
    <t>CSCP-138</t>
  </si>
  <si>
    <t>PARS-1.5</t>
  </si>
  <si>
    <t>PARC-736</t>
  </si>
  <si>
    <t>PSCB-7.5</t>
  </si>
  <si>
    <t>PSCE-328</t>
  </si>
  <si>
    <t>PSCE-.25</t>
  </si>
  <si>
    <t>Empanada de cerdo</t>
  </si>
  <si>
    <t>PSBS-8.9</t>
  </si>
  <si>
    <t>IABC-450</t>
  </si>
  <si>
    <t>ISBC-196</t>
  </si>
  <si>
    <t>ISRL-108</t>
  </si>
  <si>
    <t>IABC-193</t>
  </si>
  <si>
    <t>ISBC-180</t>
  </si>
  <si>
    <t>PACC-7.5</t>
  </si>
  <si>
    <t>PACE-528</t>
  </si>
  <si>
    <t>PABP-312</t>
  </si>
  <si>
    <t>CABL-900</t>
  </si>
  <si>
    <t>CACC-6.5</t>
  </si>
  <si>
    <t>CSRS-3.6</t>
  </si>
  <si>
    <t>CFBC-140</t>
  </si>
  <si>
    <t>IACR-2.5</t>
  </si>
  <si>
    <t>IALS-7.5</t>
  </si>
  <si>
    <t>IALC-720</t>
  </si>
  <si>
    <t>IARQ-875</t>
  </si>
  <si>
    <t>IALP-7.2</t>
  </si>
  <si>
    <t>IFLQ-080</t>
  </si>
  <si>
    <t>IFCC-7.5</t>
  </si>
  <si>
    <t>PSCS-65</t>
  </si>
  <si>
    <t>PSBS-.25</t>
  </si>
  <si>
    <t>CALV-540</t>
  </si>
  <si>
    <t>CALC-380</t>
  </si>
  <si>
    <t>CARQ-1.6</t>
  </si>
  <si>
    <t>CFBM-972</t>
  </si>
  <si>
    <t>ISBL-360</t>
  </si>
  <si>
    <t>IACC-912</t>
  </si>
  <si>
    <t>CFCS-421</t>
  </si>
  <si>
    <t>CSRS-2.4</t>
  </si>
  <si>
    <t>Sandwich de vegetales</t>
  </si>
  <si>
    <t>CACC-7.2</t>
  </si>
  <si>
    <t>ISLP-760</t>
  </si>
  <si>
    <t>ISRQ-120</t>
  </si>
  <si>
    <t>ISBC-.75</t>
  </si>
  <si>
    <t>CFBR-7.5</t>
  </si>
  <si>
    <t>CFCC-140</t>
  </si>
  <si>
    <t>ISCE-312</t>
  </si>
  <si>
    <t>IALS-140</t>
  </si>
  <si>
    <t>ISBQ-2.5</t>
  </si>
  <si>
    <t>ISCC-630</t>
  </si>
  <si>
    <t>ISRS-.59</t>
  </si>
  <si>
    <t>ISLR-600</t>
  </si>
  <si>
    <t>CACQ-5.2</t>
  </si>
  <si>
    <t>CSCS-95</t>
  </si>
  <si>
    <t>CSRS-6.8</t>
  </si>
  <si>
    <t>HSRC-279</t>
  </si>
  <si>
    <t>HSLB-120</t>
  </si>
  <si>
    <t>CARQ-125</t>
  </si>
  <si>
    <t>CFBP-5.6</t>
  </si>
  <si>
    <t>CSCC-120</t>
  </si>
  <si>
    <t>CARS-300</t>
  </si>
  <si>
    <t>CFCC-12</t>
  </si>
  <si>
    <t>CSCE-492</t>
  </si>
  <si>
    <t>CARS-130</t>
  </si>
  <si>
    <t>CARO-6.9</t>
  </si>
  <si>
    <t>CSLP-6.8</t>
  </si>
  <si>
    <t>CALR-100</t>
  </si>
  <si>
    <t>CSRQ-175</t>
  </si>
  <si>
    <t>PALC-.75</t>
  </si>
  <si>
    <t>PABQ-190</t>
  </si>
  <si>
    <t>ISLC-190</t>
  </si>
  <si>
    <t>ISLQ-252</t>
  </si>
  <si>
    <t>ISCQ-348</t>
  </si>
  <si>
    <t>CSLS-.75</t>
  </si>
  <si>
    <t>CSRC-43</t>
  </si>
  <si>
    <t>CFCP-368</t>
  </si>
  <si>
    <t>HABP-368</t>
  </si>
  <si>
    <t>IARC-375</t>
  </si>
  <si>
    <t>ISBC-.25</t>
  </si>
  <si>
    <t>Chocolate holandés</t>
  </si>
  <si>
    <t>IFCC-189</t>
  </si>
  <si>
    <t>IALS-6</t>
  </si>
  <si>
    <t>CFCQ-210</t>
  </si>
  <si>
    <t>CSRS-60</t>
  </si>
  <si>
    <t>IFCC-900</t>
  </si>
  <si>
    <t>IABP-760</t>
  </si>
  <si>
    <t>IACR-360</t>
  </si>
  <si>
    <t>ISLS-954</t>
  </si>
  <si>
    <t>ISLQ-30</t>
  </si>
  <si>
    <t>ISLC-258</t>
  </si>
  <si>
    <t>CSRC-360</t>
  </si>
  <si>
    <t>CFCR-480</t>
  </si>
  <si>
    <t>IABP-159</t>
  </si>
  <si>
    <t>ISRC-184</t>
  </si>
  <si>
    <t>ISCB-140</t>
  </si>
  <si>
    <t>CSRE-8.8</t>
  </si>
  <si>
    <t>CSBP-46</t>
  </si>
  <si>
    <t>CSLC-140</t>
  </si>
  <si>
    <t>CSBQ-250</t>
  </si>
  <si>
    <t>CFLR-45</t>
  </si>
  <si>
    <t>CFCC-408</t>
  </si>
  <si>
    <t>CARP-108</t>
  </si>
  <si>
    <t>CABG-57</t>
  </si>
  <si>
    <t>IFLC-90</t>
  </si>
  <si>
    <t>IFLQ-42</t>
  </si>
  <si>
    <t>IARR-220</t>
  </si>
  <si>
    <t>HSBC-6.5</t>
  </si>
  <si>
    <t>HSRC-54</t>
  </si>
  <si>
    <t>HACB-750</t>
  </si>
  <si>
    <t>IFBC-975</t>
  </si>
  <si>
    <t>ISLC-468</t>
  </si>
  <si>
    <t>IFRQ-7.9</t>
  </si>
  <si>
    <t>ISLM-215</t>
  </si>
  <si>
    <t>HSCR-750</t>
  </si>
  <si>
    <t>IFRE-408</t>
  </si>
  <si>
    <t>Especias picantes de Luisiana</t>
  </si>
  <si>
    <t>ISBC-.35</t>
  </si>
  <si>
    <t>IFLC-105</t>
  </si>
  <si>
    <t>IALQ-4.8</t>
  </si>
  <si>
    <t>ISRQ-7.5</t>
  </si>
  <si>
    <t>IFRC-48</t>
  </si>
  <si>
    <t>ISRB-150</t>
  </si>
  <si>
    <t>IFBR-120</t>
  </si>
  <si>
    <t>HSBV-054</t>
  </si>
  <si>
    <t>CSLS-7.8</t>
  </si>
  <si>
    <t>IFCQ-768</t>
  </si>
  <si>
    <t>IACS-140</t>
  </si>
  <si>
    <t>PSCC-312</t>
  </si>
  <si>
    <t>PSRS-285</t>
  </si>
  <si>
    <t>PSRP-92</t>
  </si>
  <si>
    <t>PSCB-60</t>
  </si>
  <si>
    <t>ISRE-0.4</t>
  </si>
  <si>
    <t>ISLC-060</t>
  </si>
  <si>
    <t>IABQ-210</t>
  </si>
  <si>
    <t>IFRC-45</t>
  </si>
  <si>
    <t>IACG-7.5</t>
  </si>
  <si>
    <t>CFCP-490</t>
  </si>
  <si>
    <t>CARP-475</t>
  </si>
  <si>
    <t>PSBC-155</t>
  </si>
  <si>
    <t>IACC-360</t>
  </si>
  <si>
    <t>IFBS-117</t>
  </si>
  <si>
    <t>CARC-7.5</t>
  </si>
  <si>
    <t>CSBG-2.5</t>
  </si>
  <si>
    <t>CSCC-360</t>
  </si>
  <si>
    <t>CSRS-260</t>
  </si>
  <si>
    <t>ISCT-493</t>
  </si>
  <si>
    <t>CSCP-480</t>
  </si>
  <si>
    <t>CSRE-440</t>
  </si>
  <si>
    <t>CABT-493</t>
  </si>
  <si>
    <t>IALC-300</t>
  </si>
  <si>
    <t>ISLQ-90</t>
  </si>
  <si>
    <t>IARC-2.5</t>
  </si>
  <si>
    <t>IFBP-46</t>
  </si>
  <si>
    <t>CFRC-380</t>
  </si>
  <si>
    <t>CSCB-225</t>
  </si>
  <si>
    <t>PACS-5.8</t>
  </si>
  <si>
    <t>PSCP-.25</t>
  </si>
  <si>
    <t>CALP-280</t>
  </si>
  <si>
    <t>CFRQ-210</t>
  </si>
  <si>
    <t>CSBC-.25</t>
  </si>
  <si>
    <t>CABC-920</t>
  </si>
  <si>
    <t>CALC-252</t>
  </si>
  <si>
    <t>CSBQ-285</t>
  </si>
  <si>
    <t>PSBC-250</t>
  </si>
  <si>
    <t>CSRL-360</t>
  </si>
  <si>
    <t>CABP-276</t>
  </si>
  <si>
    <t>CSCS-315</t>
  </si>
  <si>
    <t>CSCE-3.5</t>
  </si>
  <si>
    <t>CSBE-820</t>
  </si>
  <si>
    <t>CSBC-6.7</t>
  </si>
  <si>
    <t>CACC-280</t>
  </si>
  <si>
    <t>CSBS-.78</t>
  </si>
  <si>
    <t>CALC-600</t>
  </si>
  <si>
    <t>CSCC-1.6</t>
  </si>
  <si>
    <t>IFBS-45</t>
  </si>
  <si>
    <t>CARC-620</t>
  </si>
  <si>
    <t>CSCG-2.5</t>
  </si>
  <si>
    <t>CSCS-390</t>
  </si>
  <si>
    <t>CSBP-760</t>
  </si>
  <si>
    <t>CARE-132</t>
  </si>
  <si>
    <t>CSBC-306</t>
  </si>
  <si>
    <t>IACC-420</t>
  </si>
  <si>
    <t>ISRP-504</t>
  </si>
  <si>
    <t>IACC-780</t>
  </si>
  <si>
    <t>CARS-600</t>
  </si>
  <si>
    <t>CALC-484</t>
  </si>
  <si>
    <t>CSCC-340</t>
  </si>
  <si>
    <t>HFRS-285</t>
  </si>
  <si>
    <t>HSBB-50</t>
  </si>
  <si>
    <t>CFLC-378</t>
  </si>
  <si>
    <t>CACC-172</t>
  </si>
  <si>
    <t>CACP-144</t>
  </si>
  <si>
    <t>CSCP-28</t>
  </si>
  <si>
    <t>CFLP-5.8</t>
  </si>
  <si>
    <t>IFCQ-105</t>
  </si>
  <si>
    <t>CFCP-288</t>
  </si>
  <si>
    <t>CFCS-.35</t>
  </si>
  <si>
    <t>CABP-0.4</t>
  </si>
  <si>
    <t>CSCL-360</t>
  </si>
  <si>
    <t>CALM-750</t>
  </si>
  <si>
    <t>CSBQ-.35</t>
  </si>
  <si>
    <t>ISRL-180</t>
  </si>
  <si>
    <t>IALC-570</t>
  </si>
  <si>
    <t>IFBR-330</t>
  </si>
  <si>
    <t>IFLT-144</t>
  </si>
  <si>
    <t>IALQ-108</t>
  </si>
  <si>
    <t>IFLQ-84</t>
  </si>
  <si>
    <t>IALQ-625</t>
  </si>
  <si>
    <t>IFLC-258</t>
  </si>
  <si>
    <t>CSCQ-315</t>
  </si>
  <si>
    <t>CSLP-280</t>
  </si>
  <si>
    <t>HSBQ-2.5</t>
  </si>
  <si>
    <t>CALV-7.5</t>
  </si>
  <si>
    <t>CACQ-125</t>
  </si>
  <si>
    <t>CSCS-200</t>
  </si>
  <si>
    <t>CFBS-.35</t>
  </si>
  <si>
    <t>CSCC-90</t>
  </si>
  <si>
    <t>CSCS-760</t>
  </si>
  <si>
    <t>CACE-4.7</t>
  </si>
  <si>
    <t>CABP-.75</t>
  </si>
  <si>
    <t>IFCC-56</t>
  </si>
  <si>
    <t>IFLP-5.1</t>
  </si>
  <si>
    <t>ISRQ-348</t>
  </si>
  <si>
    <t>IFCT-8.6</t>
  </si>
  <si>
    <t>IFRE-.15</t>
  </si>
  <si>
    <t>ISLC-530</t>
  </si>
  <si>
    <t>ISCQ-050</t>
  </si>
  <si>
    <t>PACC-560</t>
  </si>
  <si>
    <t>PALS-5.8</t>
  </si>
  <si>
    <t>CSRR-825</t>
  </si>
  <si>
    <t>CARP-0.8</t>
  </si>
  <si>
    <t>CSCC-210</t>
  </si>
  <si>
    <t>IFCP-4.4</t>
  </si>
  <si>
    <t>ISRP-116</t>
  </si>
  <si>
    <t>IALR-80</t>
  </si>
  <si>
    <t>CACQ-5.6</t>
  </si>
  <si>
    <t>CSCS-855</t>
  </si>
  <si>
    <t>CSRS-7.6</t>
  </si>
  <si>
    <t>CSBB-200</t>
  </si>
  <si>
    <t>HSRC-837</t>
  </si>
  <si>
    <t>HSLB-240</t>
  </si>
  <si>
    <t>CARQ-875</t>
  </si>
  <si>
    <t>CSCC-960</t>
  </si>
  <si>
    <t>CARS-400</t>
  </si>
  <si>
    <t>CFCC-36</t>
  </si>
  <si>
    <t>CSCE-444</t>
  </si>
  <si>
    <t>CARS-520</t>
  </si>
  <si>
    <t>CARO-369</t>
  </si>
  <si>
    <t>CSLP-0.8</t>
  </si>
  <si>
    <t>CALR-000</t>
  </si>
  <si>
    <t>CSRQ-400</t>
  </si>
  <si>
    <t>PALC-.25</t>
  </si>
  <si>
    <t>PABQ-710</t>
  </si>
  <si>
    <t>ISLC-950</t>
  </si>
  <si>
    <t>ISLQ-008</t>
  </si>
  <si>
    <t>ISCQ-436</t>
  </si>
  <si>
    <t>CSLS-894</t>
  </si>
  <si>
    <t>HABP-680</t>
  </si>
  <si>
    <t>IARC-250</t>
  </si>
  <si>
    <t>IFCC-512</t>
  </si>
  <si>
    <t>IALS-60</t>
  </si>
  <si>
    <t>CSRS-120</t>
  </si>
  <si>
    <t>IFCC-000</t>
  </si>
  <si>
    <t>IABP-800</t>
  </si>
  <si>
    <t>IACR-160</t>
  </si>
  <si>
    <t>ISLS-908</t>
  </si>
  <si>
    <t>ISLQ-150</t>
  </si>
  <si>
    <t>ISLC-064</t>
  </si>
  <si>
    <t>CSRC-720</t>
  </si>
  <si>
    <t>CFCR-800</t>
  </si>
  <si>
    <t>IABP-477</t>
  </si>
  <si>
    <t>ISCB-280</t>
  </si>
  <si>
    <t>CSRE-2.8</t>
  </si>
  <si>
    <t>CSBP-92</t>
  </si>
  <si>
    <t>CSLC-120</t>
  </si>
  <si>
    <t>CSBQ-500</t>
  </si>
  <si>
    <t>CFCC-264</t>
  </si>
  <si>
    <t>CARP-432</t>
  </si>
  <si>
    <t>CABG-513</t>
  </si>
  <si>
    <t>IFLC-450</t>
  </si>
  <si>
    <t>IFLQ-420</t>
  </si>
  <si>
    <t>IARR-880</t>
  </si>
  <si>
    <t>HSBC-8.5</t>
  </si>
  <si>
    <t>HSRC-324</t>
  </si>
  <si>
    <t>HACB-000</t>
  </si>
  <si>
    <t>IFBC-750</t>
  </si>
  <si>
    <t>ISLC-872</t>
  </si>
  <si>
    <t>IFRQ-3.7</t>
  </si>
  <si>
    <t>ISLM-645</t>
  </si>
  <si>
    <t>HSCR-500</t>
  </si>
  <si>
    <t>IFRE-672</t>
  </si>
  <si>
    <t>ISBC-3.5</t>
  </si>
  <si>
    <t>IFLC-420</t>
  </si>
  <si>
    <t>IALQ-3.6</t>
  </si>
  <si>
    <t>ISRB-350</t>
  </si>
  <si>
    <t>HSBV-162</t>
  </si>
  <si>
    <t>CSCR-315</t>
  </si>
  <si>
    <t>CSLS-0.2</t>
  </si>
  <si>
    <t>IFCQ-072</t>
  </si>
  <si>
    <t>IACS-560</t>
  </si>
  <si>
    <t>PSCC-120</t>
  </si>
  <si>
    <t>PSRS-995</t>
  </si>
  <si>
    <t>PSRP-644</t>
  </si>
  <si>
    <t>PSCB-240</t>
  </si>
  <si>
    <t>ISRE-0.8</t>
  </si>
  <si>
    <t>ISLC-240</t>
  </si>
  <si>
    <t>IABQ-840</t>
  </si>
  <si>
    <t>IFRC-360</t>
  </si>
  <si>
    <t>CFCP-470</t>
  </si>
  <si>
    <t>CARP-425</t>
  </si>
  <si>
    <t>PSBC-240</t>
  </si>
  <si>
    <t>IFBS-234</t>
  </si>
  <si>
    <t>CARC-775</t>
  </si>
  <si>
    <t>CSCC-720</t>
  </si>
  <si>
    <t>CSRS-080</t>
  </si>
  <si>
    <t>ISCT-930</t>
  </si>
  <si>
    <t>CSCP-320</t>
  </si>
  <si>
    <t>CSRE-960</t>
  </si>
  <si>
    <t>CABT-944</t>
  </si>
  <si>
    <t>IALC-600</t>
  </si>
  <si>
    <t>ISLQ-810</t>
  </si>
  <si>
    <t>IARC-7.5</t>
  </si>
  <si>
    <t>IFBP-460</t>
  </si>
  <si>
    <t>CFRC-280</t>
  </si>
  <si>
    <t>PACS-379</t>
  </si>
  <si>
    <t>PSCP-8.5</t>
  </si>
  <si>
    <t>CFRQ-100</t>
  </si>
  <si>
    <t>CABC-600</t>
  </si>
  <si>
    <t>CALC-756</t>
  </si>
  <si>
    <t>PSBC-500</t>
  </si>
  <si>
    <t>CABP-760</t>
  </si>
  <si>
    <t>CSCR-405</t>
  </si>
  <si>
    <t>CSCS-205</t>
  </si>
  <si>
    <t>CSCE-7.5</t>
  </si>
  <si>
    <t>CSBE-200</t>
  </si>
  <si>
    <t>CSBC-3.6</t>
  </si>
  <si>
    <t>CACC-960</t>
  </si>
  <si>
    <t>CSBS-.12</t>
  </si>
  <si>
    <t>CALC-800</t>
  </si>
  <si>
    <t>CSCC-3.2</t>
  </si>
  <si>
    <t>IFBS-315</t>
  </si>
  <si>
    <t>CARC-720</t>
  </si>
  <si>
    <t>CSCG-425</t>
  </si>
  <si>
    <t>CSCS-120</t>
  </si>
  <si>
    <t>CSBP-560</t>
  </si>
  <si>
    <t>CSCR-2.5</t>
  </si>
  <si>
    <t>CARE-396</t>
  </si>
  <si>
    <t>CSBC-530</t>
  </si>
  <si>
    <t>ISRP-512</t>
  </si>
  <si>
    <t>CARS-000</t>
  </si>
  <si>
    <t>CALC-904</t>
  </si>
  <si>
    <t>HFRS-140</t>
  </si>
  <si>
    <t>HSBB-200</t>
  </si>
  <si>
    <t>CFLC-512</t>
  </si>
  <si>
    <t>CACC-516</t>
  </si>
  <si>
    <t>CACP-720</t>
  </si>
  <si>
    <t>CFLP-158</t>
  </si>
  <si>
    <t>IFCQ-050</t>
  </si>
  <si>
    <t>CFCP-304</t>
  </si>
  <si>
    <t>CFCS-.45</t>
  </si>
  <si>
    <t>CABP-2.8</t>
  </si>
  <si>
    <t>CSCL-600</t>
  </si>
  <si>
    <t>CALM-000</t>
  </si>
  <si>
    <t>CSBQ-0.1</t>
  </si>
  <si>
    <t>ISRL-080</t>
  </si>
  <si>
    <t>IALC-140</t>
  </si>
  <si>
    <t>IFBR-980</t>
  </si>
  <si>
    <t>IFLT-576</t>
  </si>
  <si>
    <t>IALQ-540</t>
  </si>
  <si>
    <t>IFLQ-336</t>
  </si>
  <si>
    <t>IALQ-875</t>
  </si>
  <si>
    <t>IFLC-322</t>
  </si>
  <si>
    <t>CSCQ-945</t>
  </si>
  <si>
    <t>CSLP-400</t>
  </si>
  <si>
    <t>HSBQ-50</t>
  </si>
  <si>
    <t>CALV-175</t>
  </si>
  <si>
    <t>CACQ-000</t>
  </si>
  <si>
    <t>CFBS-6.8</t>
  </si>
  <si>
    <t>CSCC-540</t>
  </si>
  <si>
    <t>CSCS-840</t>
  </si>
  <si>
    <t>CACE-8.8</t>
  </si>
  <si>
    <t>IFCC-392</t>
  </si>
  <si>
    <t>IFLP-5.7</t>
  </si>
  <si>
    <t>IFRE-7.2</t>
  </si>
  <si>
    <t>ISLC-120</t>
  </si>
  <si>
    <t>ISCQ-350</t>
  </si>
  <si>
    <t>PACC-680</t>
  </si>
  <si>
    <t>PALS-2.2</t>
  </si>
  <si>
    <t>CSRR-425</t>
  </si>
  <si>
    <t>CARP-7.2</t>
  </si>
  <si>
    <t>CSCC-050</t>
  </si>
  <si>
    <t>IFCP-472</t>
  </si>
  <si>
    <t>Cam?embert Pierrot</t>
  </si>
  <si>
    <t>Cerv*eza negra Steeleye</t>
  </si>
  <si>
    <t>Salsa de arán~danos Northwoods</t>
  </si>
  <si>
    <t>Fecha Final</t>
  </si>
  <si>
    <t>CRITERIO</t>
  </si>
  <si>
    <t>Fecha</t>
  </si>
  <si>
    <t>Representante</t>
  </si>
  <si>
    <t>CódigoProducto</t>
  </si>
  <si>
    <t>Unidades</t>
  </si>
  <si>
    <t>Isabel Crespo</t>
  </si>
  <si>
    <t>B00F3J4B5S</t>
  </si>
  <si>
    <t>Cecilia Manrique</t>
  </si>
  <si>
    <t>B018IZ0SWI</t>
  </si>
  <si>
    <t>B01DZJFWNC</t>
  </si>
  <si>
    <t>Sagrario Silva</t>
  </si>
  <si>
    <t>Teodoro Jurado</t>
  </si>
  <si>
    <t>B016381QZA</t>
  </si>
  <si>
    <t>B00J0O5J4Y</t>
  </si>
  <si>
    <t>B01KBH547A</t>
  </si>
  <si>
    <t>Maximiliano Ruiz</t>
  </si>
  <si>
    <t>B00K15Q2B0</t>
  </si>
  <si>
    <t>Daniel Piedra</t>
  </si>
  <si>
    <t>B00NQGP42Y</t>
  </si>
  <si>
    <t>Salvador Olivares</t>
  </si>
  <si>
    <t>Raquel Gómez</t>
  </si>
  <si>
    <t>B01LQV1YHO</t>
  </si>
  <si>
    <t>Cristina Fábregas</t>
  </si>
  <si>
    <t>Andrés Mejía</t>
  </si>
  <si>
    <t>Domingo González</t>
  </si>
  <si>
    <t>Lázaro Zepeda</t>
  </si>
  <si>
    <t>Germán Herrera</t>
  </si>
  <si>
    <t>Rubén Núñez</t>
  </si>
  <si>
    <t>Beatriz Troncoso</t>
  </si>
  <si>
    <t>Mariana Hinojosa</t>
  </si>
  <si>
    <t>Carla Méndez</t>
  </si>
  <si>
    <t>Bruna Hernández</t>
  </si>
  <si>
    <t>Bárbara Peñalosa</t>
  </si>
  <si>
    <t>B01EYT1URO</t>
  </si>
  <si>
    <t>Silvestre Morales</t>
  </si>
  <si>
    <t>Kenya Carrillo</t>
  </si>
  <si>
    <t>Teresa Rivero</t>
  </si>
  <si>
    <t>Arturo Franco</t>
  </si>
  <si>
    <t>Roberto Rodríguez</t>
  </si>
  <si>
    <t>Sergio Moreno</t>
  </si>
  <si>
    <t>Jenny García</t>
  </si>
  <si>
    <t>Pedro Huerta</t>
  </si>
  <si>
    <t>Dafne Rivas</t>
  </si>
  <si>
    <t>B016B7INC2</t>
  </si>
  <si>
    <t>Magdalena Linares</t>
  </si>
  <si>
    <t>Bernarda Perdomo</t>
  </si>
  <si>
    <t>Laura Morales</t>
  </si>
  <si>
    <t>Maité Gordillo</t>
  </si>
  <si>
    <t>Casandra Fernández</t>
  </si>
  <si>
    <t>Eric Rivera</t>
  </si>
  <si>
    <t>Claudia Olmedo</t>
  </si>
  <si>
    <t>Jaime Pastrana</t>
  </si>
  <si>
    <t>Joana Mejía</t>
  </si>
  <si>
    <t>B015YCRYZM</t>
  </si>
  <si>
    <t>Leonor Domínguez</t>
  </si>
  <si>
    <t>Eliseo Martínez</t>
  </si>
  <si>
    <t>Benjamín Pérez</t>
  </si>
  <si>
    <t>Elvira Belmonte</t>
  </si>
  <si>
    <t>Guillermo Paredes</t>
  </si>
  <si>
    <t>Paulina Iglesias</t>
  </si>
  <si>
    <t>Ernesto Duarte</t>
  </si>
  <si>
    <t>Rodrigo Muñoz</t>
  </si>
  <si>
    <t>Elena Uriarte</t>
  </si>
  <si>
    <t>Iván Arriola</t>
  </si>
  <si>
    <t>Linet Ramírez</t>
  </si>
  <si>
    <t>Delia Jiménez</t>
  </si>
  <si>
    <t>Bruno Puente</t>
  </si>
  <si>
    <t>Cinthia Bustamante</t>
  </si>
  <si>
    <t>Felicia Junquera</t>
  </si>
  <si>
    <t>Iris Ugarte</t>
  </si>
  <si>
    <t>Joel Guerra</t>
  </si>
  <si>
    <t>Camila Fajardo</t>
  </si>
  <si>
    <t>Patricia Torres</t>
  </si>
  <si>
    <t>Fernando Ruiz</t>
  </si>
  <si>
    <t>Fecha Inicio</t>
  </si>
  <si>
    <t>Teodoro</t>
  </si>
  <si>
    <t>MES</t>
  </si>
  <si>
    <t>AÑO</t>
  </si>
  <si>
    <t>=Y($A3&gt;=$G$3;$A3&lt;=$G$4;$D3&gt;$G$2)</t>
  </si>
  <si>
    <t>*</t>
  </si>
  <si>
    <t>?</t>
  </si>
  <si>
    <t>~</t>
  </si>
  <si>
    <t>=Y(MES(B2)=$L$90;AÑO(B2)=$M$90)</t>
  </si>
  <si>
    <t>&gt;200</t>
  </si>
  <si>
    <t>C*</t>
  </si>
  <si>
    <t>*er</t>
  </si>
  <si>
    <t>*SRC*</t>
  </si>
  <si>
    <t>*chocolate*</t>
  </si>
  <si>
    <t>&lt;&gt;*chocolate*</t>
  </si>
  <si>
    <t>??B</t>
  </si>
  <si>
    <t>H?B</t>
  </si>
  <si>
    <t>*Cerveza*</t>
  </si>
  <si>
    <t>&lt;&gt;Colombia</t>
  </si>
  <si>
    <t>&lt;150</t>
  </si>
  <si>
    <t>&gt;150</t>
  </si>
  <si>
    <t>&gt;=400</t>
  </si>
  <si>
    <t>&lt;=500</t>
  </si>
  <si>
    <t>&lt;&gt;Holanda</t>
  </si>
  <si>
    <t>&lt;&gt;Inglaterra</t>
  </si>
  <si>
    <t>&gt;01/12/2015</t>
  </si>
  <si>
    <t>&lt;01/02/2015</t>
  </si>
  <si>
    <t>~*</t>
  </si>
  <si>
    <t>~?</t>
  </si>
  <si>
    <t>C?B</t>
  </si>
  <si>
    <t>P*</t>
  </si>
  <si>
    <t>*Chocolate*</t>
  </si>
  <si>
    <t>&gt;=100</t>
  </si>
  <si>
    <t>&lt;20</t>
  </si>
  <si>
    <t>&gt;=01/05/2015</t>
  </si>
  <si>
    <t>&lt;=30/05/2015</t>
  </si>
  <si>
    <t>&gt;=01/07/2015</t>
  </si>
  <si>
    <t>&lt;=30/07/2015</t>
  </si>
  <si>
    <t>&gt;90</t>
  </si>
  <si>
    <t>&lt;&gt;Thomas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</si>
</sst>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[$-C0A]d\-mmm\-yy;@"/>
    <numFmt numFmtId="166" formatCode="dd/mm/yyyy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rgb="FF9E9E9E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21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3" borderId="0" xfId="0" applyFill="1" applyAlignment="1">
      <alignment vertical="center"/>
    </xf>
    <xf numFmtId="164" fontId="0" fillId="0" borderId="0" xfId="0" applyNumberFormat="1"/>
    <xf numFmtId="0" fontId="0" fillId="0" borderId="0" xfId="0" applyAlignment="1">
      <alignment vertical="center"/>
    </xf>
    <xf numFmtId="165" fontId="0" fillId="0" borderId="0" xfId="0" applyNumberFormat="1"/>
    <xf numFmtId="0" fontId="0" fillId="4" borderId="0" xfId="0" applyFill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4" borderId="0" xfId="0" applyNumberFormat="1" applyFill="1" applyAlignment="1">
      <alignment vertical="center"/>
    </xf>
    <xf numFmtId="0" fontId="0" fillId="0" borderId="5" xfId="0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2" borderId="14" xfId="0" applyFill="1" applyBorder="1"/>
    <xf numFmtId="0" fontId="0" fillId="2" borderId="15" xfId="0" applyFill="1" applyBorder="1"/>
    <xf numFmtId="0" fontId="0" fillId="0" borderId="14" xfId="0" applyBorder="1"/>
    <xf numFmtId="0" fontId="0" fillId="0" borderId="15" xfId="0" applyBorder="1"/>
    <xf numFmtId="14" fontId="0" fillId="2" borderId="13" xfId="0" applyNumberFormat="1" applyFill="1" applyBorder="1"/>
    <xf numFmtId="14" fontId="0" fillId="0" borderId="13" xfId="0" applyNumberFormat="1" applyBorder="1"/>
    <xf numFmtId="14" fontId="0" fillId="0" borderId="1" xfId="0" applyNumberFormat="1" applyBorder="1"/>
    <xf numFmtId="14" fontId="0" fillId="0" borderId="0" xfId="0" applyNumberFormat="1"/>
    <xf numFmtId="14" fontId="0" fillId="0" borderId="16" xfId="0" applyNumberFormat="1" applyBorder="1"/>
    <xf numFmtId="0" fontId="0" fillId="0" borderId="17" xfId="0" applyBorder="1"/>
    <xf numFmtId="14" fontId="1" fillId="0" borderId="0" xfId="0" applyNumberFormat="1" applyFont="1"/>
    <xf numFmtId="0" fontId="1" fillId="0" borderId="0" xfId="0" applyFont="1"/>
    <xf numFmtId="0" fontId="2" fillId="0" borderId="0" xfId="0" applyFont="1"/>
    <xf numFmtId="14" fontId="0" fillId="0" borderId="8" xfId="0" applyNumberFormat="1" applyBorder="1"/>
    <xf numFmtId="14" fontId="0" fillId="0" borderId="5" xfId="0" applyNumberFormat="1" applyBorder="1"/>
    <xf numFmtId="0" fontId="0" fillId="0" borderId="6" xfId="0" applyBorder="1"/>
    <xf numFmtId="14" fontId="0" fillId="0" borderId="10" xfId="0" applyNumberFormat="1" applyBorder="1"/>
    <xf numFmtId="0" fontId="0" fillId="0" borderId="11" xfId="0" applyBorder="1"/>
    <xf numFmtId="0" fontId="1" fillId="3" borderId="4" xfId="0" applyFont="1" applyFill="1" applyBorder="1"/>
    <xf numFmtId="0" fontId="0" fillId="5" borderId="4" xfId="0" applyFill="1" applyBorder="1"/>
    <xf numFmtId="14" fontId="0" fillId="0" borderId="4" xfId="0" applyNumberFormat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14" fontId="0" fillId="3" borderId="0" xfId="0" applyNumberFormat="1" applyFill="1" applyAlignment="1">
      <alignment horizontal="left" vertical="center"/>
    </xf>
    <xf numFmtId="0" fontId="3" fillId="0" borderId="0" xfId="0" applyFon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6" xfId="0" applyNumberFormat="1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/>
    </xf>
    <xf numFmtId="166" fontId="0" fillId="0" borderId="0" xfId="0" applyNumberFormat="1"/>
    <xf numFmtId="0" fontId="0" fillId="0" borderId="0" xfId="0" quotePrefix="1"/>
    <xf numFmtId="0" fontId="0" fillId="0" borderId="4" xfId="0" quotePrefix="1" applyBorder="1" applyAlignment="1">
      <alignment horizontal="left" vertical="center"/>
    </xf>
    <xf numFmtId="0" fontId="0" fillId="6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4" xfId="0" quotePrefix="1" applyBorder="1"/>
    <xf numFmtId="164" fontId="1" fillId="0" borderId="0" xfId="0" applyNumberFormat="1" applyFont="1"/>
    <xf numFmtId="164" fontId="0" fillId="7" borderId="0" xfId="0" applyNumberFormat="1" applyFill="1"/>
    <xf numFmtId="0" fontId="0" fillId="7" borderId="0" xfId="0" applyFill="1"/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0" borderId="0" xfId="0" applyFont="1"/>
    <xf numFmtId="0" fontId="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9" borderId="18" xfId="0" applyFont="1" applyFill="1" applyBorder="1"/>
    <xf numFmtId="0" fontId="0" fillId="9" borderId="19" xfId="0" applyFont="1" applyFill="1" applyBorder="1"/>
    <xf numFmtId="0" fontId="1" fillId="10" borderId="20" xfId="0" applyFont="1" applyFill="1" applyBorder="1"/>
    <xf numFmtId="0" fontId="1" fillId="10" borderId="18" xfId="0" applyFont="1" applyFill="1" applyBorder="1"/>
    <xf numFmtId="0" fontId="1" fillId="10" borderId="19" xfId="0" applyFont="1" applyFill="1" applyBorder="1"/>
    <xf numFmtId="0" fontId="0" fillId="9" borderId="20" xfId="0" applyFont="1" applyFill="1" applyBorder="1"/>
    <xf numFmtId="0" fontId="4" fillId="11" borderId="0" xfId="0" applyFont="1" applyFill="1"/>
    <xf numFmtId="0" fontId="1" fillId="12" borderId="2" xfId="0" applyFont="1" applyFill="1" applyBorder="1"/>
    <xf numFmtId="0" fontId="1" fillId="12" borderId="3" xfId="0" applyFont="1" applyFill="1" applyBorder="1"/>
    <xf numFmtId="0" fontId="1" fillId="12" borderId="1" xfId="0" applyFont="1" applyFill="1" applyBorder="1"/>
    <xf numFmtId="164" fontId="1" fillId="10" borderId="18" xfId="0" applyNumberFormat="1" applyFont="1" applyFill="1" applyBorder="1"/>
    <xf numFmtId="164" fontId="0" fillId="9" borderId="18" xfId="0" applyNumberFormat="1" applyFont="1" applyFill="1" applyBorder="1"/>
    <xf numFmtId="0" fontId="0" fillId="13" borderId="0" xfId="0" applyFill="1"/>
    <xf numFmtId="164" fontId="0" fillId="13" borderId="0" xfId="0" applyNumberFormat="1" applyFill="1"/>
    <xf numFmtId="0" fontId="1" fillId="4" borderId="1" xfId="0" applyFont="1" applyFill="1" applyBorder="1" applyAlignment="1">
      <alignment vertical="center"/>
    </xf>
    <xf numFmtId="0" fontId="1" fillId="4" borderId="2" xfId="0" applyFont="1" applyFill="1" applyBorder="1" applyAlignment="1">
      <alignment vertical="center"/>
    </xf>
    <xf numFmtId="0" fontId="1" fillId="11" borderId="4" xfId="0" applyFont="1" applyFill="1" applyBorder="1" applyAlignment="1">
      <alignment horizontal="center" vertical="center"/>
    </xf>
    <xf numFmtId="14" fontId="0" fillId="13" borderId="0" xfId="0" applyNumberFormat="1" applyFill="1"/>
    <xf numFmtId="14" fontId="1" fillId="12" borderId="4" xfId="0" applyNumberFormat="1" applyFont="1" applyFill="1" applyBorder="1"/>
    <xf numFmtId="0" fontId="1" fillId="12" borderId="4" xfId="0" applyFont="1" applyFill="1" applyBorder="1"/>
    <xf numFmtId="0" fontId="1" fillId="12" borderId="4" xfId="0" applyFont="1" applyFill="1" applyBorder="1" applyAlignment="1">
      <alignment horizontal="center" vertical="center"/>
    </xf>
    <xf numFmtId="0" fontId="6" fillId="0" borderId="0" xfId="0" applyFont="1"/>
    <xf numFmtId="164" fontId="1" fillId="12" borderId="2" xfId="0" applyNumberFormat="1" applyFont="1" applyFill="1" applyBorder="1"/>
    <xf numFmtId="0" fontId="1" fillId="3" borderId="2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14" fontId="1" fillId="3" borderId="1" xfId="0" applyNumberFormat="1" applyFont="1" applyFill="1" applyBorder="1" applyAlignment="1">
      <alignment horizontal="left" vertical="center"/>
    </xf>
    <xf numFmtId="14" fontId="1" fillId="3" borderId="4" xfId="0" applyNumberFormat="1" applyFont="1" applyFill="1" applyBorder="1" applyAlignment="1">
      <alignment horizontal="left" vertical="center"/>
    </xf>
    <xf numFmtId="0" fontId="1" fillId="3" borderId="4" xfId="0" applyFont="1" applyFill="1" applyBorder="1" applyAlignment="1">
      <alignment vertical="center"/>
    </xf>
  </cellXfs>
  <cellStyles count="1">
    <cellStyle name="Normal" xfId="0" builtinId="0"/>
  </cellStyles>
  <dxfs count="46">
    <dxf>
      <numFmt numFmtId="167" formatCode="d/mm/yyyy"/>
      <alignment horizontal="left" textRotation="0" wrapText="0" indent="0" justifyLastLine="0" shrinkToFit="0" readingOrder="0"/>
    </dxf>
    <dxf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  <dxf>
      <numFmt numFmtId="164" formatCode="yyyy\-mm\-dd;@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d/mm/yyyy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yyyy\-mm\-dd;@"/>
    </dxf>
    <dxf>
      <fill>
        <patternFill patternType="solid">
          <fgColor indexed="64"/>
          <bgColor theme="7" tint="-0.249977111117893"/>
        </patternFill>
      </fill>
      <alignment horizontal="general" vertical="center" textRotation="0" wrapText="0" indent="0" justifyLastLine="0" shrinkToFit="0" readingOrder="0"/>
    </dxf>
    <dxf>
      <numFmt numFmtId="164" formatCode="yyyy\-mm\-dd;@"/>
    </dxf>
    <dxf>
      <numFmt numFmtId="164" formatCode="yyyy\-mm\-dd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742950</xdr:colOff>
      <xdr:row>2</xdr:row>
      <xdr:rowOff>19050</xdr:rowOff>
    </xdr:from>
    <xdr:to>
      <xdr:col>14</xdr:col>
      <xdr:colOff>233230</xdr:colOff>
      <xdr:row>9</xdr:row>
      <xdr:rowOff>161925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0A406E3-B450-58DF-7C30-5735ECF9A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4950" y="400050"/>
          <a:ext cx="5586280" cy="1476375"/>
        </a:xfrm>
        <a:prstGeom prst="rect">
          <a:avLst/>
        </a:prstGeom>
      </xdr:spPr>
    </xdr:pic>
    <xdr:clientData/>
  </xdr:twoCellAnchor>
  <xdr:twoCellAnchor>
    <xdr:from>
      <xdr:col>4</xdr:col>
      <xdr:colOff>695325</xdr:colOff>
      <xdr:row>15</xdr:row>
      <xdr:rowOff>9525</xdr:rowOff>
    </xdr:from>
    <xdr:to>
      <xdr:col>18</xdr:col>
      <xdr:colOff>590550</xdr:colOff>
      <xdr:row>24</xdr:row>
      <xdr:rowOff>152400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DA246A2-FF9A-EA13-B23E-AD0697E0D05C}"/>
            </a:ext>
          </a:extLst>
        </xdr:cNvPr>
        <xdr:cNvSpPr/>
      </xdr:nvSpPr>
      <xdr:spPr>
        <a:xfrm>
          <a:off x="3743325" y="2867025"/>
          <a:ext cx="10563225" cy="185737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3200" b="1">
              <a:solidFill>
                <a:schemeClr val="bg1"/>
              </a:solidFill>
            </a:rPr>
            <a:t>10 EJERCICIOS PARA VOLVERTE UN EXPERTO CON FILTROS AVANZADOS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9526</xdr:colOff>
      <xdr:row>1</xdr:row>
      <xdr:rowOff>4762</xdr:rowOff>
    </xdr:from>
    <xdr:to>
      <xdr:col>15</xdr:col>
      <xdr:colOff>822552</xdr:colOff>
      <xdr:row>3</xdr:row>
      <xdr:rowOff>87085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6FB70C7-0F35-63E2-4E5C-2725E4116B38}"/>
            </a:ext>
          </a:extLst>
        </xdr:cNvPr>
        <xdr:cNvSpPr/>
      </xdr:nvSpPr>
      <xdr:spPr>
        <a:xfrm>
          <a:off x="10682629" y="191860"/>
          <a:ext cx="5277869" cy="45652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Con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filtros avanzados: 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Muestra Solo la categoría productos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Lácteos</a:t>
          </a:r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11</xdr:col>
      <xdr:colOff>17576</xdr:colOff>
      <xdr:row>69</xdr:row>
      <xdr:rowOff>3855</xdr:rowOff>
    </xdr:from>
    <xdr:to>
      <xdr:col>17</xdr:col>
      <xdr:colOff>493826</xdr:colOff>
      <xdr:row>70</xdr:row>
      <xdr:rowOff>143329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62FE199-BB8F-4EEC-9B55-FB3E36099BA9}"/>
            </a:ext>
          </a:extLst>
        </xdr:cNvPr>
        <xdr:cNvSpPr/>
      </xdr:nvSpPr>
      <xdr:spPr>
        <a:xfrm>
          <a:off x="10669701" y="13148355"/>
          <a:ext cx="7556500" cy="329974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la categoría productos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Lácteos 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y el importe sea mayor a 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200</a:t>
          </a:r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11</xdr:col>
      <xdr:colOff>30163</xdr:colOff>
      <xdr:row>115</xdr:row>
      <xdr:rowOff>37079</xdr:rowOff>
    </xdr:from>
    <xdr:to>
      <xdr:col>17</xdr:col>
      <xdr:colOff>506413</xdr:colOff>
      <xdr:row>118</xdr:row>
      <xdr:rowOff>46604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56A3DFD-A679-4F87-AC32-0EA2954B1D41}"/>
            </a:ext>
          </a:extLst>
        </xdr:cNvPr>
        <xdr:cNvSpPr/>
      </xdr:nvSpPr>
      <xdr:spPr>
        <a:xfrm>
          <a:off x="10682288" y="21944579"/>
          <a:ext cx="7556500" cy="58102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la categoría productos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Lácteos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que el importe sea mayor a &gt;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200 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y la forma de pago sea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Contado</a:t>
          </a:r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10</xdr:col>
      <xdr:colOff>762814</xdr:colOff>
      <xdr:row>5</xdr:row>
      <xdr:rowOff>18028</xdr:rowOff>
    </xdr:from>
    <xdr:to>
      <xdr:col>17</xdr:col>
      <xdr:colOff>309563</xdr:colOff>
      <xdr:row>51</xdr:row>
      <xdr:rowOff>8503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B2D1239-43E4-4DEC-BF86-CCE818437A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70515" y="953519"/>
          <a:ext cx="7387865" cy="85969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757910</xdr:colOff>
      <xdr:row>73</xdr:row>
      <xdr:rowOff>34247</xdr:rowOff>
    </xdr:from>
    <xdr:to>
      <xdr:col>17</xdr:col>
      <xdr:colOff>450849</xdr:colOff>
      <xdr:row>100</xdr:row>
      <xdr:rowOff>112189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BF35E40-0BF4-95B6-CFF9-A59C860D74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8035" y="13940747"/>
          <a:ext cx="7535189" cy="52214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24379</xdr:colOff>
      <xdr:row>121</xdr:row>
      <xdr:rowOff>16670</xdr:rowOff>
    </xdr:from>
    <xdr:to>
      <xdr:col>19</xdr:col>
      <xdr:colOff>880382</xdr:colOff>
      <xdr:row>136</xdr:row>
      <xdr:rowOff>26195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457B54D6-C82B-417D-820C-1345D3063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76504" y="23067170"/>
          <a:ext cx="11143003" cy="2867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16628</xdr:colOff>
      <xdr:row>1</xdr:row>
      <xdr:rowOff>13077</xdr:rowOff>
    </xdr:from>
    <xdr:to>
      <xdr:col>19</xdr:col>
      <xdr:colOff>254753</xdr:colOff>
      <xdr:row>2</xdr:row>
      <xdr:rowOff>159180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FFE12F5-82BC-4570-8C97-7DD490779D82}"/>
            </a:ext>
          </a:extLst>
        </xdr:cNvPr>
        <xdr:cNvSpPr/>
      </xdr:nvSpPr>
      <xdr:spPr>
        <a:xfrm>
          <a:off x="8427687" y="206806"/>
          <a:ext cx="5452659" cy="339832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Muestra los códigos que comiencen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C</a:t>
          </a:r>
        </a:p>
      </xdr:txBody>
    </xdr:sp>
    <xdr:clientData/>
  </xdr:twoCellAnchor>
  <xdr:twoCellAnchor>
    <xdr:from>
      <xdr:col>20</xdr:col>
      <xdr:colOff>1262628</xdr:colOff>
      <xdr:row>1</xdr:row>
      <xdr:rowOff>2744</xdr:rowOff>
    </xdr:from>
    <xdr:to>
      <xdr:col>27</xdr:col>
      <xdr:colOff>704849</xdr:colOff>
      <xdr:row>2</xdr:row>
      <xdr:rowOff>148848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4039F62-EAAF-42F4-B55C-86F27333EC53}"/>
            </a:ext>
          </a:extLst>
        </xdr:cNvPr>
        <xdr:cNvSpPr/>
      </xdr:nvSpPr>
      <xdr:spPr>
        <a:xfrm>
          <a:off x="15646992" y="196473"/>
          <a:ext cx="5262158" cy="339833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los Clientes que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terminen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er</a:t>
          </a:r>
        </a:p>
      </xdr:txBody>
    </xdr:sp>
    <xdr:clientData/>
  </xdr:twoCellAnchor>
  <xdr:twoCellAnchor>
    <xdr:from>
      <xdr:col>36</xdr:col>
      <xdr:colOff>757237</xdr:colOff>
      <xdr:row>1</xdr:row>
      <xdr:rowOff>57150</xdr:rowOff>
    </xdr:from>
    <xdr:to>
      <xdr:col>43</xdr:col>
      <xdr:colOff>685799</xdr:colOff>
      <xdr:row>4</xdr:row>
      <xdr:rowOff>171450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D04C6DA-017A-4142-AF7E-E18734836B29}"/>
            </a:ext>
          </a:extLst>
        </xdr:cNvPr>
        <xdr:cNvSpPr/>
      </xdr:nvSpPr>
      <xdr:spPr>
        <a:xfrm>
          <a:off x="27855862" y="247650"/>
          <a:ext cx="5262562" cy="68580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4.- Muestra el nombre de producto que contenga la palabra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chocolate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y el código inicie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C, </a:t>
          </a:r>
          <a:r>
            <a:rPr lang="es-PE" sz="1100" b="0">
              <a:solidFill>
                <a:schemeClr val="tx1">
                  <a:lumMod val="95000"/>
                  <a:lumOff val="5000"/>
                </a:schemeClr>
              </a:solidFill>
            </a:rPr>
            <a:t>y Forma de pago sea</a:t>
          </a:r>
          <a:r>
            <a:rPr lang="es-PE" sz="1100" b="0" baseline="0">
              <a:solidFill>
                <a:schemeClr val="tx1">
                  <a:lumMod val="95000"/>
                  <a:lumOff val="5000"/>
                </a:schemeClr>
              </a:solidFill>
            </a:rPr>
            <a:t> a Crédito</a:t>
          </a:r>
        </a:p>
        <a:p>
          <a:pPr algn="l"/>
          <a:endParaRPr lang="es-PE" sz="1100" b="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29</xdr:col>
      <xdr:colOff>10009</xdr:colOff>
      <xdr:row>1</xdr:row>
      <xdr:rowOff>3552</xdr:rowOff>
    </xdr:from>
    <xdr:to>
      <xdr:col>35</xdr:col>
      <xdr:colOff>719540</xdr:colOff>
      <xdr:row>3</xdr:row>
      <xdr:rowOff>121081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27FF28B-640A-44D0-A4DD-D5C9CA95F990}"/>
            </a:ext>
          </a:extLst>
        </xdr:cNvPr>
        <xdr:cNvSpPr/>
      </xdr:nvSpPr>
      <xdr:spPr>
        <a:xfrm>
          <a:off x="21731852" y="197281"/>
          <a:ext cx="5262158" cy="504986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los códigos que contenga las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letras juntas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SRC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(Ya sea al inicio , final o cualquier parte de la columna código)</a:t>
          </a:r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51</xdr:col>
      <xdr:colOff>31572</xdr:colOff>
      <xdr:row>1</xdr:row>
      <xdr:rowOff>10702</xdr:rowOff>
    </xdr:from>
    <xdr:to>
      <xdr:col>57</xdr:col>
      <xdr:colOff>722134</xdr:colOff>
      <xdr:row>4</xdr:row>
      <xdr:rowOff>10702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B530E71-5839-418A-B765-D3AAB7824B78}"/>
            </a:ext>
          </a:extLst>
        </xdr:cNvPr>
        <xdr:cNvSpPr/>
      </xdr:nvSpPr>
      <xdr:spPr>
        <a:xfrm>
          <a:off x="39805251" y="201202"/>
          <a:ext cx="5262562" cy="57150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5.- Muestra el nombre de producto que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NO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contenga la palabra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chocolate</a:t>
          </a:r>
          <a:endParaRPr lang="es-PE" sz="1100" b="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10</xdr:col>
      <xdr:colOff>9109</xdr:colOff>
      <xdr:row>3</xdr:row>
      <xdr:rowOff>155427</xdr:rowOff>
    </xdr:from>
    <xdr:to>
      <xdr:col>10</xdr:col>
      <xdr:colOff>537353</xdr:colOff>
      <xdr:row>204</xdr:row>
      <xdr:rowOff>22075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AB076069-730B-FD81-5776-BE92926574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20168" y="736613"/>
          <a:ext cx="528244" cy="38806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739399</xdr:colOff>
      <xdr:row>5</xdr:row>
      <xdr:rowOff>7104</xdr:rowOff>
    </xdr:from>
    <xdr:to>
      <xdr:col>29</xdr:col>
      <xdr:colOff>748924</xdr:colOff>
      <xdr:row>23</xdr:row>
      <xdr:rowOff>16628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4260408-C2E3-AD5E-51AD-169B89F99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2471" y="975748"/>
          <a:ext cx="768296" cy="3496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28574</xdr:colOff>
      <xdr:row>5</xdr:row>
      <xdr:rowOff>172338</xdr:rowOff>
    </xdr:from>
    <xdr:to>
      <xdr:col>40</xdr:col>
      <xdr:colOff>297132</xdr:colOff>
      <xdr:row>22</xdr:row>
      <xdr:rowOff>181863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275E03F9-4D51-498D-C882-B8AB07638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89199" y="1124838"/>
          <a:ext cx="2554558" cy="3248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50</xdr:col>
      <xdr:colOff>741761</xdr:colOff>
      <xdr:row>4</xdr:row>
      <xdr:rowOff>169696</xdr:rowOff>
    </xdr:from>
    <xdr:to>
      <xdr:col>53</xdr:col>
      <xdr:colOff>375372</xdr:colOff>
      <xdr:row>544</xdr:row>
      <xdr:rowOff>179220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B7922C01-70F8-2FA1-8DFF-A8F4672F0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53440" y="931696"/>
          <a:ext cx="1919611" cy="102879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1253230</xdr:colOff>
      <xdr:row>3</xdr:row>
      <xdr:rowOff>184121</xdr:rowOff>
    </xdr:from>
    <xdr:to>
      <xdr:col>22</xdr:col>
      <xdr:colOff>649441</xdr:colOff>
      <xdr:row>169</xdr:row>
      <xdr:rowOff>3146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7ADA68AA-9512-0D9B-7D42-81554EEFD6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37594" y="765307"/>
          <a:ext cx="1422292" cy="31974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12246</xdr:colOff>
      <xdr:row>0</xdr:row>
      <xdr:rowOff>364672</xdr:rowOff>
    </xdr:from>
    <xdr:to>
      <xdr:col>18</xdr:col>
      <xdr:colOff>250371</xdr:colOff>
      <xdr:row>2</xdr:row>
      <xdr:rowOff>140154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FF19D39-438C-42C8-83C0-0680233BF0A4}"/>
            </a:ext>
          </a:extLst>
        </xdr:cNvPr>
        <xdr:cNvSpPr/>
      </xdr:nvSpPr>
      <xdr:spPr>
        <a:xfrm>
          <a:off x="10653032" y="364672"/>
          <a:ext cx="4510768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Muestra los códigos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cuyo t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ercer caracter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es la letra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b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21</xdr:col>
      <xdr:colOff>18369</xdr:colOff>
      <xdr:row>0</xdr:row>
      <xdr:rowOff>347663</xdr:rowOff>
    </xdr:from>
    <xdr:to>
      <xdr:col>26</xdr:col>
      <xdr:colOff>470807</xdr:colOff>
      <xdr:row>3</xdr:row>
      <xdr:rowOff>56470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4BE6645-F811-413F-A41F-7CDC9FB758CC}"/>
            </a:ext>
          </a:extLst>
        </xdr:cNvPr>
        <xdr:cNvSpPr/>
      </xdr:nvSpPr>
      <xdr:spPr>
        <a:xfrm>
          <a:off x="17217798" y="347663"/>
          <a:ext cx="4520973" cy="45720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los códigos que comiencen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H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y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cuyo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tercer caracter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es la letra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b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28</xdr:col>
      <xdr:colOff>755198</xdr:colOff>
      <xdr:row>1</xdr:row>
      <xdr:rowOff>1361</xdr:rowOff>
    </xdr:from>
    <xdr:to>
      <xdr:col>34</xdr:col>
      <xdr:colOff>707573</xdr:colOff>
      <xdr:row>3</xdr:row>
      <xdr:rowOff>77561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176BCB3-9026-459E-A62A-8495A2D6B8BA}"/>
            </a:ext>
          </a:extLst>
        </xdr:cNvPr>
        <xdr:cNvSpPr/>
      </xdr:nvSpPr>
      <xdr:spPr>
        <a:xfrm>
          <a:off x="23547162" y="368754"/>
          <a:ext cx="4524375" cy="45720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los códigos que comiencen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H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y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cuyo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tercer caracter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es la letra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b y </a:t>
          </a:r>
          <a:r>
            <a:rPr lang="es-ES" sz="1100" b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nombre producto contenga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Cerveza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40</xdr:col>
      <xdr:colOff>13947</xdr:colOff>
      <xdr:row>1</xdr:row>
      <xdr:rowOff>10207</xdr:rowOff>
    </xdr:from>
    <xdr:to>
      <xdr:col>45</xdr:col>
      <xdr:colOff>728322</xdr:colOff>
      <xdr:row>3</xdr:row>
      <xdr:rowOff>76202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B02C797-8C18-4790-8924-E9F40431D579}"/>
            </a:ext>
          </a:extLst>
        </xdr:cNvPr>
        <xdr:cNvSpPr/>
      </xdr:nvSpPr>
      <xdr:spPr>
        <a:xfrm>
          <a:off x="32577541" y="367395"/>
          <a:ext cx="4524375" cy="44699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4.- Muestra los códigos que comiencen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H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y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cuyo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tercer caracter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es la letra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b </a:t>
          </a:r>
          <a:r>
            <a:rPr lang="es-ES" sz="1100" b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y el</a:t>
          </a:r>
          <a:r>
            <a:rPr lang="es-ES" sz="11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país no sea </a:t>
          </a:r>
          <a:r>
            <a:rPr lang="es-ES" sz="11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colombia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10</xdr:col>
      <xdr:colOff>734997</xdr:colOff>
      <xdr:row>3</xdr:row>
      <xdr:rowOff>177312</xdr:rowOff>
    </xdr:from>
    <xdr:to>
      <xdr:col>12</xdr:col>
      <xdr:colOff>750016</xdr:colOff>
      <xdr:row>148</xdr:row>
      <xdr:rowOff>186837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B5FBAD4-D7F5-E2BA-72FD-2E6E61047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13783" y="925705"/>
          <a:ext cx="1539019" cy="2763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10152</xdr:colOff>
      <xdr:row>4</xdr:row>
      <xdr:rowOff>170979</xdr:rowOff>
    </xdr:from>
    <xdr:to>
      <xdr:col>21</xdr:col>
      <xdr:colOff>781677</xdr:colOff>
      <xdr:row>24</xdr:row>
      <xdr:rowOff>180504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3333E55-E99C-8388-0C59-A1CC28972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09581" y="1109872"/>
          <a:ext cx="771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15597</xdr:colOff>
      <xdr:row>4</xdr:row>
      <xdr:rowOff>175532</xdr:rowOff>
    </xdr:from>
    <xdr:to>
      <xdr:col>32</xdr:col>
      <xdr:colOff>289624</xdr:colOff>
      <xdr:row>6</xdr:row>
      <xdr:rowOff>185057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5E273D09-CE37-B415-C20A-4720500949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69561" y="1114425"/>
          <a:ext cx="2560027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39</xdr:col>
      <xdr:colOff>736070</xdr:colOff>
      <xdr:row>4</xdr:row>
      <xdr:rowOff>170640</xdr:rowOff>
    </xdr:from>
    <xdr:to>
      <xdr:col>41</xdr:col>
      <xdr:colOff>745595</xdr:colOff>
      <xdr:row>24</xdr:row>
      <xdr:rowOff>180165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BA32DAE7-2F41-4532-306A-FCD2651A3A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37664" y="1099328"/>
          <a:ext cx="1533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759279</xdr:colOff>
      <xdr:row>1</xdr:row>
      <xdr:rowOff>9525</xdr:rowOff>
    </xdr:from>
    <xdr:to>
      <xdr:col>19</xdr:col>
      <xdr:colOff>235404</xdr:colOff>
      <xdr:row>2</xdr:row>
      <xdr:rowOff>152400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72E6537-4034-4B74-A8FB-F1933D375914}"/>
            </a:ext>
          </a:extLst>
        </xdr:cNvPr>
        <xdr:cNvSpPr/>
      </xdr:nvSpPr>
      <xdr:spPr>
        <a:xfrm>
          <a:off x="10638065" y="499382"/>
          <a:ext cx="6293303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Muestra los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Importes que sean menores a 150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22</xdr:col>
      <xdr:colOff>3402</xdr:colOff>
      <xdr:row>1</xdr:row>
      <xdr:rowOff>28575</xdr:rowOff>
    </xdr:from>
    <xdr:to>
      <xdr:col>30</xdr:col>
      <xdr:colOff>193902</xdr:colOff>
      <xdr:row>2</xdr:row>
      <xdr:rowOff>171450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BBC41B9-976D-4CF8-AA53-B0A0A0375151}"/>
            </a:ext>
          </a:extLst>
        </xdr:cNvPr>
        <xdr:cNvSpPr/>
      </xdr:nvSpPr>
      <xdr:spPr>
        <a:xfrm>
          <a:off x="19829009" y="518432"/>
          <a:ext cx="6286500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Importes que sean mayores a 150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55</xdr:col>
      <xdr:colOff>10886</xdr:colOff>
      <xdr:row>0</xdr:row>
      <xdr:rowOff>488497</xdr:rowOff>
    </xdr:from>
    <xdr:to>
      <xdr:col>63</xdr:col>
      <xdr:colOff>201386</xdr:colOff>
      <xdr:row>3</xdr:row>
      <xdr:rowOff>112259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0910F84-03D8-45C4-84DE-8808C6F86190}"/>
            </a:ext>
          </a:extLst>
        </xdr:cNvPr>
        <xdr:cNvSpPr/>
      </xdr:nvSpPr>
      <xdr:spPr>
        <a:xfrm>
          <a:off x="44982493" y="488497"/>
          <a:ext cx="6286500" cy="494619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5.- Muestra el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País destinatario diferente a Colombia, Holanda, Inglaterra.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32</xdr:col>
      <xdr:colOff>744992</xdr:colOff>
      <xdr:row>1</xdr:row>
      <xdr:rowOff>14288</xdr:rowOff>
    </xdr:from>
    <xdr:to>
      <xdr:col>41</xdr:col>
      <xdr:colOff>173492</xdr:colOff>
      <xdr:row>2</xdr:row>
      <xdr:rowOff>146957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4F61B82-A64D-4CFF-9233-E46A57DFA7AB}"/>
            </a:ext>
          </a:extLst>
        </xdr:cNvPr>
        <xdr:cNvSpPr/>
      </xdr:nvSpPr>
      <xdr:spPr>
        <a:xfrm>
          <a:off x="28190599" y="504145"/>
          <a:ext cx="6286500" cy="323169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los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Importes que esten entre 400 y 500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44</xdr:col>
      <xdr:colOff>16330</xdr:colOff>
      <xdr:row>1</xdr:row>
      <xdr:rowOff>14968</xdr:rowOff>
    </xdr:from>
    <xdr:to>
      <xdr:col>52</xdr:col>
      <xdr:colOff>206830</xdr:colOff>
      <xdr:row>3</xdr:row>
      <xdr:rowOff>138793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7E94BD8-D347-4DFC-ADFF-CF9C8A9D2896}"/>
            </a:ext>
          </a:extLst>
        </xdr:cNvPr>
        <xdr:cNvSpPr/>
      </xdr:nvSpPr>
      <xdr:spPr>
        <a:xfrm>
          <a:off x="36605937" y="504825"/>
          <a:ext cx="6286500" cy="50482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4.- Muestra los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Importes que esten entre 400 y 500 y país sea Portugal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33</xdr:col>
      <xdr:colOff>21772</xdr:colOff>
      <xdr:row>3</xdr:row>
      <xdr:rowOff>188459</xdr:rowOff>
    </xdr:from>
    <xdr:to>
      <xdr:col>34</xdr:col>
      <xdr:colOff>31297</xdr:colOff>
      <xdr:row>49</xdr:row>
      <xdr:rowOff>7484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369169F8-DBED-1EE9-72C6-286B8F181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29379" y="1059316"/>
          <a:ext cx="771525" cy="858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27894</xdr:colOff>
      <xdr:row>4</xdr:row>
      <xdr:rowOff>6804</xdr:rowOff>
    </xdr:from>
    <xdr:to>
      <xdr:col>11</xdr:col>
      <xdr:colOff>789894</xdr:colOff>
      <xdr:row>133</xdr:row>
      <xdr:rowOff>16329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1361FE04-FCB6-CD1A-D3CC-2AB3AA62D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680" y="1068161"/>
          <a:ext cx="762000" cy="24584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27896</xdr:colOff>
      <xdr:row>4</xdr:row>
      <xdr:rowOff>9525</xdr:rowOff>
    </xdr:from>
    <xdr:to>
      <xdr:col>23</xdr:col>
      <xdr:colOff>32658</xdr:colOff>
      <xdr:row>482</xdr:row>
      <xdr:rowOff>19050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315AC04-5492-676E-1ED4-32CD4C674C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53503" y="1070882"/>
          <a:ext cx="766762" cy="91068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17008</xdr:colOff>
      <xdr:row>4</xdr:row>
      <xdr:rowOff>164647</xdr:rowOff>
    </xdr:from>
    <xdr:to>
      <xdr:col>46</xdr:col>
      <xdr:colOff>240846</xdr:colOff>
      <xdr:row>8</xdr:row>
      <xdr:rowOff>174172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35860DDC-6A5E-982C-5D3B-28F5156F6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06615" y="1226004"/>
          <a:ext cx="1747838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55</xdr:col>
      <xdr:colOff>14968</xdr:colOff>
      <xdr:row>4</xdr:row>
      <xdr:rowOff>159883</xdr:rowOff>
    </xdr:from>
    <xdr:to>
      <xdr:col>56</xdr:col>
      <xdr:colOff>19731</xdr:colOff>
      <xdr:row>73</xdr:row>
      <xdr:rowOff>169408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C968468-2B0B-99AD-A2C8-2F2FFED68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986575" y="1221240"/>
          <a:ext cx="766763" cy="13154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26194</xdr:colOff>
      <xdr:row>1</xdr:row>
      <xdr:rowOff>26194</xdr:rowOff>
    </xdr:from>
    <xdr:to>
      <xdr:col>16</xdr:col>
      <xdr:colOff>264319</xdr:colOff>
      <xdr:row>2</xdr:row>
      <xdr:rowOff>169069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36D383B-BE47-4BD5-8A0B-DC6382543096}"/>
            </a:ext>
          </a:extLst>
        </xdr:cNvPr>
        <xdr:cNvSpPr/>
      </xdr:nvSpPr>
      <xdr:spPr>
        <a:xfrm>
          <a:off x="9253538" y="573882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Muestra la Fecha de venta que sea después de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01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/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12/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2015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21</xdr:col>
      <xdr:colOff>14289</xdr:colOff>
      <xdr:row>1</xdr:row>
      <xdr:rowOff>4762</xdr:rowOff>
    </xdr:from>
    <xdr:to>
      <xdr:col>26</xdr:col>
      <xdr:colOff>252414</xdr:colOff>
      <xdr:row>2</xdr:row>
      <xdr:rowOff>147637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A40EC0E-01F0-414B-B0AB-8F45914CB710}"/>
            </a:ext>
          </a:extLst>
        </xdr:cNvPr>
        <xdr:cNvSpPr/>
      </xdr:nvSpPr>
      <xdr:spPr>
        <a:xfrm>
          <a:off x="17159289" y="552450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la Fecha de venta,  antes del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01/02/2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015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11</xdr:col>
      <xdr:colOff>11906</xdr:colOff>
      <xdr:row>4</xdr:row>
      <xdr:rowOff>19050</xdr:rowOff>
    </xdr:from>
    <xdr:to>
      <xdr:col>13</xdr:col>
      <xdr:colOff>745331</xdr:colOff>
      <xdr:row>79</xdr:row>
      <xdr:rowOff>28575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4EE8E3B-34C2-063F-37F5-1743FFB85F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138238"/>
          <a:ext cx="2257425" cy="14297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1</xdr:colOff>
      <xdr:row>4</xdr:row>
      <xdr:rowOff>14289</xdr:rowOff>
    </xdr:from>
    <xdr:to>
      <xdr:col>23</xdr:col>
      <xdr:colOff>719138</xdr:colOff>
      <xdr:row>66</xdr:row>
      <xdr:rowOff>23814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9839FA26-3CD5-F796-1E0C-C87707882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1" y="1133477"/>
          <a:ext cx="2243137" cy="1182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30</xdr:col>
      <xdr:colOff>750094</xdr:colOff>
      <xdr:row>1</xdr:row>
      <xdr:rowOff>23812</xdr:rowOff>
    </xdr:from>
    <xdr:to>
      <xdr:col>35</xdr:col>
      <xdr:colOff>750094</xdr:colOff>
      <xdr:row>2</xdr:row>
      <xdr:rowOff>166687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E3B147-50F6-4B47-9AF9-D5865F1176D9}"/>
            </a:ext>
          </a:extLst>
        </xdr:cNvPr>
        <xdr:cNvSpPr/>
      </xdr:nvSpPr>
      <xdr:spPr>
        <a:xfrm>
          <a:off x="28717875" y="571500"/>
          <a:ext cx="3810000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todo el mes de abril del año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2015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30</xdr:col>
      <xdr:colOff>752475</xdr:colOff>
      <xdr:row>3</xdr:row>
      <xdr:rowOff>178593</xdr:rowOff>
    </xdr:from>
    <xdr:to>
      <xdr:col>34</xdr:col>
      <xdr:colOff>671512</xdr:colOff>
      <xdr:row>69</xdr:row>
      <xdr:rowOff>188118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582A639-1167-468B-BDBF-0747E4AC4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0256" y="1107281"/>
          <a:ext cx="2967037" cy="1258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190501</xdr:colOff>
      <xdr:row>4</xdr:row>
      <xdr:rowOff>95251</xdr:rowOff>
    </xdr:from>
    <xdr:to>
      <xdr:col>14</xdr:col>
      <xdr:colOff>646968</xdr:colOff>
      <xdr:row>15</xdr:row>
      <xdr:rowOff>104776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6CE242D-BAD5-823B-05BE-F6B60C2E7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81847" y="857251"/>
          <a:ext cx="3504467" cy="2105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461596</xdr:colOff>
      <xdr:row>5</xdr:row>
      <xdr:rowOff>153865</xdr:rowOff>
    </xdr:from>
    <xdr:to>
      <xdr:col>9</xdr:col>
      <xdr:colOff>194164</xdr:colOff>
      <xdr:row>8</xdr:row>
      <xdr:rowOff>73269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682F71C-DCD2-4C0B-85D4-626BF48A5F54}"/>
            </a:ext>
          </a:extLst>
        </xdr:cNvPr>
        <xdr:cNvSpPr/>
      </xdr:nvSpPr>
      <xdr:spPr>
        <a:xfrm>
          <a:off x="5246077" y="1106365"/>
          <a:ext cx="4048125" cy="490904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Con filtros avanzados mostrar los datos que estén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dentro de la fecha inicio y fecha final y además que sean mas de 2 unidades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11</xdr:col>
      <xdr:colOff>205154</xdr:colOff>
      <xdr:row>2</xdr:row>
      <xdr:rowOff>109903</xdr:rowOff>
    </xdr:from>
    <xdr:to>
      <xdr:col>13</xdr:col>
      <xdr:colOff>95251</xdr:colOff>
      <xdr:row>3</xdr:row>
      <xdr:rowOff>168518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1C002A3-3A5E-4110-BF96-58B82526A1EB}"/>
            </a:ext>
          </a:extLst>
        </xdr:cNvPr>
        <xdr:cNvSpPr/>
      </xdr:nvSpPr>
      <xdr:spPr>
        <a:xfrm>
          <a:off x="10858500" y="490903"/>
          <a:ext cx="1414097" cy="24911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200" b="1"/>
            <a:t>Resultado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757918</xdr:colOff>
      <xdr:row>1</xdr:row>
      <xdr:rowOff>27215</xdr:rowOff>
    </xdr:from>
    <xdr:to>
      <xdr:col>13</xdr:col>
      <xdr:colOff>234043</xdr:colOff>
      <xdr:row>2</xdr:row>
      <xdr:rowOff>170090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6E874A1-2749-46A4-A523-F42CC23EC5EB}"/>
            </a:ext>
          </a:extLst>
        </xdr:cNvPr>
        <xdr:cNvSpPr/>
      </xdr:nvSpPr>
      <xdr:spPr>
        <a:xfrm>
          <a:off x="7343775" y="217715"/>
          <a:ext cx="5572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Buscar Los productos que contengan un "*"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7</xdr:col>
      <xdr:colOff>759278</xdr:colOff>
      <xdr:row>22</xdr:row>
      <xdr:rowOff>19050</xdr:rowOff>
    </xdr:from>
    <xdr:to>
      <xdr:col>13</xdr:col>
      <xdr:colOff>235403</xdr:colOff>
      <xdr:row>23</xdr:row>
      <xdr:rowOff>161925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A11BCC9-A4BD-4B6E-BB83-4EB6A99DE63F}"/>
            </a:ext>
          </a:extLst>
        </xdr:cNvPr>
        <xdr:cNvSpPr/>
      </xdr:nvSpPr>
      <xdr:spPr>
        <a:xfrm>
          <a:off x="7345135" y="4210050"/>
          <a:ext cx="5572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Buscar Los productos que contengan un "?"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10</xdr:col>
      <xdr:colOff>17321</xdr:colOff>
      <xdr:row>25</xdr:row>
      <xdr:rowOff>29070</xdr:rowOff>
    </xdr:from>
    <xdr:to>
      <xdr:col>14</xdr:col>
      <xdr:colOff>508044</xdr:colOff>
      <xdr:row>29</xdr:row>
      <xdr:rowOff>38595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9A9EEE9-0585-FC59-BD75-21A9C0E54E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34503" y="4791570"/>
          <a:ext cx="534847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16329</xdr:colOff>
      <xdr:row>4</xdr:row>
      <xdr:rowOff>25853</xdr:rowOff>
    </xdr:from>
    <xdr:to>
      <xdr:col>9</xdr:col>
      <xdr:colOff>353043</xdr:colOff>
      <xdr:row>8</xdr:row>
      <xdr:rowOff>35378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5CEC54FE-05F1-E6EE-65A4-4DE835B334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4186" y="787853"/>
          <a:ext cx="1540328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0</xdr:row>
      <xdr:rowOff>85725</xdr:rowOff>
    </xdr:from>
    <xdr:to>
      <xdr:col>20</xdr:col>
      <xdr:colOff>371475</xdr:colOff>
      <xdr:row>5</xdr:row>
      <xdr:rowOff>57150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4B2E1144-13F2-4091-B8A6-80D59ED136AE}"/>
            </a:ext>
          </a:extLst>
        </xdr:cNvPr>
        <xdr:cNvSpPr/>
      </xdr:nvSpPr>
      <xdr:spPr>
        <a:xfrm>
          <a:off x="10201275" y="85725"/>
          <a:ext cx="10325100" cy="1133475"/>
        </a:xfrm>
        <a:prstGeom prst="roundRect">
          <a:avLst/>
        </a:prstGeom>
        <a:ln w="38100">
          <a:solidFill>
            <a:schemeClr val="accent6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/>
            <a:t>Utilice filtro avanzado para mostrar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los registros: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Cuyos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códigos inician con C, y el tercer caracter es la letra b    </a:t>
          </a:r>
          <a:r>
            <a:rPr lang="es-ES" sz="16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</a:t>
          </a:r>
          <a:endParaRPr lang="es-ES" sz="1600" b="1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Codigos que inician con P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Además ambos deben mostrar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aquellos cuyo nombre de producto contiene la palabra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chocolate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el importe fluctúa entre 100 y 500 soles y la forma de pago es al crédito. El resultado del filtro debe mostrarse a partir de la celda L17</a:t>
          </a:r>
          <a:endParaRPr lang="es-PE" sz="1100"/>
        </a:p>
      </xdr:txBody>
    </xdr:sp>
    <xdr:clientData/>
  </xdr:twoCellAnchor>
  <xdr:twoCellAnchor editAs="oneCell">
    <xdr:from>
      <xdr:col>10</xdr:col>
      <xdr:colOff>352425</xdr:colOff>
      <xdr:row>8</xdr:row>
      <xdr:rowOff>107661</xdr:rowOff>
    </xdr:from>
    <xdr:to>
      <xdr:col>19</xdr:col>
      <xdr:colOff>533400</xdr:colOff>
      <xdr:row>16</xdr:row>
      <xdr:rowOff>117186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D8497CD-80C3-560D-8D25-101D943644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41107" y="1839479"/>
          <a:ext cx="10602191" cy="153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676275</xdr:colOff>
      <xdr:row>5</xdr:row>
      <xdr:rowOff>104775</xdr:rowOff>
    </xdr:from>
    <xdr:to>
      <xdr:col>13</xdr:col>
      <xdr:colOff>47625</xdr:colOff>
      <xdr:row>8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7D10E18-7E80-449B-B242-25E690F8A151}"/>
            </a:ext>
          </a:extLst>
        </xdr:cNvPr>
        <xdr:cNvSpPr/>
      </xdr:nvSpPr>
      <xdr:spPr>
        <a:xfrm>
          <a:off x="10563225" y="1266825"/>
          <a:ext cx="1828800" cy="4667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800" b="1"/>
            <a:t>Resultado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539750</xdr:colOff>
      <xdr:row>0</xdr:row>
      <xdr:rowOff>130175</xdr:rowOff>
    </xdr:from>
    <xdr:to>
      <xdr:col>12</xdr:col>
      <xdr:colOff>501650</xdr:colOff>
      <xdr:row>8</xdr:row>
      <xdr:rowOff>6349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D4183034-2482-47C5-8710-EA6D4309D06D}"/>
            </a:ext>
          </a:extLst>
        </xdr:cNvPr>
        <xdr:cNvSpPr/>
      </xdr:nvSpPr>
      <xdr:spPr>
        <a:xfrm>
          <a:off x="539750" y="130175"/>
          <a:ext cx="10198100" cy="1400174"/>
        </a:xfrm>
        <a:prstGeom prst="roundRect">
          <a:avLst/>
        </a:prstGeom>
        <a:ln w="38100">
          <a:solidFill>
            <a:schemeClr val="accent6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Utilice filtro avanzado para mostrar los registros de la categoría Condimentos, cuya fecha venta fue el mes de mayo de 2015 y el precio unidad es menor a 20. </a:t>
          </a:r>
          <a:r>
            <a:rPr lang="es-ES" sz="20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Adicionalmente, muestre los registros de la categoría Carnes, cuya fecha de venta fue el mes de julio 2015 y el precio unidad es mayor a 90. En ningún de los dos  casos deben pertenecer al cliente Thomas. En el resultado del filtro solo se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deben mostrar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los campos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Fecha venta, Cliente, Categoría Producto, Precio Unidad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 partir de la celda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A17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Utilice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los datos de la hoja </a:t>
          </a:r>
          <a:r>
            <a:rPr lang="es-E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FA1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s-P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s-PE" sz="1100"/>
        </a:p>
      </xdr:txBody>
    </xdr:sp>
    <xdr:clientData/>
  </xdr:twoCellAnchor>
  <xdr:twoCellAnchor editAs="oneCell">
    <xdr:from>
      <xdr:col>12</xdr:col>
      <xdr:colOff>735157</xdr:colOff>
      <xdr:row>4</xdr:row>
      <xdr:rowOff>75334</xdr:rowOff>
    </xdr:from>
    <xdr:to>
      <xdr:col>16</xdr:col>
      <xdr:colOff>626052</xdr:colOff>
      <xdr:row>10</xdr:row>
      <xdr:rowOff>84859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3E1AF22-9C0E-04CC-739F-0467F6F667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0202" y="837334"/>
          <a:ext cx="3181350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47625</xdr:colOff>
      <xdr:row>0</xdr:row>
      <xdr:rowOff>123825</xdr:rowOff>
    </xdr:from>
    <xdr:to>
      <xdr:col>16</xdr:col>
      <xdr:colOff>352425</xdr:colOff>
      <xdr:row>3</xdr:row>
      <xdr:rowOff>19050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43C8D8C-3C75-4285-8FD0-96263EC65E19}"/>
            </a:ext>
          </a:extLst>
        </xdr:cNvPr>
        <xdr:cNvSpPr/>
      </xdr:nvSpPr>
      <xdr:spPr>
        <a:xfrm>
          <a:off x="9582150" y="123825"/>
          <a:ext cx="1828800" cy="4667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800" b="1"/>
            <a:t>Resultado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28575</xdr:rowOff>
    </xdr:from>
    <xdr:to>
      <xdr:col>5</xdr:col>
      <xdr:colOff>419100</xdr:colOff>
      <xdr:row>3</xdr:row>
      <xdr:rowOff>138479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D820D4A-FEEC-446B-B6F9-34711217AE82}"/>
            </a:ext>
          </a:extLst>
        </xdr:cNvPr>
        <xdr:cNvSpPr/>
      </xdr:nvSpPr>
      <xdr:spPr>
        <a:xfrm>
          <a:off x="942975" y="219075"/>
          <a:ext cx="4048125" cy="490904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1.-Con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una macro crea un filtro avanzado que cambie cada vez que presionas el botón Filtrar (Usa la tabla de la hoja "Ejercicio 7")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19</xdr:col>
      <xdr:colOff>707651</xdr:colOff>
      <xdr:row>6</xdr:row>
      <xdr:rowOff>54428</xdr:rowOff>
    </xdr:from>
    <xdr:to>
      <xdr:col>28</xdr:col>
      <xdr:colOff>13606</xdr:colOff>
      <xdr:row>34</xdr:row>
      <xdr:rowOff>49300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C2E43BA-AB4F-B050-5607-450669F103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4067" t="29726" r="24782" b="20453"/>
        <a:stretch/>
      </xdr:blipFill>
      <xdr:spPr>
        <a:xfrm>
          <a:off x="19077294" y="1292678"/>
          <a:ext cx="6163955" cy="5546586"/>
        </a:xfrm>
        <a:prstGeom prst="rect">
          <a:avLst/>
        </a:prstGeom>
        <a:ln w="76200">
          <a:solidFill>
            <a:srgbClr val="00B050"/>
          </a:solidFill>
        </a:ln>
      </xdr:spPr>
    </xdr:pic>
    <xdr:clientData/>
  </xdr:twoCellAnchor>
  <xdr:twoCellAnchor>
    <xdr:from>
      <xdr:col>22</xdr:col>
      <xdr:colOff>144236</xdr:colOff>
      <xdr:row>2</xdr:row>
      <xdr:rowOff>153760</xdr:rowOff>
    </xdr:from>
    <xdr:to>
      <xdr:col>24</xdr:col>
      <xdr:colOff>449036</xdr:colOff>
      <xdr:row>5</xdr:row>
      <xdr:rowOff>48985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6025CE3A-D084-EA14-AF48-821C3A0CD491}"/>
            </a:ext>
          </a:extLst>
        </xdr:cNvPr>
        <xdr:cNvSpPr/>
      </xdr:nvSpPr>
      <xdr:spPr>
        <a:xfrm>
          <a:off x="20799879" y="534760"/>
          <a:ext cx="1828800" cy="4667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800" b="1"/>
            <a:t>Resultado</a:t>
          </a:r>
        </a:p>
      </xdr:txBody>
    </xdr:sp>
    <xdr:clientData/>
  </xdr:twoCellAnchor>
  <xdr:twoCellAnchor>
    <xdr:from>
      <xdr:col>12</xdr:col>
      <xdr:colOff>1397454</xdr:colOff>
      <xdr:row>4</xdr:row>
      <xdr:rowOff>131989</xdr:rowOff>
    </xdr:from>
    <xdr:to>
      <xdr:col>14</xdr:col>
      <xdr:colOff>47625</xdr:colOff>
      <xdr:row>5</xdr:row>
      <xdr:rowOff>284389</xdr:rowOff>
    </xdr:to>
    <xdr:sp macro="[0]!FiltrarAutomaticamente2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6210DD9-61C6-C732-D121-F8694DA36938}"/>
            </a:ext>
          </a:extLst>
        </xdr:cNvPr>
        <xdr:cNvSpPr/>
      </xdr:nvSpPr>
      <xdr:spPr>
        <a:xfrm>
          <a:off x="14433097" y="893989"/>
          <a:ext cx="2242457" cy="342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 b="1"/>
            <a:t>FILTRAR</a:t>
          </a:r>
          <a:endParaRPr lang="es-AR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202E71-5E59-4BB1-9E76-393489AEB5CF}" name="Tabla1" displayName="Tabla1" ref="A2:J278" totalsRowShown="0">
  <tableColumns count="10">
    <tableColumn id="1" xr3:uid="{260CB81C-F6BF-4438-9858-5843C2710ECF}" name="Código"/>
    <tableColumn id="2" xr3:uid="{067537CA-9E7D-4177-B2A5-B9CEB6966F9F}" name="Fecha Venta" dataDxfId="45"/>
    <tableColumn id="3" xr3:uid="{392183A8-D3BA-4B6F-B1CE-FBE70DBBA57B}" name="Cliente"/>
    <tableColumn id="4" xr3:uid="{B411CE8C-EB40-458F-8EF2-D318D7EA6D2B}" name="País Destinatario"/>
    <tableColumn id="5" xr3:uid="{9871C8EF-A0D1-4B10-AB95-37D5956930A9}" name="Categoría Producto"/>
    <tableColumn id="6" xr3:uid="{B3A0D272-A590-4450-9C8D-B9B44BA196A4}" name="Nombre Producto"/>
    <tableColumn id="7" xr3:uid="{CC7AEAF0-E916-4087-A646-FBB4B842486D}" name="Precio Unidad"/>
    <tableColumn id="8" xr3:uid="{95574907-359F-41B3-BCE8-877CEF25C983}" name="Cantidad"/>
    <tableColumn id="9" xr3:uid="{B297225F-5EB0-46B1-9DAD-707A24A4E15E}" name="Importe"/>
    <tableColumn id="10" xr3:uid="{DD1D3FD0-FD05-4C8D-AAE7-CA987BC221C1}" name="Forma de Pago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3D74743-CE0D-4ED5-ADDB-536C81C2A18F}" name="Tabla2" displayName="Tabla2" ref="A1:I610" totalsRowShown="0">
  <tableColumns count="9">
    <tableColumn id="1" xr3:uid="{E266A826-ECB5-4C37-8B00-3CD04B62124C}" name="Código"/>
    <tableColumn id="2" xr3:uid="{60E90BE8-2D93-4779-B5EA-CD5F5CDD31B9}" name="Fecha Venta" dataDxfId="44"/>
    <tableColumn id="3" xr3:uid="{F799517D-7DB9-4937-A759-1B00C0B76F15}" name="Cliente"/>
    <tableColumn id="4" xr3:uid="{33CE9BE9-29E8-4332-8B45-C7A8D860877F}" name="País Destinatario"/>
    <tableColumn id="5" xr3:uid="{F8F5922C-81EE-443E-B41F-17DD934747C6}" name="Categoría Producto"/>
    <tableColumn id="6" xr3:uid="{EBC0ADE2-1AA6-4864-B794-D5829A626DD1}" name="Nombre Producto"/>
    <tableColumn id="7" xr3:uid="{3878B1A9-4FE5-46D1-84F5-80A03BE1D208}" name="Precio Unidad"/>
    <tableColumn id="8" xr3:uid="{E3605629-D8CF-4B2E-9464-2A9A2B97ABAD}" name="Cantidad"/>
    <tableColumn id="10" xr3:uid="{A673AE98-CDDA-4248-B564-43670D78BD55}" name="Forma de Pago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31BDA6-59F8-453B-B74E-9C4CC426655D}" name="Tabla3" displayName="Tabla3" ref="A1:J610" totalsRowShown="0" headerRowDxfId="43">
  <tableColumns count="10">
    <tableColumn id="1" xr3:uid="{7A3BC04E-4C80-4577-8DF5-07DE6BADCAB1}" name="Código"/>
    <tableColumn id="2" xr3:uid="{B0E2F2D9-E2D5-4F2B-8387-DEC2981C0D11}" name="Fecha Venta" dataDxfId="42"/>
    <tableColumn id="3" xr3:uid="{EAB4D0A8-A8C8-47DC-A7F8-1FA5F6B6F061}" name="Cliente"/>
    <tableColumn id="4" xr3:uid="{6F319D08-F321-43FD-B4A7-20C479D911E2}" name="País Destinatario"/>
    <tableColumn id="5" xr3:uid="{EA6C9E03-30A8-4299-B15F-A66893A21E36}" name="Categoría Producto"/>
    <tableColumn id="6" xr3:uid="{B9C66F26-C179-49DF-96E7-BC7968A97A6A}" name="Nombre Producto"/>
    <tableColumn id="7" xr3:uid="{8A34A623-1879-410B-9CA3-0046333DA3E7}" name="Precio Unidad"/>
    <tableColumn id="8" xr3:uid="{79F6E7C3-B51B-4205-A401-C555B061F913}" name="Cantidad"/>
    <tableColumn id="9" xr3:uid="{0F88AB77-0727-46D1-BF6D-32285C59C734}" name="Importe"/>
    <tableColumn id="10" xr3:uid="{4A88D0C3-A027-4996-A54A-F15AA9A081A7}" name="Forma de Pag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90082C-8BBE-436A-9EC3-5312CE818CD1}" name="Tabla4" displayName="Tabla4" ref="A1:J610" totalsRowShown="0" headerRowDxfId="41" dataDxfId="39" headerRowBorderDxfId="40" tableBorderDxfId="38" totalsRowBorderDxfId="37">
  <tableColumns count="10">
    <tableColumn id="1" xr3:uid="{E5B149DB-223E-4128-ABF7-D84A82F4BA56}" name="Código" dataDxfId="36"/>
    <tableColumn id="2" xr3:uid="{4DAF1150-AE5D-4622-9E30-91095BECAF14}" name="Fecha Venta" dataDxfId="35"/>
    <tableColumn id="3" xr3:uid="{2AF4373D-FFFC-4E56-B8CC-33934997E7AF}" name="Cliente" dataDxfId="34"/>
    <tableColumn id="4" xr3:uid="{BE2A077E-CBC0-4223-B27A-F464142E34A6}" name="País Destinatario" dataDxfId="33"/>
    <tableColumn id="5" xr3:uid="{2A70ECC7-6679-47DA-8B00-6B7FE33266EF}" name="Categoría Producto" dataDxfId="32"/>
    <tableColumn id="6" xr3:uid="{5FD58C5D-D97E-4B2A-BBA2-0F89320FC088}" name="Nombre Producto" dataDxfId="31"/>
    <tableColumn id="7" xr3:uid="{D946E771-715B-48C3-8C9E-8C09CDEF3458}" name="Precio Unidad" dataDxfId="30"/>
    <tableColumn id="8" xr3:uid="{956FE5E0-EB7F-49E6-9F60-CFEE6A6AFC44}" name="Cantidad" dataDxfId="29"/>
    <tableColumn id="9" xr3:uid="{1C8A2D06-44C5-4662-A8F1-D55A285FC624}" name="Importe" dataDxfId="28"/>
    <tableColumn id="10" xr3:uid="{007C88B6-27A1-4A32-9800-1B1F7A2D4C24}" name="Forma de Pago" dataDxfId="27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525080F-130E-4835-8241-549B928E6FF0}" name="Tabla5" displayName="Tabla5" ref="A1:J610" totalsRowShown="0" headerRowDxfId="26" dataDxfId="24" headerRowBorderDxfId="25" tableBorderDxfId="23" totalsRowBorderDxfId="22">
  <tableColumns count="10">
    <tableColumn id="1" xr3:uid="{C8256D01-5074-4FF0-9178-AEEF8F6821F0}" name="Código" dataDxfId="21"/>
    <tableColumn id="2" xr3:uid="{5585969C-4EEB-4844-B607-B061E5A97CEE}" name="Fecha Venta" dataDxfId="20"/>
    <tableColumn id="3" xr3:uid="{025D8CEE-CEBB-4291-975B-C74C6FF301F5}" name="Cliente" dataDxfId="19"/>
    <tableColumn id="4" xr3:uid="{F957B8B5-D03D-44CB-9B38-BA21D346F753}" name="País Destinatario" dataDxfId="18"/>
    <tableColumn id="5" xr3:uid="{CA9B207C-F4A4-43BE-945E-4B83EDE9EF2C}" name="Categoría Producto" dataDxfId="17"/>
    <tableColumn id="6" xr3:uid="{C57FD0B4-F28F-4F98-A6E6-0F5CB8CF81FC}" name="Nombre Producto" dataDxfId="16"/>
    <tableColumn id="7" xr3:uid="{7CD5B3F8-1E1F-4254-8ABF-D65B6FAEF4A1}" name="Precio Unidad" dataDxfId="15"/>
    <tableColumn id="8" xr3:uid="{9D06A277-DFBD-4702-B8F9-51E40EB0E077}" name="Cantidad" dataDxfId="14"/>
    <tableColumn id="9" xr3:uid="{51F95AC2-7713-4DC6-9800-0ADA7FCF7147}" name="Importe" dataDxfId="13"/>
    <tableColumn id="10" xr3:uid="{C8C7CE6F-E5B9-442E-95E4-B981C767ACFE}" name="Forma de Pago" dataDxfId="12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126D66-2C1E-4454-9FC3-783DF2E584C5}" name="Tabla6" displayName="Tabla6" ref="A2:D186" totalsRowShown="0" headerRowDxfId="11" headerRowBorderDxfId="10" tableBorderDxfId="9" totalsRowBorderDxfId="8">
  <tableColumns count="4">
    <tableColumn id="1" xr3:uid="{7325ABB6-9CFD-4FAA-B88D-1F5D6C3E1CB5}" name="Fecha" dataDxfId="7"/>
    <tableColumn id="2" xr3:uid="{A2510031-FDEE-4F71-8AC7-DFD24EB2EC72}" name="Representante" dataDxfId="6"/>
    <tableColumn id="3" xr3:uid="{F3EE6614-FEB7-42B5-BF7F-8214CDD8B276}" name="CódigoProducto" dataDxfId="5"/>
    <tableColumn id="4" xr3:uid="{E34706C1-3098-4AC9-AC39-326BF4CD8ECB}" name="Unidades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AA9F67-8565-4213-8031-300292DE1323}" name="Tabla12" displayName="Tabla12" ref="A1:G28" totalsRowShown="0">
  <tableColumns count="7">
    <tableColumn id="1" xr3:uid="{0D21EE6F-A547-4407-AE86-D1F2EA83BFD3}" name="Código"/>
    <tableColumn id="2" xr3:uid="{C51C5F87-FFDD-43FA-9261-E11091F9A4D5}" name="Fecha Venta" dataDxfId="3"/>
    <tableColumn id="6" xr3:uid="{EDA198A9-E68D-4B60-9FEE-94F314524717}" name="Nombre Producto"/>
    <tableColumn id="7" xr3:uid="{DAA77593-E1B3-4126-9C77-9518971C0240}" name="Precio Unidad"/>
    <tableColumn id="8" xr3:uid="{045FAA7E-386E-4655-AD57-B141ACF146BE}" name="Cantidad"/>
    <tableColumn id="9" xr3:uid="{2DED347C-2DD3-4DA3-9887-4D8CC69A1534}" name="Importe"/>
    <tableColumn id="10" xr3:uid="{D9FA0E8A-D92C-42FE-9252-E018077A658F}" name="Forma de Pago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3CD131-AA6D-4832-98FA-4EAFD4296FCD}" name="Ejercicio7" displayName="Ejercicio7" ref="A1:J610" totalsRowShown="0" headerRowDxfId="2">
  <tableColumns count="10">
    <tableColumn id="1" xr3:uid="{98518C18-8E33-4BDB-AF65-768E5A7E1E85}" name="Código"/>
    <tableColumn id="2" xr3:uid="{C884E77D-A44E-4C4F-A1EC-B8118EBA4F5B}" name="Fecha Venta"/>
    <tableColumn id="3" xr3:uid="{F23908ED-034B-4C6C-8F57-E2F83AEA32AC}" name="Cliente"/>
    <tableColumn id="4" xr3:uid="{8C035DB8-B3B1-431F-94EF-083675740F82}" name="País Destinatario"/>
    <tableColumn id="5" xr3:uid="{4A183296-9755-4FF3-9B43-8261D5E975DB}" name="Categoría Producto"/>
    <tableColumn id="6" xr3:uid="{4DB7BE97-967F-483F-892F-1988C3199D78}" name="Nombre Producto"/>
    <tableColumn id="7" xr3:uid="{3567AE5F-E63D-454C-A9BE-07C40E8BBB6C}" name="Precio Unidad"/>
    <tableColumn id="8" xr3:uid="{B6440B1B-3F5C-492E-AC0C-2B722743B752}" name="Cantidad"/>
    <tableColumn id="9" xr3:uid="{51888759-825B-4516-B86B-65F92E218BBD}" name="Importe"/>
    <tableColumn id="10" xr3:uid="{FCB0D676-E556-402A-B6C7-EE6F0DB0F486}" name="Forma de Pag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6109A1-1719-4683-A3CE-129DDE89FB16}" name="Tabla10" displayName="Tabla10" ref="B8:F617" totalsRowShown="0" headerRowDxfId="1">
  <tableColumns count="5">
    <tableColumn id="2" xr3:uid="{A06AD7DF-B5A4-4A6B-8B4F-88468A598487}" name="Fecha Venta" dataDxfId="0"/>
    <tableColumn id="3" xr3:uid="{BFAD6769-2479-42F5-BD0B-651E04C84A3C}" name="Cliente"/>
    <tableColumn id="4" xr3:uid="{3F1CF236-90CF-40E3-9DAB-6474FD820AC3}" name="País Destinatario"/>
    <tableColumn id="5" xr3:uid="{C302DFA4-B338-4E3C-BAF5-AD960EE49C65}" name="Categoría Producto"/>
    <tableColumn id="6" xr3:uid="{F8615D3F-A864-4097-B0BB-03ADDF6A4301}" name="Nombre Produc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6E735-77BE-4E26-9A9F-85F48C55B443}">
  <sheetPr codeName="Hoja11"/>
  <dimension ref="A1"/>
  <sheetViews>
    <sheetView workbookViewId="0">
      <selection activeCell="E7" sqref="E7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47B87-D3C2-4B89-91D5-8F44F8298057}">
  <sheetPr codeName="Hoja1"/>
  <dimension ref="A2:AE278"/>
  <sheetViews>
    <sheetView topLeftCell="J92" zoomScale="60" zoomScaleNormal="60" workbookViewId="0">
      <selection activeCell="V120" sqref="V120:AE120"/>
    </sheetView>
  </sheetViews>
  <sheetFormatPr baseColWidth="10" defaultRowHeight="14.4" x14ac:dyDescent="0.3"/>
  <cols>
    <col min="2" max="2" width="14" style="5" customWidth="1"/>
    <col min="4" max="4" width="18" customWidth="1"/>
    <col min="5" max="5" width="20" customWidth="1"/>
    <col min="6" max="6" width="18.88671875" customWidth="1"/>
    <col min="7" max="7" width="15.5546875" customWidth="1"/>
    <col min="10" max="10" width="16.109375" customWidth="1"/>
    <col min="12" max="12" width="18" customWidth="1"/>
    <col min="14" max="14" width="18.88671875" customWidth="1"/>
    <col min="15" max="15" width="18.5546875" customWidth="1"/>
    <col min="16" max="16" width="21.109375" customWidth="1"/>
    <col min="17" max="17" width="18" customWidth="1"/>
    <col min="18" max="18" width="20" customWidth="1"/>
    <col min="19" max="19" width="28" customWidth="1"/>
    <col min="20" max="20" width="15.5546875" customWidth="1"/>
    <col min="21" max="21" width="18" customWidth="1"/>
    <col min="22" max="22" width="26.6640625" customWidth="1"/>
    <col min="23" max="23" width="18.88671875" customWidth="1"/>
    <col min="24" max="24" width="29.44140625" customWidth="1"/>
    <col min="25" max="25" width="20" customWidth="1"/>
    <col min="26" max="26" width="24.109375" customWidth="1"/>
    <col min="27" max="27" width="34.33203125" customWidth="1"/>
    <col min="28" max="28" width="21.6640625" customWidth="1"/>
    <col min="30" max="30" width="16.109375" customWidth="1"/>
    <col min="31" max="31" width="19" customWidth="1"/>
  </cols>
  <sheetData>
    <row r="2" spans="1:28" x14ac:dyDescent="0.3">
      <c r="A2" t="s">
        <v>0</v>
      </c>
      <c r="B2" s="5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S2" s="76" t="s">
        <v>0</v>
      </c>
      <c r="T2" s="84" t="s">
        <v>1</v>
      </c>
      <c r="U2" s="77" t="s">
        <v>2</v>
      </c>
      <c r="V2" s="77" t="s">
        <v>3</v>
      </c>
      <c r="W2" s="77" t="s">
        <v>4</v>
      </c>
      <c r="X2" s="77" t="s">
        <v>5</v>
      </c>
      <c r="Y2" s="77" t="s">
        <v>6</v>
      </c>
      <c r="Z2" s="77" t="s">
        <v>7</v>
      </c>
      <c r="AA2" s="77" t="s">
        <v>8</v>
      </c>
      <c r="AB2" s="78" t="s">
        <v>9</v>
      </c>
    </row>
    <row r="3" spans="1:28" x14ac:dyDescent="0.3">
      <c r="A3" t="s">
        <v>10</v>
      </c>
      <c r="B3" s="5">
        <v>42011</v>
      </c>
      <c r="C3" t="s">
        <v>11</v>
      </c>
      <c r="D3" t="s">
        <v>12</v>
      </c>
      <c r="E3" t="s">
        <v>13</v>
      </c>
      <c r="F3" t="s">
        <v>14</v>
      </c>
      <c r="G3">
        <v>7</v>
      </c>
      <c r="H3">
        <v>20</v>
      </c>
      <c r="I3">
        <v>140</v>
      </c>
      <c r="J3" t="s">
        <v>15</v>
      </c>
      <c r="R3" s="49"/>
      <c r="S3" s="79"/>
      <c r="T3" s="85"/>
      <c r="U3" s="74"/>
      <c r="V3" s="74"/>
      <c r="W3" s="74" t="s">
        <v>13</v>
      </c>
      <c r="X3" s="74"/>
      <c r="Y3" s="74"/>
      <c r="Z3" s="74"/>
      <c r="AA3" s="74"/>
      <c r="AB3" s="75"/>
    </row>
    <row r="4" spans="1:28" x14ac:dyDescent="0.3">
      <c r="A4" t="s">
        <v>16</v>
      </c>
      <c r="B4" s="5">
        <v>42015</v>
      </c>
      <c r="C4" t="s">
        <v>11</v>
      </c>
      <c r="D4" t="s">
        <v>12</v>
      </c>
      <c r="E4" t="s">
        <v>17</v>
      </c>
      <c r="F4" t="s">
        <v>18</v>
      </c>
      <c r="G4">
        <v>19</v>
      </c>
      <c r="H4">
        <v>12</v>
      </c>
      <c r="I4">
        <v>228</v>
      </c>
      <c r="J4" t="s">
        <v>15</v>
      </c>
    </row>
    <row r="5" spans="1:28" x14ac:dyDescent="0.3">
      <c r="A5" t="s">
        <v>19</v>
      </c>
      <c r="B5" s="5">
        <v>42015</v>
      </c>
      <c r="C5" t="s">
        <v>20</v>
      </c>
      <c r="D5" t="s">
        <v>12</v>
      </c>
      <c r="E5" t="s">
        <v>21</v>
      </c>
      <c r="F5" t="s">
        <v>22</v>
      </c>
      <c r="G5">
        <v>12</v>
      </c>
      <c r="H5">
        <v>35</v>
      </c>
      <c r="I5">
        <v>420</v>
      </c>
      <c r="J5" t="s">
        <v>15</v>
      </c>
      <c r="S5" s="86" t="s">
        <v>0</v>
      </c>
      <c r="T5" s="87" t="s">
        <v>1</v>
      </c>
      <c r="U5" s="86" t="s">
        <v>2</v>
      </c>
      <c r="V5" s="86" t="s">
        <v>3</v>
      </c>
      <c r="W5" s="86" t="s">
        <v>4</v>
      </c>
      <c r="X5" s="86" t="s">
        <v>5</v>
      </c>
      <c r="Y5" s="86" t="s">
        <v>6</v>
      </c>
      <c r="Z5" s="86" t="s">
        <v>7</v>
      </c>
      <c r="AA5" s="86" t="s">
        <v>8</v>
      </c>
      <c r="AB5" s="86" t="s">
        <v>9</v>
      </c>
    </row>
    <row r="6" spans="1:28" x14ac:dyDescent="0.3">
      <c r="A6" t="s">
        <v>23</v>
      </c>
      <c r="B6" s="5">
        <v>42017</v>
      </c>
      <c r="C6" t="s">
        <v>20</v>
      </c>
      <c r="D6" t="s">
        <v>24</v>
      </c>
      <c r="E6" t="s">
        <v>17</v>
      </c>
      <c r="F6" t="s">
        <v>25</v>
      </c>
      <c r="G6">
        <v>7.75</v>
      </c>
      <c r="H6">
        <v>20</v>
      </c>
      <c r="I6">
        <v>155</v>
      </c>
      <c r="J6" t="s">
        <v>26</v>
      </c>
      <c r="L6" s="37"/>
      <c r="M6" s="62"/>
      <c r="N6" s="37"/>
      <c r="O6" s="37"/>
      <c r="P6" s="37"/>
      <c r="Q6" s="37"/>
      <c r="R6" s="37"/>
      <c r="S6" t="s">
        <v>10</v>
      </c>
      <c r="T6" s="5">
        <v>42011</v>
      </c>
      <c r="U6" t="s">
        <v>11</v>
      </c>
      <c r="V6" t="s">
        <v>12</v>
      </c>
      <c r="W6" t="s">
        <v>13</v>
      </c>
      <c r="X6" t="s">
        <v>14</v>
      </c>
      <c r="Y6">
        <v>7</v>
      </c>
      <c r="Z6">
        <v>20</v>
      </c>
      <c r="AA6">
        <v>140</v>
      </c>
      <c r="AB6" t="s">
        <v>15</v>
      </c>
    </row>
    <row r="7" spans="1:28" x14ac:dyDescent="0.3">
      <c r="A7" t="s">
        <v>27</v>
      </c>
      <c r="B7" s="5">
        <v>42017</v>
      </c>
      <c r="C7" t="s">
        <v>28</v>
      </c>
      <c r="D7" t="s">
        <v>24</v>
      </c>
      <c r="E7" t="s">
        <v>17</v>
      </c>
      <c r="F7" t="s">
        <v>29</v>
      </c>
      <c r="G7">
        <v>46</v>
      </c>
      <c r="H7">
        <v>7</v>
      </c>
      <c r="I7">
        <v>322</v>
      </c>
      <c r="J7" t="s">
        <v>26</v>
      </c>
      <c r="L7" s="37"/>
      <c r="M7" s="62"/>
      <c r="N7" s="37"/>
      <c r="O7" s="37"/>
      <c r="P7" s="37"/>
      <c r="Q7" s="37"/>
      <c r="R7" s="37"/>
      <c r="S7" t="s">
        <v>40</v>
      </c>
      <c r="T7" s="5">
        <v>42023</v>
      </c>
      <c r="U7" t="s">
        <v>20</v>
      </c>
      <c r="V7" t="s">
        <v>12</v>
      </c>
      <c r="W7" t="s">
        <v>13</v>
      </c>
      <c r="X7" t="s">
        <v>41</v>
      </c>
      <c r="Y7">
        <v>34</v>
      </c>
      <c r="Z7">
        <v>30</v>
      </c>
      <c r="AA7">
        <v>1020</v>
      </c>
      <c r="AB7" t="s">
        <v>26</v>
      </c>
    </row>
    <row r="8" spans="1:28" x14ac:dyDescent="0.3">
      <c r="A8" t="s">
        <v>30</v>
      </c>
      <c r="B8" s="5">
        <v>42023</v>
      </c>
      <c r="C8" t="s">
        <v>31</v>
      </c>
      <c r="D8" t="s">
        <v>24</v>
      </c>
      <c r="E8" t="s">
        <v>17</v>
      </c>
      <c r="F8" t="s">
        <v>32</v>
      </c>
      <c r="G8">
        <v>263.5</v>
      </c>
      <c r="H8">
        <v>2</v>
      </c>
      <c r="I8">
        <v>527</v>
      </c>
      <c r="J8" t="s">
        <v>15</v>
      </c>
      <c r="M8" s="5"/>
      <c r="S8" t="s">
        <v>48</v>
      </c>
      <c r="T8" s="5">
        <v>42023</v>
      </c>
      <c r="U8" t="s">
        <v>11</v>
      </c>
      <c r="V8" t="s">
        <v>45</v>
      </c>
      <c r="W8" t="s">
        <v>13</v>
      </c>
      <c r="X8" t="s">
        <v>41</v>
      </c>
      <c r="Y8">
        <v>34</v>
      </c>
      <c r="Z8">
        <v>21</v>
      </c>
      <c r="AA8">
        <v>714</v>
      </c>
      <c r="AB8" t="s">
        <v>15</v>
      </c>
    </row>
    <row r="9" spans="1:28" x14ac:dyDescent="0.3">
      <c r="A9" t="s">
        <v>33</v>
      </c>
      <c r="B9" s="5">
        <v>42023</v>
      </c>
      <c r="C9" t="s">
        <v>20</v>
      </c>
      <c r="D9" t="s">
        <v>24</v>
      </c>
      <c r="E9" t="s">
        <v>34</v>
      </c>
      <c r="F9" t="s">
        <v>35</v>
      </c>
      <c r="G9">
        <v>81</v>
      </c>
      <c r="H9">
        <v>5</v>
      </c>
      <c r="I9">
        <v>405</v>
      </c>
      <c r="J9" t="s">
        <v>15</v>
      </c>
      <c r="S9" t="s">
        <v>49</v>
      </c>
      <c r="T9" s="5">
        <v>42023</v>
      </c>
      <c r="U9" t="s">
        <v>20</v>
      </c>
      <c r="V9" t="s">
        <v>45</v>
      </c>
      <c r="W9" t="s">
        <v>13</v>
      </c>
      <c r="X9" t="s">
        <v>14</v>
      </c>
      <c r="Y9">
        <v>6</v>
      </c>
      <c r="Z9">
        <v>10</v>
      </c>
      <c r="AA9">
        <v>60</v>
      </c>
      <c r="AB9" t="s">
        <v>15</v>
      </c>
    </row>
    <row r="10" spans="1:28" x14ac:dyDescent="0.3">
      <c r="A10" t="s">
        <v>36</v>
      </c>
      <c r="B10" s="5">
        <v>42023</v>
      </c>
      <c r="C10" t="s">
        <v>20</v>
      </c>
      <c r="D10" t="s">
        <v>12</v>
      </c>
      <c r="E10" t="s">
        <v>17</v>
      </c>
      <c r="F10" t="s">
        <v>37</v>
      </c>
      <c r="G10">
        <v>18</v>
      </c>
      <c r="H10">
        <v>28</v>
      </c>
      <c r="I10">
        <v>504</v>
      </c>
      <c r="J10" t="s">
        <v>26</v>
      </c>
      <c r="M10" s="5"/>
      <c r="S10" t="s">
        <v>55</v>
      </c>
      <c r="T10" s="5">
        <v>42029</v>
      </c>
      <c r="U10" t="s">
        <v>28</v>
      </c>
      <c r="V10" t="s">
        <v>12</v>
      </c>
      <c r="W10" t="s">
        <v>13</v>
      </c>
      <c r="X10" t="s">
        <v>56</v>
      </c>
      <c r="Y10">
        <v>34.799999999999997</v>
      </c>
      <c r="Z10">
        <v>15</v>
      </c>
      <c r="AA10">
        <v>522</v>
      </c>
      <c r="AB10" t="s">
        <v>26</v>
      </c>
    </row>
    <row r="11" spans="1:28" x14ac:dyDescent="0.3">
      <c r="A11" t="s">
        <v>38</v>
      </c>
      <c r="B11" s="5">
        <v>42023</v>
      </c>
      <c r="C11" t="s">
        <v>11</v>
      </c>
      <c r="D11" t="s">
        <v>12</v>
      </c>
      <c r="E11" t="s">
        <v>21</v>
      </c>
      <c r="F11" t="s">
        <v>39</v>
      </c>
      <c r="G11">
        <v>25</v>
      </c>
      <c r="H11">
        <v>6</v>
      </c>
      <c r="I11">
        <v>150</v>
      </c>
      <c r="J11" t="s">
        <v>26</v>
      </c>
      <c r="M11" s="5"/>
      <c r="S11" t="s">
        <v>82</v>
      </c>
      <c r="T11" s="5">
        <v>42045</v>
      </c>
      <c r="U11" t="s">
        <v>28</v>
      </c>
      <c r="V11" t="s">
        <v>45</v>
      </c>
      <c r="W11" t="s">
        <v>13</v>
      </c>
      <c r="X11" t="s">
        <v>14</v>
      </c>
      <c r="Y11">
        <v>21</v>
      </c>
      <c r="Z11">
        <v>10</v>
      </c>
      <c r="AA11">
        <v>210</v>
      </c>
      <c r="AB11" t="s">
        <v>15</v>
      </c>
    </row>
    <row r="12" spans="1:28" x14ac:dyDescent="0.3">
      <c r="A12" t="s">
        <v>40</v>
      </c>
      <c r="B12" s="5">
        <v>42023</v>
      </c>
      <c r="C12" t="s">
        <v>20</v>
      </c>
      <c r="D12" t="s">
        <v>12</v>
      </c>
      <c r="E12" t="s">
        <v>13</v>
      </c>
      <c r="F12" t="s">
        <v>41</v>
      </c>
      <c r="G12">
        <v>34</v>
      </c>
      <c r="H12">
        <v>30</v>
      </c>
      <c r="I12">
        <v>1020</v>
      </c>
      <c r="J12" t="s">
        <v>26</v>
      </c>
      <c r="M12" s="5"/>
      <c r="S12" t="s">
        <v>157</v>
      </c>
      <c r="T12" s="5">
        <v>42087</v>
      </c>
      <c r="U12" t="s">
        <v>20</v>
      </c>
      <c r="V12" t="s">
        <v>24</v>
      </c>
      <c r="W12" t="s">
        <v>13</v>
      </c>
      <c r="X12" t="s">
        <v>56</v>
      </c>
      <c r="Y12">
        <v>34.799999999999997</v>
      </c>
      <c r="Z12">
        <v>5</v>
      </c>
      <c r="AA12">
        <v>174</v>
      </c>
      <c r="AB12" t="s">
        <v>26</v>
      </c>
    </row>
    <row r="13" spans="1:28" x14ac:dyDescent="0.3">
      <c r="A13" t="s">
        <v>42</v>
      </c>
      <c r="B13" s="5">
        <v>42023</v>
      </c>
      <c r="C13" t="s">
        <v>31</v>
      </c>
      <c r="D13" t="s">
        <v>12</v>
      </c>
      <c r="E13" t="s">
        <v>34</v>
      </c>
      <c r="F13" t="s">
        <v>43</v>
      </c>
      <c r="G13">
        <v>12.5</v>
      </c>
      <c r="H13">
        <v>24</v>
      </c>
      <c r="I13">
        <v>300</v>
      </c>
      <c r="J13" t="s">
        <v>26</v>
      </c>
      <c r="M13" s="5"/>
      <c r="S13" t="s">
        <v>166</v>
      </c>
      <c r="T13" s="5">
        <v>42099</v>
      </c>
      <c r="U13" t="s">
        <v>11</v>
      </c>
      <c r="V13" t="s">
        <v>24</v>
      </c>
      <c r="W13" t="s">
        <v>13</v>
      </c>
      <c r="X13" t="s">
        <v>14</v>
      </c>
      <c r="Y13">
        <v>21</v>
      </c>
      <c r="Z13">
        <v>30</v>
      </c>
      <c r="AA13">
        <v>630</v>
      </c>
      <c r="AB13" t="s">
        <v>26</v>
      </c>
    </row>
    <row r="14" spans="1:28" x14ac:dyDescent="0.3">
      <c r="A14" t="s">
        <v>44</v>
      </c>
      <c r="B14" s="5">
        <v>42023</v>
      </c>
      <c r="C14" t="s">
        <v>31</v>
      </c>
      <c r="D14" t="s">
        <v>45</v>
      </c>
      <c r="E14" t="s">
        <v>17</v>
      </c>
      <c r="F14" t="s">
        <v>18</v>
      </c>
      <c r="G14">
        <v>19</v>
      </c>
      <c r="H14">
        <v>10</v>
      </c>
      <c r="I14">
        <v>190</v>
      </c>
      <c r="J14" t="s">
        <v>15</v>
      </c>
      <c r="M14" s="5"/>
      <c r="S14" t="s">
        <v>169</v>
      </c>
      <c r="T14" s="5">
        <v>42100</v>
      </c>
      <c r="U14" t="s">
        <v>11</v>
      </c>
      <c r="V14" t="s">
        <v>12</v>
      </c>
      <c r="W14" t="s">
        <v>13</v>
      </c>
      <c r="X14" t="s">
        <v>14</v>
      </c>
      <c r="Y14">
        <v>21</v>
      </c>
      <c r="Z14">
        <v>15</v>
      </c>
      <c r="AA14">
        <v>315</v>
      </c>
      <c r="AB14" t="s">
        <v>15</v>
      </c>
    </row>
    <row r="15" spans="1:28" x14ac:dyDescent="0.3">
      <c r="A15" t="s">
        <v>46</v>
      </c>
      <c r="B15" s="5">
        <v>42023</v>
      </c>
      <c r="C15" t="s">
        <v>11</v>
      </c>
      <c r="D15" t="s">
        <v>45</v>
      </c>
      <c r="E15" t="s">
        <v>21</v>
      </c>
      <c r="F15" t="s">
        <v>47</v>
      </c>
      <c r="G15">
        <v>40</v>
      </c>
      <c r="H15">
        <v>20</v>
      </c>
      <c r="I15">
        <v>800</v>
      </c>
      <c r="J15" t="s">
        <v>15</v>
      </c>
      <c r="M15" s="5"/>
      <c r="S15" t="s">
        <v>171</v>
      </c>
      <c r="T15" s="5">
        <v>42100</v>
      </c>
      <c r="U15" t="s">
        <v>11</v>
      </c>
      <c r="V15" t="s">
        <v>45</v>
      </c>
      <c r="W15" t="s">
        <v>13</v>
      </c>
      <c r="X15" t="s">
        <v>14</v>
      </c>
      <c r="Y15">
        <v>30</v>
      </c>
      <c r="Z15">
        <v>60</v>
      </c>
      <c r="AA15">
        <v>1800</v>
      </c>
      <c r="AB15" t="s">
        <v>15</v>
      </c>
    </row>
    <row r="16" spans="1:28" x14ac:dyDescent="0.3">
      <c r="A16" t="s">
        <v>48</v>
      </c>
      <c r="B16" s="5">
        <v>42023</v>
      </c>
      <c r="C16" t="s">
        <v>11</v>
      </c>
      <c r="D16" t="s">
        <v>45</v>
      </c>
      <c r="E16" t="s">
        <v>13</v>
      </c>
      <c r="F16" t="s">
        <v>41</v>
      </c>
      <c r="G16">
        <v>34</v>
      </c>
      <c r="H16">
        <v>21</v>
      </c>
      <c r="I16">
        <v>714</v>
      </c>
      <c r="J16" t="s">
        <v>15</v>
      </c>
      <c r="M16" s="5"/>
      <c r="S16" t="s">
        <v>173</v>
      </c>
      <c r="T16" s="5">
        <v>42100</v>
      </c>
      <c r="U16" t="s">
        <v>20</v>
      </c>
      <c r="V16" t="s">
        <v>45</v>
      </c>
      <c r="W16" t="s">
        <v>13</v>
      </c>
      <c r="X16" t="s">
        <v>56</v>
      </c>
      <c r="Y16">
        <v>34.799999999999997</v>
      </c>
      <c r="Z16">
        <v>20</v>
      </c>
      <c r="AA16">
        <v>696</v>
      </c>
      <c r="AB16" t="s">
        <v>15</v>
      </c>
    </row>
    <row r="17" spans="1:28" x14ac:dyDescent="0.3">
      <c r="A17" t="s">
        <v>49</v>
      </c>
      <c r="B17" s="5">
        <v>42023</v>
      </c>
      <c r="C17" t="s">
        <v>20</v>
      </c>
      <c r="D17" t="s">
        <v>45</v>
      </c>
      <c r="E17" t="s">
        <v>13</v>
      </c>
      <c r="F17" t="s">
        <v>14</v>
      </c>
      <c r="G17">
        <v>6</v>
      </c>
      <c r="H17">
        <v>10</v>
      </c>
      <c r="I17">
        <v>60</v>
      </c>
      <c r="J17" t="s">
        <v>15</v>
      </c>
      <c r="M17" s="5"/>
      <c r="S17" t="s">
        <v>175</v>
      </c>
      <c r="T17" s="5">
        <v>42108</v>
      </c>
      <c r="U17" t="s">
        <v>20</v>
      </c>
      <c r="V17" t="s">
        <v>85</v>
      </c>
      <c r="W17" t="s">
        <v>13</v>
      </c>
      <c r="X17" t="s">
        <v>41</v>
      </c>
      <c r="Y17">
        <v>34</v>
      </c>
      <c r="Z17">
        <v>9</v>
      </c>
      <c r="AA17">
        <v>306</v>
      </c>
      <c r="AB17" t="s">
        <v>15</v>
      </c>
    </row>
    <row r="18" spans="1:28" x14ac:dyDescent="0.3">
      <c r="A18" t="s">
        <v>50</v>
      </c>
      <c r="B18" s="5">
        <v>42025</v>
      </c>
      <c r="C18" t="s">
        <v>11</v>
      </c>
      <c r="D18" t="s">
        <v>12</v>
      </c>
      <c r="E18" t="s">
        <v>51</v>
      </c>
      <c r="F18" t="s">
        <v>52</v>
      </c>
      <c r="G18">
        <v>123.79</v>
      </c>
      <c r="H18">
        <v>8</v>
      </c>
      <c r="I18">
        <v>990.32</v>
      </c>
      <c r="J18" t="s">
        <v>26</v>
      </c>
      <c r="M18" s="5"/>
      <c r="S18" t="s">
        <v>176</v>
      </c>
      <c r="T18" s="5">
        <v>42108</v>
      </c>
      <c r="U18" t="s">
        <v>31</v>
      </c>
      <c r="V18" t="s">
        <v>85</v>
      </c>
      <c r="W18" t="s">
        <v>13</v>
      </c>
      <c r="X18" t="s">
        <v>14</v>
      </c>
      <c r="Y18">
        <v>19</v>
      </c>
      <c r="Z18">
        <v>18</v>
      </c>
      <c r="AA18">
        <v>342</v>
      </c>
      <c r="AB18" t="s">
        <v>15</v>
      </c>
    </row>
    <row r="19" spans="1:28" x14ac:dyDescent="0.3">
      <c r="A19" t="s">
        <v>53</v>
      </c>
      <c r="B19" s="5">
        <v>42025</v>
      </c>
      <c r="C19" t="s">
        <v>31</v>
      </c>
      <c r="D19" t="s">
        <v>12</v>
      </c>
      <c r="E19" t="s">
        <v>17</v>
      </c>
      <c r="F19" t="s">
        <v>54</v>
      </c>
      <c r="G19">
        <v>25.89</v>
      </c>
      <c r="H19">
        <v>20</v>
      </c>
      <c r="I19">
        <v>517.79999999999995</v>
      </c>
      <c r="J19" t="s">
        <v>26</v>
      </c>
      <c r="M19" s="5"/>
      <c r="S19" t="s">
        <v>179</v>
      </c>
      <c r="T19" s="5">
        <v>42109</v>
      </c>
      <c r="U19" t="s">
        <v>20</v>
      </c>
      <c r="V19" t="s">
        <v>85</v>
      </c>
      <c r="W19" t="s">
        <v>13</v>
      </c>
      <c r="X19" t="s">
        <v>14</v>
      </c>
      <c r="Y19">
        <v>9.5</v>
      </c>
      <c r="Z19">
        <v>20</v>
      </c>
      <c r="AA19">
        <v>190</v>
      </c>
      <c r="AB19" t="s">
        <v>15</v>
      </c>
    </row>
    <row r="20" spans="1:28" x14ac:dyDescent="0.3">
      <c r="A20" t="s">
        <v>55</v>
      </c>
      <c r="B20" s="5">
        <v>42029</v>
      </c>
      <c r="C20" t="s">
        <v>28</v>
      </c>
      <c r="D20" t="s">
        <v>12</v>
      </c>
      <c r="E20" t="s">
        <v>13</v>
      </c>
      <c r="F20" t="s">
        <v>56</v>
      </c>
      <c r="G20">
        <v>34.799999999999997</v>
      </c>
      <c r="H20">
        <v>15</v>
      </c>
      <c r="I20">
        <v>522</v>
      </c>
      <c r="J20" t="s">
        <v>26</v>
      </c>
      <c r="M20" s="5"/>
      <c r="S20" t="s">
        <v>181</v>
      </c>
      <c r="T20" s="5">
        <v>42110</v>
      </c>
      <c r="U20" t="s">
        <v>20</v>
      </c>
      <c r="V20" t="s">
        <v>45</v>
      </c>
      <c r="W20" t="s">
        <v>13</v>
      </c>
      <c r="X20" t="s">
        <v>99</v>
      </c>
      <c r="Y20">
        <v>12.5</v>
      </c>
      <c r="Z20">
        <v>15</v>
      </c>
      <c r="AA20">
        <v>187.5</v>
      </c>
      <c r="AB20" t="s">
        <v>26</v>
      </c>
    </row>
    <row r="21" spans="1:28" x14ac:dyDescent="0.3">
      <c r="A21" t="s">
        <v>69</v>
      </c>
      <c r="B21" s="5">
        <v>42043</v>
      </c>
      <c r="C21" t="s">
        <v>31</v>
      </c>
      <c r="D21" t="s">
        <v>45</v>
      </c>
      <c r="E21" t="s">
        <v>17</v>
      </c>
      <c r="F21" t="s">
        <v>70</v>
      </c>
      <c r="G21">
        <v>14</v>
      </c>
      <c r="H21">
        <v>15</v>
      </c>
      <c r="I21">
        <v>210</v>
      </c>
      <c r="J21" t="s">
        <v>26</v>
      </c>
      <c r="M21" s="5"/>
      <c r="S21" t="s">
        <v>185</v>
      </c>
      <c r="T21" s="5">
        <v>42114</v>
      </c>
      <c r="U21" t="s">
        <v>11</v>
      </c>
      <c r="V21" t="s">
        <v>12</v>
      </c>
      <c r="W21" t="s">
        <v>13</v>
      </c>
      <c r="X21" t="s">
        <v>186</v>
      </c>
      <c r="Y21">
        <v>36</v>
      </c>
      <c r="Z21">
        <v>30</v>
      </c>
      <c r="AA21">
        <v>1080</v>
      </c>
      <c r="AB21" t="s">
        <v>26</v>
      </c>
    </row>
    <row r="22" spans="1:28" x14ac:dyDescent="0.3">
      <c r="A22" t="s">
        <v>71</v>
      </c>
      <c r="B22" s="5">
        <v>42043</v>
      </c>
      <c r="C22" t="s">
        <v>28</v>
      </c>
      <c r="D22" t="s">
        <v>45</v>
      </c>
      <c r="E22" t="s">
        <v>17</v>
      </c>
      <c r="F22" t="s">
        <v>72</v>
      </c>
      <c r="G22">
        <v>18</v>
      </c>
      <c r="H22">
        <v>4</v>
      </c>
      <c r="I22">
        <v>72</v>
      </c>
      <c r="J22" t="s">
        <v>26</v>
      </c>
      <c r="M22" s="5"/>
      <c r="S22" t="s">
        <v>190</v>
      </c>
      <c r="T22" s="5">
        <v>42114</v>
      </c>
      <c r="U22" t="s">
        <v>11</v>
      </c>
      <c r="V22" t="s">
        <v>45</v>
      </c>
      <c r="W22" t="s">
        <v>13</v>
      </c>
      <c r="X22" t="s">
        <v>14</v>
      </c>
      <c r="Y22">
        <v>30</v>
      </c>
      <c r="Z22">
        <v>4</v>
      </c>
      <c r="AA22">
        <v>120</v>
      </c>
      <c r="AB22" t="s">
        <v>26</v>
      </c>
    </row>
    <row r="23" spans="1:28" x14ac:dyDescent="0.3">
      <c r="A23" t="s">
        <v>73</v>
      </c>
      <c r="B23" s="5">
        <v>42045</v>
      </c>
      <c r="C23" t="s">
        <v>20</v>
      </c>
      <c r="D23" t="s">
        <v>12</v>
      </c>
      <c r="E23" t="s">
        <v>17</v>
      </c>
      <c r="F23" t="s">
        <v>72</v>
      </c>
      <c r="G23">
        <v>18</v>
      </c>
      <c r="H23">
        <v>30</v>
      </c>
      <c r="I23">
        <v>540</v>
      </c>
      <c r="J23" t="s">
        <v>26</v>
      </c>
      <c r="M23" s="5"/>
      <c r="S23" t="s">
        <v>192</v>
      </c>
      <c r="T23" s="5">
        <v>42115</v>
      </c>
      <c r="U23" t="s">
        <v>11</v>
      </c>
      <c r="V23" t="s">
        <v>45</v>
      </c>
      <c r="W23" t="s">
        <v>13</v>
      </c>
      <c r="X23" t="s">
        <v>124</v>
      </c>
      <c r="Y23">
        <v>21.5</v>
      </c>
      <c r="Z23">
        <v>50</v>
      </c>
      <c r="AA23">
        <v>1075</v>
      </c>
      <c r="AB23" t="s">
        <v>15</v>
      </c>
    </row>
    <row r="24" spans="1:28" x14ac:dyDescent="0.3">
      <c r="A24" t="s">
        <v>74</v>
      </c>
      <c r="B24" s="5">
        <v>42045</v>
      </c>
      <c r="C24" t="s">
        <v>11</v>
      </c>
      <c r="D24" t="s">
        <v>12</v>
      </c>
      <c r="E24" t="s">
        <v>34</v>
      </c>
      <c r="F24" t="s">
        <v>75</v>
      </c>
      <c r="G24">
        <v>20</v>
      </c>
      <c r="H24">
        <v>42</v>
      </c>
      <c r="I24">
        <v>840</v>
      </c>
      <c r="J24" t="s">
        <v>26</v>
      </c>
      <c r="M24" s="5"/>
      <c r="S24" t="s">
        <v>193</v>
      </c>
      <c r="T24" s="5">
        <v>42115</v>
      </c>
      <c r="U24" t="s">
        <v>31</v>
      </c>
      <c r="V24" t="s">
        <v>45</v>
      </c>
      <c r="W24" t="s">
        <v>13</v>
      </c>
      <c r="X24" t="s">
        <v>113</v>
      </c>
      <c r="Y24">
        <v>2.5</v>
      </c>
      <c r="Z24">
        <v>30</v>
      </c>
      <c r="AA24">
        <v>75</v>
      </c>
      <c r="AB24" t="s">
        <v>15</v>
      </c>
    </row>
    <row r="25" spans="1:28" x14ac:dyDescent="0.3">
      <c r="A25" t="s">
        <v>76</v>
      </c>
      <c r="B25" s="5">
        <v>42045</v>
      </c>
      <c r="C25" t="s">
        <v>31</v>
      </c>
      <c r="D25" t="s">
        <v>12</v>
      </c>
      <c r="E25" t="s">
        <v>34</v>
      </c>
      <c r="F25" t="s">
        <v>77</v>
      </c>
      <c r="G25">
        <v>31.23</v>
      </c>
      <c r="H25">
        <v>20</v>
      </c>
      <c r="I25">
        <v>624.6</v>
      </c>
      <c r="J25" t="s">
        <v>26</v>
      </c>
      <c r="M25" s="5"/>
      <c r="S25" t="s">
        <v>199</v>
      </c>
      <c r="T25" s="5">
        <v>42124</v>
      </c>
      <c r="U25" t="s">
        <v>31</v>
      </c>
      <c r="V25" t="s">
        <v>12</v>
      </c>
      <c r="W25" t="s">
        <v>13</v>
      </c>
      <c r="X25" t="s">
        <v>200</v>
      </c>
      <c r="Y25">
        <v>38</v>
      </c>
      <c r="Z25">
        <v>4</v>
      </c>
      <c r="AA25">
        <v>152</v>
      </c>
      <c r="AB25" t="s">
        <v>15</v>
      </c>
    </row>
    <row r="26" spans="1:28" x14ac:dyDescent="0.3">
      <c r="A26" t="s">
        <v>78</v>
      </c>
      <c r="B26" s="5">
        <v>42045</v>
      </c>
      <c r="C26" t="s">
        <v>20</v>
      </c>
      <c r="D26" t="s">
        <v>45</v>
      </c>
      <c r="E26" t="s">
        <v>17</v>
      </c>
      <c r="F26" t="s">
        <v>79</v>
      </c>
      <c r="G26">
        <v>18</v>
      </c>
      <c r="H26">
        <v>40</v>
      </c>
      <c r="I26">
        <v>720</v>
      </c>
      <c r="J26" t="s">
        <v>15</v>
      </c>
      <c r="M26" s="5"/>
      <c r="S26" t="s">
        <v>219</v>
      </c>
      <c r="T26" s="5">
        <v>42210</v>
      </c>
      <c r="U26" t="s">
        <v>11</v>
      </c>
      <c r="V26" t="s">
        <v>12</v>
      </c>
      <c r="W26" t="s">
        <v>13</v>
      </c>
      <c r="X26" t="s">
        <v>124</v>
      </c>
      <c r="Y26">
        <v>21.5</v>
      </c>
      <c r="Z26">
        <v>9</v>
      </c>
      <c r="AA26">
        <v>193.5</v>
      </c>
      <c r="AB26" t="s">
        <v>15</v>
      </c>
    </row>
    <row r="27" spans="1:28" x14ac:dyDescent="0.3">
      <c r="A27" t="s">
        <v>80</v>
      </c>
      <c r="B27" s="5">
        <v>42045</v>
      </c>
      <c r="C27" t="s">
        <v>20</v>
      </c>
      <c r="D27" t="s">
        <v>45</v>
      </c>
      <c r="E27" t="s">
        <v>51</v>
      </c>
      <c r="F27" t="s">
        <v>81</v>
      </c>
      <c r="G27">
        <v>9</v>
      </c>
      <c r="H27">
        <v>50</v>
      </c>
      <c r="I27">
        <v>450</v>
      </c>
      <c r="J27" t="s">
        <v>15</v>
      </c>
      <c r="M27" s="5"/>
      <c r="S27" t="s">
        <v>224</v>
      </c>
      <c r="T27" s="5">
        <v>42195</v>
      </c>
      <c r="U27" t="s">
        <v>28</v>
      </c>
      <c r="V27" t="s">
        <v>12</v>
      </c>
      <c r="W27" t="s">
        <v>13</v>
      </c>
      <c r="X27" t="s">
        <v>41</v>
      </c>
      <c r="Y27">
        <v>34</v>
      </c>
      <c r="Z27">
        <v>15</v>
      </c>
      <c r="AA27">
        <v>510</v>
      </c>
      <c r="AB27" t="s">
        <v>26</v>
      </c>
    </row>
    <row r="28" spans="1:28" x14ac:dyDescent="0.3">
      <c r="A28" t="s">
        <v>82</v>
      </c>
      <c r="B28" s="5">
        <v>42045</v>
      </c>
      <c r="C28" t="s">
        <v>28</v>
      </c>
      <c r="D28" t="s">
        <v>45</v>
      </c>
      <c r="E28" t="s">
        <v>13</v>
      </c>
      <c r="F28" t="s">
        <v>14</v>
      </c>
      <c r="G28">
        <v>21</v>
      </c>
      <c r="H28">
        <v>10</v>
      </c>
      <c r="I28">
        <v>210</v>
      </c>
      <c r="J28" t="s">
        <v>15</v>
      </c>
      <c r="M28" s="5"/>
      <c r="S28" t="s">
        <v>226</v>
      </c>
      <c r="T28" s="5">
        <v>42216</v>
      </c>
      <c r="U28" t="s">
        <v>28</v>
      </c>
      <c r="V28" t="s">
        <v>12</v>
      </c>
      <c r="W28" t="s">
        <v>13</v>
      </c>
      <c r="X28" t="s">
        <v>14</v>
      </c>
      <c r="Y28">
        <v>62.5</v>
      </c>
      <c r="Z28">
        <v>4</v>
      </c>
      <c r="AA28">
        <v>250</v>
      </c>
      <c r="AB28" t="s">
        <v>26</v>
      </c>
    </row>
    <row r="29" spans="1:28" x14ac:dyDescent="0.3">
      <c r="A29" t="s">
        <v>83</v>
      </c>
      <c r="B29" s="5">
        <v>42045</v>
      </c>
      <c r="C29" t="s">
        <v>11</v>
      </c>
      <c r="D29" t="s">
        <v>45</v>
      </c>
      <c r="E29" t="s">
        <v>34</v>
      </c>
      <c r="F29" t="s">
        <v>43</v>
      </c>
      <c r="G29">
        <v>12.5</v>
      </c>
      <c r="H29">
        <v>20</v>
      </c>
      <c r="I29">
        <v>250</v>
      </c>
      <c r="J29" t="s">
        <v>15</v>
      </c>
      <c r="M29" s="5"/>
      <c r="S29" t="s">
        <v>228</v>
      </c>
      <c r="T29" s="5">
        <v>42199</v>
      </c>
      <c r="U29" t="s">
        <v>31</v>
      </c>
      <c r="V29" t="s">
        <v>45</v>
      </c>
      <c r="W29" t="s">
        <v>13</v>
      </c>
      <c r="X29" t="s">
        <v>41</v>
      </c>
      <c r="Y29">
        <v>34</v>
      </c>
      <c r="Z29">
        <v>15</v>
      </c>
      <c r="AA29">
        <v>510</v>
      </c>
      <c r="AB29" t="s">
        <v>26</v>
      </c>
    </row>
    <row r="30" spans="1:28" x14ac:dyDescent="0.3">
      <c r="A30" t="s">
        <v>84</v>
      </c>
      <c r="B30" s="5">
        <v>42046</v>
      </c>
      <c r="C30" t="s">
        <v>20</v>
      </c>
      <c r="D30" t="s">
        <v>85</v>
      </c>
      <c r="E30" t="s">
        <v>51</v>
      </c>
      <c r="F30" t="s">
        <v>81</v>
      </c>
      <c r="G30">
        <v>24</v>
      </c>
      <c r="H30">
        <v>10</v>
      </c>
      <c r="I30">
        <v>240</v>
      </c>
      <c r="J30" t="s">
        <v>26</v>
      </c>
      <c r="M30" s="5"/>
      <c r="S30" t="s">
        <v>236</v>
      </c>
      <c r="T30" s="5">
        <v>42193</v>
      </c>
      <c r="U30" t="s">
        <v>31</v>
      </c>
      <c r="V30" t="s">
        <v>12</v>
      </c>
      <c r="W30" t="s">
        <v>13</v>
      </c>
      <c r="X30" t="s">
        <v>99</v>
      </c>
      <c r="Y30">
        <v>12.5</v>
      </c>
      <c r="Z30">
        <v>20</v>
      </c>
      <c r="AA30">
        <v>250</v>
      </c>
      <c r="AB30" t="s">
        <v>26</v>
      </c>
    </row>
    <row r="31" spans="1:28" x14ac:dyDescent="0.3">
      <c r="A31" t="s">
        <v>86</v>
      </c>
      <c r="B31" s="5">
        <v>42046</v>
      </c>
      <c r="C31" t="s">
        <v>11</v>
      </c>
      <c r="D31" t="s">
        <v>85</v>
      </c>
      <c r="E31" t="s">
        <v>21</v>
      </c>
      <c r="F31" t="s">
        <v>87</v>
      </c>
      <c r="G31">
        <v>21.05</v>
      </c>
      <c r="H31">
        <v>21</v>
      </c>
      <c r="I31">
        <v>442.05</v>
      </c>
      <c r="J31" t="s">
        <v>26</v>
      </c>
      <c r="M31" s="5"/>
      <c r="S31" t="s">
        <v>284</v>
      </c>
      <c r="T31" s="5">
        <v>42327</v>
      </c>
      <c r="U31" t="s">
        <v>11</v>
      </c>
      <c r="V31" t="s">
        <v>45</v>
      </c>
      <c r="W31" t="s">
        <v>13</v>
      </c>
      <c r="X31" t="s">
        <v>41</v>
      </c>
      <c r="Y31">
        <v>34</v>
      </c>
      <c r="Z31">
        <v>80</v>
      </c>
      <c r="AA31">
        <v>2720</v>
      </c>
      <c r="AB31" t="s">
        <v>26</v>
      </c>
    </row>
    <row r="32" spans="1:28" x14ac:dyDescent="0.3">
      <c r="A32" t="s">
        <v>88</v>
      </c>
      <c r="B32" s="5">
        <v>42046</v>
      </c>
      <c r="C32" t="s">
        <v>31</v>
      </c>
      <c r="D32" t="s">
        <v>85</v>
      </c>
      <c r="E32" t="s">
        <v>21</v>
      </c>
      <c r="F32" t="s">
        <v>22</v>
      </c>
      <c r="G32">
        <v>33.25</v>
      </c>
      <c r="H32">
        <v>15</v>
      </c>
      <c r="I32">
        <v>498.75</v>
      </c>
      <c r="J32" t="s">
        <v>26</v>
      </c>
      <c r="M32" s="5"/>
      <c r="S32" t="s">
        <v>285</v>
      </c>
      <c r="T32" s="5">
        <v>42327</v>
      </c>
      <c r="U32" t="s">
        <v>11</v>
      </c>
      <c r="V32" t="s">
        <v>45</v>
      </c>
      <c r="W32" t="s">
        <v>13</v>
      </c>
      <c r="X32" t="s">
        <v>99</v>
      </c>
      <c r="Y32">
        <v>12.5</v>
      </c>
      <c r="Z32">
        <v>70</v>
      </c>
      <c r="AA32">
        <v>875</v>
      </c>
      <c r="AB32" t="s">
        <v>26</v>
      </c>
    </row>
    <row r="33" spans="1:28" x14ac:dyDescent="0.3">
      <c r="A33" t="s">
        <v>89</v>
      </c>
      <c r="B33" s="5">
        <v>42046</v>
      </c>
      <c r="C33" t="s">
        <v>31</v>
      </c>
      <c r="D33" t="s">
        <v>85</v>
      </c>
      <c r="E33" t="s">
        <v>34</v>
      </c>
      <c r="F33" t="s">
        <v>90</v>
      </c>
      <c r="G33">
        <v>49.3</v>
      </c>
      <c r="H33">
        <v>20</v>
      </c>
      <c r="I33">
        <v>986</v>
      </c>
      <c r="J33" t="s">
        <v>26</v>
      </c>
      <c r="M33" s="5"/>
      <c r="S33" t="s">
        <v>287</v>
      </c>
      <c r="T33" s="5">
        <v>42332</v>
      </c>
      <c r="U33" t="s">
        <v>28</v>
      </c>
      <c r="V33" t="s">
        <v>45</v>
      </c>
      <c r="W33" t="s">
        <v>13</v>
      </c>
      <c r="X33" t="s">
        <v>186</v>
      </c>
      <c r="Y33">
        <v>36</v>
      </c>
      <c r="Z33">
        <v>30</v>
      </c>
      <c r="AA33">
        <v>1080</v>
      </c>
      <c r="AB33" t="s">
        <v>15</v>
      </c>
    </row>
    <row r="34" spans="1:28" x14ac:dyDescent="0.3">
      <c r="A34" t="s">
        <v>91</v>
      </c>
      <c r="B34" s="5">
        <v>42047</v>
      </c>
      <c r="C34" t="s">
        <v>20</v>
      </c>
      <c r="D34" t="s">
        <v>85</v>
      </c>
      <c r="E34" t="s">
        <v>21</v>
      </c>
      <c r="F34" t="s">
        <v>22</v>
      </c>
      <c r="G34">
        <v>31</v>
      </c>
      <c r="H34">
        <v>10</v>
      </c>
      <c r="I34">
        <v>310</v>
      </c>
      <c r="J34" t="s">
        <v>26</v>
      </c>
      <c r="M34" s="5"/>
      <c r="S34" t="s">
        <v>288</v>
      </c>
      <c r="T34" s="5">
        <v>42332</v>
      </c>
      <c r="U34" t="s">
        <v>28</v>
      </c>
      <c r="V34" t="s">
        <v>45</v>
      </c>
      <c r="W34" t="s">
        <v>13</v>
      </c>
      <c r="X34" t="s">
        <v>124</v>
      </c>
      <c r="Y34">
        <v>21.5</v>
      </c>
      <c r="Z34">
        <v>5</v>
      </c>
      <c r="AA34">
        <v>107.5</v>
      </c>
      <c r="AB34" t="s">
        <v>15</v>
      </c>
    </row>
    <row r="35" spans="1:28" x14ac:dyDescent="0.3">
      <c r="A35" t="s">
        <v>92</v>
      </c>
      <c r="B35" s="5">
        <v>42050</v>
      </c>
      <c r="C35" t="s">
        <v>28</v>
      </c>
      <c r="D35" t="s">
        <v>12</v>
      </c>
      <c r="E35" t="s">
        <v>17</v>
      </c>
      <c r="F35" t="s">
        <v>54</v>
      </c>
      <c r="G35">
        <v>62.5</v>
      </c>
      <c r="H35">
        <v>25</v>
      </c>
      <c r="I35">
        <v>1562.5</v>
      </c>
      <c r="J35" t="s">
        <v>15</v>
      </c>
      <c r="M35" s="5"/>
      <c r="S35" t="s">
        <v>308</v>
      </c>
      <c r="T35" s="5">
        <v>42355</v>
      </c>
      <c r="U35" t="s">
        <v>20</v>
      </c>
      <c r="V35" t="s">
        <v>45</v>
      </c>
      <c r="W35" t="s">
        <v>13</v>
      </c>
      <c r="X35" t="s">
        <v>14</v>
      </c>
      <c r="Y35">
        <v>9.5</v>
      </c>
      <c r="Z35">
        <v>15</v>
      </c>
      <c r="AA35">
        <v>142.5</v>
      </c>
      <c r="AB35" t="s">
        <v>15</v>
      </c>
    </row>
    <row r="36" spans="1:28" x14ac:dyDescent="0.3">
      <c r="A36" t="s">
        <v>154</v>
      </c>
      <c r="B36" s="5">
        <v>42085</v>
      </c>
      <c r="C36" t="s">
        <v>11</v>
      </c>
      <c r="D36" t="s">
        <v>45</v>
      </c>
      <c r="E36" t="s">
        <v>34</v>
      </c>
      <c r="F36" t="s">
        <v>35</v>
      </c>
      <c r="G36">
        <v>81</v>
      </c>
      <c r="H36">
        <v>50</v>
      </c>
      <c r="I36">
        <v>4050</v>
      </c>
      <c r="J36" t="s">
        <v>26</v>
      </c>
      <c r="M36" s="5"/>
      <c r="S36" t="s">
        <v>312</v>
      </c>
      <c r="T36" s="5">
        <v>42009</v>
      </c>
      <c r="U36" t="s">
        <v>11</v>
      </c>
      <c r="V36" t="s">
        <v>12</v>
      </c>
      <c r="W36" t="s">
        <v>13</v>
      </c>
      <c r="X36" t="s">
        <v>14</v>
      </c>
      <c r="Y36">
        <v>45.6</v>
      </c>
      <c r="Z36">
        <v>42</v>
      </c>
      <c r="AA36">
        <v>1915.2</v>
      </c>
      <c r="AB36" t="s">
        <v>15</v>
      </c>
    </row>
    <row r="37" spans="1:28" x14ac:dyDescent="0.3">
      <c r="A37" t="s">
        <v>155</v>
      </c>
      <c r="B37" s="5">
        <v>42087</v>
      </c>
      <c r="C37" t="s">
        <v>20</v>
      </c>
      <c r="D37" t="s">
        <v>24</v>
      </c>
      <c r="E37" t="s">
        <v>21</v>
      </c>
      <c r="F37" t="s">
        <v>61</v>
      </c>
      <c r="G37">
        <v>21.35</v>
      </c>
      <c r="H37">
        <v>20</v>
      </c>
      <c r="I37">
        <v>427</v>
      </c>
      <c r="J37" t="s">
        <v>26</v>
      </c>
      <c r="M37" s="5"/>
      <c r="S37" t="s">
        <v>317</v>
      </c>
      <c r="T37" s="5">
        <v>42016</v>
      </c>
      <c r="U37" t="s">
        <v>11</v>
      </c>
      <c r="V37" t="s">
        <v>12</v>
      </c>
      <c r="W37" t="s">
        <v>13</v>
      </c>
      <c r="X37" t="s">
        <v>113</v>
      </c>
      <c r="Y37">
        <v>2.5</v>
      </c>
      <c r="Z37">
        <v>50</v>
      </c>
      <c r="AA37">
        <v>125</v>
      </c>
      <c r="AB37" t="s">
        <v>26</v>
      </c>
    </row>
    <row r="38" spans="1:28" x14ac:dyDescent="0.3">
      <c r="A38" t="s">
        <v>156</v>
      </c>
      <c r="B38" s="5">
        <v>42087</v>
      </c>
      <c r="C38" t="s">
        <v>11</v>
      </c>
      <c r="D38" t="s">
        <v>24</v>
      </c>
      <c r="E38" t="s">
        <v>51</v>
      </c>
      <c r="F38" t="s">
        <v>81</v>
      </c>
      <c r="G38">
        <v>30</v>
      </c>
      <c r="H38">
        <v>6</v>
      </c>
      <c r="I38">
        <v>180</v>
      </c>
      <c r="J38" t="s">
        <v>26</v>
      </c>
      <c r="M38" s="5"/>
      <c r="S38" t="s">
        <v>326</v>
      </c>
      <c r="T38" s="5">
        <v>42025</v>
      </c>
      <c r="U38" t="s">
        <v>11</v>
      </c>
      <c r="V38" t="s">
        <v>12</v>
      </c>
      <c r="W38" t="s">
        <v>13</v>
      </c>
      <c r="X38" t="s">
        <v>66</v>
      </c>
      <c r="Y38">
        <v>55</v>
      </c>
      <c r="Z38">
        <v>20</v>
      </c>
      <c r="AA38">
        <v>1100</v>
      </c>
      <c r="AB38" t="s">
        <v>26</v>
      </c>
    </row>
    <row r="39" spans="1:28" x14ac:dyDescent="0.3">
      <c r="A39" t="s">
        <v>157</v>
      </c>
      <c r="B39" s="5">
        <v>42087</v>
      </c>
      <c r="C39" t="s">
        <v>20</v>
      </c>
      <c r="D39" t="s">
        <v>24</v>
      </c>
      <c r="E39" t="s">
        <v>13</v>
      </c>
      <c r="F39" t="s">
        <v>56</v>
      </c>
      <c r="G39">
        <v>34.799999999999997</v>
      </c>
      <c r="H39">
        <v>5</v>
      </c>
      <c r="I39">
        <v>174</v>
      </c>
      <c r="J39" t="s">
        <v>26</v>
      </c>
      <c r="M39" s="5"/>
      <c r="S39" t="s">
        <v>327</v>
      </c>
      <c r="T39" s="5">
        <v>42025</v>
      </c>
      <c r="U39" t="s">
        <v>20</v>
      </c>
      <c r="V39" t="s">
        <v>12</v>
      </c>
      <c r="W39" t="s">
        <v>13</v>
      </c>
      <c r="X39" t="s">
        <v>99</v>
      </c>
      <c r="Y39">
        <v>12.5</v>
      </c>
      <c r="Z39">
        <v>14</v>
      </c>
      <c r="AA39">
        <v>175</v>
      </c>
      <c r="AB39" t="s">
        <v>26</v>
      </c>
    </row>
    <row r="40" spans="1:28" x14ac:dyDescent="0.3">
      <c r="A40" t="s">
        <v>158</v>
      </c>
      <c r="B40" s="5">
        <v>42087</v>
      </c>
      <c r="C40" t="s">
        <v>11</v>
      </c>
      <c r="D40" t="s">
        <v>12</v>
      </c>
      <c r="E40" t="s">
        <v>17</v>
      </c>
      <c r="F40" t="s">
        <v>25</v>
      </c>
      <c r="G40">
        <v>7.75</v>
      </c>
      <c r="H40">
        <v>20</v>
      </c>
      <c r="I40">
        <v>155</v>
      </c>
      <c r="J40" t="s">
        <v>26</v>
      </c>
      <c r="M40" s="5"/>
      <c r="S40" t="s">
        <v>329</v>
      </c>
      <c r="T40" s="5">
        <v>42029</v>
      </c>
      <c r="U40" t="s">
        <v>11</v>
      </c>
      <c r="V40" t="s">
        <v>85</v>
      </c>
      <c r="W40" t="s">
        <v>13</v>
      </c>
      <c r="X40" t="s">
        <v>14</v>
      </c>
      <c r="Y40">
        <v>38</v>
      </c>
      <c r="Z40">
        <v>5</v>
      </c>
      <c r="AA40">
        <v>190</v>
      </c>
      <c r="AB40" t="s">
        <v>15</v>
      </c>
    </row>
    <row r="41" spans="1:28" x14ac:dyDescent="0.3">
      <c r="A41" t="s">
        <v>159</v>
      </c>
      <c r="B41" s="5">
        <v>42088</v>
      </c>
      <c r="C41" t="s">
        <v>11</v>
      </c>
      <c r="D41" t="s">
        <v>24</v>
      </c>
      <c r="E41" t="s">
        <v>17</v>
      </c>
      <c r="F41" t="s">
        <v>134</v>
      </c>
      <c r="G41">
        <v>18</v>
      </c>
      <c r="H41">
        <v>60</v>
      </c>
      <c r="I41">
        <v>1080</v>
      </c>
      <c r="J41" t="s">
        <v>15</v>
      </c>
      <c r="M41" s="5"/>
      <c r="S41" t="s">
        <v>331</v>
      </c>
      <c r="T41" s="5">
        <v>42037</v>
      </c>
      <c r="U41" t="s">
        <v>31</v>
      </c>
      <c r="V41" t="s">
        <v>45</v>
      </c>
      <c r="W41" t="s">
        <v>13</v>
      </c>
      <c r="X41" t="s">
        <v>14</v>
      </c>
      <c r="Y41">
        <v>21</v>
      </c>
      <c r="Z41">
        <v>12</v>
      </c>
      <c r="AA41">
        <v>252</v>
      </c>
      <c r="AB41" t="s">
        <v>26</v>
      </c>
    </row>
    <row r="42" spans="1:28" x14ac:dyDescent="0.3">
      <c r="A42" t="s">
        <v>160</v>
      </c>
      <c r="B42" s="5">
        <v>42088</v>
      </c>
      <c r="C42" t="s">
        <v>20</v>
      </c>
      <c r="D42" t="s">
        <v>12</v>
      </c>
      <c r="E42" t="s">
        <v>21</v>
      </c>
      <c r="F42" t="s">
        <v>22</v>
      </c>
      <c r="G42">
        <v>7</v>
      </c>
      <c r="H42">
        <v>6</v>
      </c>
      <c r="I42">
        <v>42</v>
      </c>
      <c r="J42" t="s">
        <v>15</v>
      </c>
      <c r="M42" s="5"/>
      <c r="S42" t="s">
        <v>332</v>
      </c>
      <c r="T42" s="5">
        <v>42037</v>
      </c>
      <c r="U42" t="s">
        <v>31</v>
      </c>
      <c r="V42" t="s">
        <v>45</v>
      </c>
      <c r="W42" t="s">
        <v>13</v>
      </c>
      <c r="X42" t="s">
        <v>56</v>
      </c>
      <c r="Y42">
        <v>34.799999999999997</v>
      </c>
      <c r="Z42">
        <v>10</v>
      </c>
      <c r="AA42">
        <v>348</v>
      </c>
      <c r="AB42" t="s">
        <v>26</v>
      </c>
    </row>
    <row r="43" spans="1:28" x14ac:dyDescent="0.3">
      <c r="A43" t="s">
        <v>161</v>
      </c>
      <c r="B43" s="5">
        <v>42092</v>
      </c>
      <c r="C43" t="s">
        <v>11</v>
      </c>
      <c r="D43" t="s">
        <v>12</v>
      </c>
      <c r="E43" t="s">
        <v>51</v>
      </c>
      <c r="F43" t="s">
        <v>81</v>
      </c>
      <c r="G43">
        <v>12</v>
      </c>
      <c r="H43">
        <v>9</v>
      </c>
      <c r="I43">
        <v>108</v>
      </c>
      <c r="J43" t="s">
        <v>26</v>
      </c>
      <c r="M43" s="5"/>
      <c r="S43" t="s">
        <v>334</v>
      </c>
      <c r="T43" s="5">
        <v>42047</v>
      </c>
      <c r="U43" t="s">
        <v>20</v>
      </c>
      <c r="V43" t="s">
        <v>12</v>
      </c>
      <c r="W43" t="s">
        <v>13</v>
      </c>
      <c r="X43" t="s">
        <v>124</v>
      </c>
      <c r="Y43">
        <v>21.5</v>
      </c>
      <c r="Z43">
        <v>2</v>
      </c>
      <c r="AA43">
        <v>43</v>
      </c>
      <c r="AB43" t="s">
        <v>26</v>
      </c>
    </row>
    <row r="44" spans="1:28" x14ac:dyDescent="0.3">
      <c r="A44" t="s">
        <v>162</v>
      </c>
      <c r="B44" s="5">
        <v>42093</v>
      </c>
      <c r="C44" t="s">
        <v>11</v>
      </c>
      <c r="D44" t="s">
        <v>85</v>
      </c>
      <c r="E44" t="s">
        <v>21</v>
      </c>
      <c r="F44" t="s">
        <v>22</v>
      </c>
      <c r="G44">
        <v>7</v>
      </c>
      <c r="H44">
        <v>40</v>
      </c>
      <c r="I44">
        <v>280</v>
      </c>
      <c r="J44" t="s">
        <v>15</v>
      </c>
      <c r="M44" s="5"/>
      <c r="S44" t="s">
        <v>342</v>
      </c>
      <c r="T44" s="5">
        <v>42067</v>
      </c>
      <c r="U44" t="s">
        <v>28</v>
      </c>
      <c r="V44" t="s">
        <v>12</v>
      </c>
      <c r="W44" t="s">
        <v>13</v>
      </c>
      <c r="X44" t="s">
        <v>14</v>
      </c>
      <c r="Y44">
        <v>21</v>
      </c>
      <c r="Z44">
        <v>10</v>
      </c>
      <c r="AA44">
        <v>210</v>
      </c>
      <c r="AB44" t="s">
        <v>15</v>
      </c>
    </row>
    <row r="45" spans="1:28" x14ac:dyDescent="0.3">
      <c r="A45" t="s">
        <v>163</v>
      </c>
      <c r="B45" s="5">
        <v>42096</v>
      </c>
      <c r="C45" t="s">
        <v>28</v>
      </c>
      <c r="D45" t="s">
        <v>85</v>
      </c>
      <c r="E45" t="s">
        <v>17</v>
      </c>
      <c r="F45" t="s">
        <v>32</v>
      </c>
      <c r="G45">
        <v>263.5</v>
      </c>
      <c r="H45">
        <v>60</v>
      </c>
      <c r="I45">
        <v>15810</v>
      </c>
      <c r="J45" t="s">
        <v>26</v>
      </c>
      <c r="M45" s="5"/>
      <c r="S45" t="s">
        <v>364</v>
      </c>
      <c r="T45" s="5">
        <v>42116</v>
      </c>
      <c r="U45" t="s">
        <v>28</v>
      </c>
      <c r="V45" t="s">
        <v>45</v>
      </c>
      <c r="W45" t="s">
        <v>13</v>
      </c>
      <c r="X45" t="s">
        <v>14</v>
      </c>
      <c r="Y45">
        <v>7</v>
      </c>
      <c r="Z45">
        <v>6</v>
      </c>
      <c r="AA45">
        <v>42</v>
      </c>
      <c r="AB45" t="s">
        <v>26</v>
      </c>
    </row>
    <row r="46" spans="1:28" x14ac:dyDescent="0.3">
      <c r="A46" t="s">
        <v>164</v>
      </c>
      <c r="B46" s="5">
        <v>42099</v>
      </c>
      <c r="C46" t="s">
        <v>28</v>
      </c>
      <c r="D46" t="s">
        <v>24</v>
      </c>
      <c r="E46" t="s">
        <v>17</v>
      </c>
      <c r="F46" t="s">
        <v>134</v>
      </c>
      <c r="G46">
        <v>18</v>
      </c>
      <c r="H46">
        <v>10</v>
      </c>
      <c r="I46">
        <v>180</v>
      </c>
      <c r="J46" t="s">
        <v>26</v>
      </c>
      <c r="M46" s="5"/>
      <c r="S46" t="s">
        <v>365</v>
      </c>
      <c r="T46" s="5">
        <v>42116</v>
      </c>
      <c r="U46" t="s">
        <v>11</v>
      </c>
      <c r="V46" t="s">
        <v>45</v>
      </c>
      <c r="W46" t="s">
        <v>13</v>
      </c>
      <c r="X46" t="s">
        <v>66</v>
      </c>
      <c r="Y46">
        <v>55</v>
      </c>
      <c r="Z46">
        <v>4</v>
      </c>
      <c r="AA46">
        <v>220</v>
      </c>
      <c r="AB46" t="s">
        <v>26</v>
      </c>
    </row>
    <row r="47" spans="1:28" x14ac:dyDescent="0.3">
      <c r="A47" t="s">
        <v>165</v>
      </c>
      <c r="B47" s="5">
        <v>42099</v>
      </c>
      <c r="C47" t="s">
        <v>20</v>
      </c>
      <c r="D47" t="s">
        <v>24</v>
      </c>
      <c r="E47" t="s">
        <v>21</v>
      </c>
      <c r="F47" t="s">
        <v>97</v>
      </c>
      <c r="G47">
        <v>13</v>
      </c>
      <c r="H47">
        <v>15</v>
      </c>
      <c r="I47">
        <v>195</v>
      </c>
      <c r="J47" t="s">
        <v>26</v>
      </c>
      <c r="M47" s="5"/>
      <c r="S47" t="s">
        <v>371</v>
      </c>
      <c r="T47" s="5">
        <v>42123</v>
      </c>
      <c r="U47" t="s">
        <v>28</v>
      </c>
      <c r="V47" t="s">
        <v>45</v>
      </c>
      <c r="W47" t="s">
        <v>13</v>
      </c>
      <c r="X47" t="s">
        <v>14</v>
      </c>
      <c r="Y47">
        <v>9.65</v>
      </c>
      <c r="Z47">
        <v>6</v>
      </c>
      <c r="AA47">
        <v>57.900000000000006</v>
      </c>
      <c r="AB47" t="s">
        <v>26</v>
      </c>
    </row>
    <row r="48" spans="1:28" x14ac:dyDescent="0.3">
      <c r="A48" t="s">
        <v>166</v>
      </c>
      <c r="B48" s="5">
        <v>42099</v>
      </c>
      <c r="C48" t="s">
        <v>11</v>
      </c>
      <c r="D48" t="s">
        <v>24</v>
      </c>
      <c r="E48" t="s">
        <v>13</v>
      </c>
      <c r="F48" t="s">
        <v>14</v>
      </c>
      <c r="G48">
        <v>21</v>
      </c>
      <c r="H48">
        <v>30</v>
      </c>
      <c r="I48">
        <v>630</v>
      </c>
      <c r="J48" t="s">
        <v>26</v>
      </c>
      <c r="M48" s="5"/>
      <c r="S48" t="s">
        <v>373</v>
      </c>
      <c r="T48" s="5">
        <v>42130</v>
      </c>
      <c r="U48" t="s">
        <v>31</v>
      </c>
      <c r="V48" t="s">
        <v>24</v>
      </c>
      <c r="W48" t="s">
        <v>13</v>
      </c>
      <c r="X48" t="s">
        <v>66</v>
      </c>
      <c r="Y48">
        <v>55</v>
      </c>
      <c r="Z48">
        <v>50</v>
      </c>
      <c r="AA48">
        <v>2750</v>
      </c>
      <c r="AB48" t="s">
        <v>15</v>
      </c>
    </row>
    <row r="49" spans="1:28" x14ac:dyDescent="0.3">
      <c r="A49" t="s">
        <v>167</v>
      </c>
      <c r="B49" s="5">
        <v>42099</v>
      </c>
      <c r="C49" t="s">
        <v>20</v>
      </c>
      <c r="D49" t="s">
        <v>24</v>
      </c>
      <c r="E49" t="s">
        <v>34</v>
      </c>
      <c r="F49" t="s">
        <v>35</v>
      </c>
      <c r="G49">
        <v>81</v>
      </c>
      <c r="H49">
        <v>15</v>
      </c>
      <c r="I49">
        <v>1215</v>
      </c>
      <c r="J49" t="s">
        <v>26</v>
      </c>
      <c r="M49" s="5"/>
      <c r="S49" t="s">
        <v>378</v>
      </c>
      <c r="T49" s="5">
        <v>42137</v>
      </c>
      <c r="U49" t="s">
        <v>11</v>
      </c>
      <c r="V49" t="s">
        <v>45</v>
      </c>
      <c r="W49" t="s">
        <v>13</v>
      </c>
      <c r="X49" t="s">
        <v>56</v>
      </c>
      <c r="Y49">
        <v>34.799999999999997</v>
      </c>
      <c r="Z49">
        <v>1</v>
      </c>
      <c r="AA49">
        <v>34.799999999999997</v>
      </c>
      <c r="AB49" t="s">
        <v>26</v>
      </c>
    </row>
    <row r="50" spans="1:28" x14ac:dyDescent="0.3">
      <c r="A50" t="s">
        <v>168</v>
      </c>
      <c r="B50" s="5">
        <v>42100</v>
      </c>
      <c r="C50" t="s">
        <v>28</v>
      </c>
      <c r="D50" t="s">
        <v>12</v>
      </c>
      <c r="E50" t="s">
        <v>21</v>
      </c>
      <c r="F50" t="s">
        <v>39</v>
      </c>
      <c r="G50">
        <v>25</v>
      </c>
      <c r="H50">
        <v>40</v>
      </c>
      <c r="I50">
        <v>1000</v>
      </c>
      <c r="J50" t="s">
        <v>15</v>
      </c>
      <c r="M50" s="5"/>
      <c r="S50" t="s">
        <v>379</v>
      </c>
      <c r="T50" s="5">
        <v>42138</v>
      </c>
      <c r="U50" t="s">
        <v>20</v>
      </c>
      <c r="V50" t="s">
        <v>45</v>
      </c>
      <c r="W50" t="s">
        <v>13</v>
      </c>
      <c r="X50" t="s">
        <v>113</v>
      </c>
      <c r="Y50">
        <v>2.5</v>
      </c>
      <c r="Z50">
        <v>15</v>
      </c>
      <c r="AA50">
        <v>37.5</v>
      </c>
      <c r="AB50" t="s">
        <v>26</v>
      </c>
    </row>
    <row r="51" spans="1:28" x14ac:dyDescent="0.3">
      <c r="A51" t="s">
        <v>169</v>
      </c>
      <c r="B51" s="5">
        <v>42100</v>
      </c>
      <c r="C51" t="s">
        <v>11</v>
      </c>
      <c r="D51" t="s">
        <v>12</v>
      </c>
      <c r="E51" t="s">
        <v>13</v>
      </c>
      <c r="F51" t="s">
        <v>14</v>
      </c>
      <c r="G51">
        <v>21</v>
      </c>
      <c r="H51">
        <v>15</v>
      </c>
      <c r="I51">
        <v>315</v>
      </c>
      <c r="J51" t="s">
        <v>15</v>
      </c>
      <c r="M51" s="5"/>
      <c r="S51" t="s">
        <v>385</v>
      </c>
      <c r="T51" s="5">
        <v>42145</v>
      </c>
      <c r="U51" t="s">
        <v>28</v>
      </c>
      <c r="V51" t="s">
        <v>45</v>
      </c>
      <c r="W51" t="s">
        <v>13</v>
      </c>
      <c r="X51" t="s">
        <v>121</v>
      </c>
      <c r="Y51">
        <v>32</v>
      </c>
      <c r="Z51">
        <v>24</v>
      </c>
      <c r="AA51">
        <v>768</v>
      </c>
      <c r="AB51" t="s">
        <v>26</v>
      </c>
    </row>
    <row r="52" spans="1:28" x14ac:dyDescent="0.3">
      <c r="A52" t="s">
        <v>170</v>
      </c>
      <c r="B52" s="5">
        <v>42100</v>
      </c>
      <c r="C52" t="s">
        <v>11</v>
      </c>
      <c r="D52" t="s">
        <v>12</v>
      </c>
      <c r="E52" t="s">
        <v>34</v>
      </c>
      <c r="F52" t="s">
        <v>64</v>
      </c>
      <c r="G52">
        <v>9.65</v>
      </c>
      <c r="H52">
        <v>4</v>
      </c>
      <c r="I52">
        <v>38.6</v>
      </c>
      <c r="J52" t="s">
        <v>15</v>
      </c>
      <c r="M52" s="5"/>
      <c r="S52" t="s">
        <v>393</v>
      </c>
      <c r="T52" s="5">
        <v>42157</v>
      </c>
      <c r="U52" t="s">
        <v>11</v>
      </c>
      <c r="V52" t="s">
        <v>45</v>
      </c>
      <c r="W52" t="s">
        <v>13</v>
      </c>
      <c r="X52" t="s">
        <v>14</v>
      </c>
      <c r="Y52">
        <v>7</v>
      </c>
      <c r="Z52">
        <v>30</v>
      </c>
      <c r="AA52">
        <v>210</v>
      </c>
      <c r="AB52" t="s">
        <v>26</v>
      </c>
    </row>
    <row r="53" spans="1:28" x14ac:dyDescent="0.3">
      <c r="A53" t="s">
        <v>171</v>
      </c>
      <c r="B53" s="5">
        <v>42100</v>
      </c>
      <c r="C53" t="s">
        <v>11</v>
      </c>
      <c r="D53" t="s">
        <v>45</v>
      </c>
      <c r="E53" t="s">
        <v>13</v>
      </c>
      <c r="F53" t="s">
        <v>14</v>
      </c>
      <c r="G53">
        <v>30</v>
      </c>
      <c r="H53">
        <v>60</v>
      </c>
      <c r="I53">
        <v>1800</v>
      </c>
      <c r="J53" t="s">
        <v>15</v>
      </c>
      <c r="M53" s="5"/>
      <c r="S53" t="s">
        <v>358</v>
      </c>
      <c r="T53" s="5">
        <v>42250</v>
      </c>
      <c r="U53" t="s">
        <v>31</v>
      </c>
      <c r="V53" t="s">
        <v>12</v>
      </c>
      <c r="W53" t="s">
        <v>13</v>
      </c>
      <c r="X53" t="s">
        <v>99</v>
      </c>
      <c r="Y53">
        <v>12.5</v>
      </c>
      <c r="Z53">
        <v>20</v>
      </c>
      <c r="AA53">
        <v>250</v>
      </c>
      <c r="AB53" t="s">
        <v>26</v>
      </c>
    </row>
    <row r="54" spans="1:28" x14ac:dyDescent="0.3">
      <c r="A54" t="s">
        <v>172</v>
      </c>
      <c r="B54" s="5">
        <v>42100</v>
      </c>
      <c r="C54" t="s">
        <v>28</v>
      </c>
      <c r="D54" t="s">
        <v>45</v>
      </c>
      <c r="E54" t="s">
        <v>17</v>
      </c>
      <c r="F54" t="s">
        <v>29</v>
      </c>
      <c r="G54">
        <v>46</v>
      </c>
      <c r="H54">
        <v>6</v>
      </c>
      <c r="I54">
        <v>276</v>
      </c>
      <c r="J54" t="s">
        <v>15</v>
      </c>
      <c r="M54" s="5"/>
      <c r="S54" t="s">
        <v>446</v>
      </c>
      <c r="T54" s="5">
        <v>42292</v>
      </c>
      <c r="U54" t="s">
        <v>20</v>
      </c>
      <c r="V54" t="s">
        <v>12</v>
      </c>
      <c r="W54" t="s">
        <v>13</v>
      </c>
      <c r="X54" t="s">
        <v>41</v>
      </c>
      <c r="Y54">
        <v>34</v>
      </c>
      <c r="Z54">
        <v>10</v>
      </c>
      <c r="AA54">
        <v>340</v>
      </c>
      <c r="AB54" t="s">
        <v>26</v>
      </c>
    </row>
    <row r="55" spans="1:28" x14ac:dyDescent="0.3">
      <c r="A55" t="s">
        <v>173</v>
      </c>
      <c r="B55" s="5">
        <v>42100</v>
      </c>
      <c r="C55" t="s">
        <v>20</v>
      </c>
      <c r="D55" t="s">
        <v>45</v>
      </c>
      <c r="E55" t="s">
        <v>13</v>
      </c>
      <c r="F55" t="s">
        <v>56</v>
      </c>
      <c r="G55">
        <v>34.799999999999997</v>
      </c>
      <c r="H55">
        <v>20</v>
      </c>
      <c r="I55">
        <v>696</v>
      </c>
      <c r="J55" t="s">
        <v>15</v>
      </c>
      <c r="M55" s="5"/>
      <c r="S55" t="s">
        <v>450</v>
      </c>
      <c r="T55" s="5">
        <v>42303</v>
      </c>
      <c r="U55" t="s">
        <v>11</v>
      </c>
      <c r="V55" t="s">
        <v>12</v>
      </c>
      <c r="W55" t="s">
        <v>13</v>
      </c>
      <c r="X55" t="s">
        <v>124</v>
      </c>
      <c r="Y55">
        <v>21.5</v>
      </c>
      <c r="Z55">
        <v>8</v>
      </c>
      <c r="AA55">
        <v>172</v>
      </c>
      <c r="AB55" t="s">
        <v>26</v>
      </c>
    </row>
    <row r="56" spans="1:28" x14ac:dyDescent="0.3">
      <c r="A56" t="s">
        <v>174</v>
      </c>
      <c r="B56" s="5">
        <v>42108</v>
      </c>
      <c r="C56" t="s">
        <v>31</v>
      </c>
      <c r="D56" t="s">
        <v>85</v>
      </c>
      <c r="E56" t="s">
        <v>17</v>
      </c>
      <c r="F56" t="s">
        <v>128</v>
      </c>
      <c r="G56">
        <v>4.5</v>
      </c>
      <c r="H56">
        <v>12</v>
      </c>
      <c r="I56">
        <v>54</v>
      </c>
      <c r="J56" t="s">
        <v>15</v>
      </c>
      <c r="M56" s="5"/>
      <c r="S56" t="s">
        <v>454</v>
      </c>
      <c r="T56" s="5">
        <v>42309</v>
      </c>
      <c r="U56" t="s">
        <v>28</v>
      </c>
      <c r="V56" t="s">
        <v>45</v>
      </c>
      <c r="W56" t="s">
        <v>13</v>
      </c>
      <c r="X56" t="s">
        <v>14</v>
      </c>
      <c r="Y56">
        <v>21</v>
      </c>
      <c r="Z56">
        <v>5</v>
      </c>
      <c r="AA56">
        <v>105</v>
      </c>
      <c r="AB56" t="s">
        <v>15</v>
      </c>
    </row>
    <row r="57" spans="1:28" x14ac:dyDescent="0.3">
      <c r="A57" t="s">
        <v>175</v>
      </c>
      <c r="B57" s="5">
        <v>42108</v>
      </c>
      <c r="C57" t="s">
        <v>20</v>
      </c>
      <c r="D57" t="s">
        <v>85</v>
      </c>
      <c r="E57" t="s">
        <v>13</v>
      </c>
      <c r="F57" t="s">
        <v>41</v>
      </c>
      <c r="G57">
        <v>34</v>
      </c>
      <c r="H57">
        <v>9</v>
      </c>
      <c r="I57">
        <v>306</v>
      </c>
      <c r="J57" t="s">
        <v>15</v>
      </c>
      <c r="M57" s="5"/>
      <c r="S57" t="s">
        <v>626</v>
      </c>
      <c r="T57" s="5">
        <v>42321</v>
      </c>
      <c r="U57" t="s">
        <v>28</v>
      </c>
      <c r="V57" t="s">
        <v>45</v>
      </c>
      <c r="W57" t="s">
        <v>13</v>
      </c>
      <c r="X57" t="s">
        <v>66</v>
      </c>
      <c r="Y57">
        <v>55</v>
      </c>
      <c r="Z57">
        <v>36</v>
      </c>
      <c r="AA57">
        <v>1980</v>
      </c>
      <c r="AB57" t="s">
        <v>26</v>
      </c>
    </row>
    <row r="58" spans="1:28" x14ac:dyDescent="0.3">
      <c r="A58" t="s">
        <v>176</v>
      </c>
      <c r="B58" s="5">
        <v>42108</v>
      </c>
      <c r="C58" t="s">
        <v>31</v>
      </c>
      <c r="D58" t="s">
        <v>85</v>
      </c>
      <c r="E58" t="s">
        <v>13</v>
      </c>
      <c r="F58" t="s">
        <v>14</v>
      </c>
      <c r="G58">
        <v>19</v>
      </c>
      <c r="H58">
        <v>18</v>
      </c>
      <c r="I58">
        <v>342</v>
      </c>
      <c r="J58" t="s">
        <v>15</v>
      </c>
      <c r="M58" s="5"/>
      <c r="S58" t="s">
        <v>628</v>
      </c>
      <c r="T58" s="5">
        <v>42325</v>
      </c>
      <c r="U58" t="s">
        <v>11</v>
      </c>
      <c r="V58" t="s">
        <v>45</v>
      </c>
      <c r="W58" t="s">
        <v>13</v>
      </c>
      <c r="X58" t="s">
        <v>186</v>
      </c>
      <c r="Y58">
        <v>36</v>
      </c>
      <c r="Z58">
        <v>15</v>
      </c>
      <c r="AA58">
        <v>540</v>
      </c>
      <c r="AB58" t="s">
        <v>26</v>
      </c>
    </row>
    <row r="59" spans="1:28" x14ac:dyDescent="0.3">
      <c r="A59" t="s">
        <v>177</v>
      </c>
      <c r="B59" s="5">
        <v>42109</v>
      </c>
      <c r="C59" t="s">
        <v>20</v>
      </c>
      <c r="D59" t="s">
        <v>85</v>
      </c>
      <c r="E59" t="s">
        <v>17</v>
      </c>
      <c r="F59" t="s">
        <v>54</v>
      </c>
      <c r="G59">
        <v>9</v>
      </c>
      <c r="H59">
        <v>10</v>
      </c>
      <c r="I59">
        <v>90</v>
      </c>
      <c r="J59" t="s">
        <v>15</v>
      </c>
      <c r="M59" s="5"/>
      <c r="S59" t="s">
        <v>629</v>
      </c>
      <c r="T59" s="5">
        <v>42339</v>
      </c>
      <c r="U59" t="s">
        <v>28</v>
      </c>
      <c r="V59" t="s">
        <v>45</v>
      </c>
      <c r="W59" t="s">
        <v>13</v>
      </c>
      <c r="X59" t="s">
        <v>14</v>
      </c>
      <c r="Y59">
        <v>21</v>
      </c>
      <c r="Z59">
        <v>16</v>
      </c>
      <c r="AA59">
        <v>336</v>
      </c>
      <c r="AB59" t="s">
        <v>26</v>
      </c>
    </row>
    <row r="60" spans="1:28" x14ac:dyDescent="0.3">
      <c r="A60" t="s">
        <v>178</v>
      </c>
      <c r="B60" s="5">
        <v>42109</v>
      </c>
      <c r="C60" t="s">
        <v>31</v>
      </c>
      <c r="D60" t="s">
        <v>85</v>
      </c>
      <c r="E60" t="s">
        <v>34</v>
      </c>
      <c r="F60" t="s">
        <v>64</v>
      </c>
      <c r="G60">
        <v>14</v>
      </c>
      <c r="H60">
        <v>4</v>
      </c>
      <c r="I60">
        <v>56</v>
      </c>
      <c r="J60" t="s">
        <v>15</v>
      </c>
      <c r="M60" s="5"/>
      <c r="S60" t="s">
        <v>630</v>
      </c>
      <c r="T60" s="5">
        <v>42339</v>
      </c>
      <c r="U60" t="s">
        <v>11</v>
      </c>
      <c r="V60" t="s">
        <v>45</v>
      </c>
      <c r="W60" t="s">
        <v>13</v>
      </c>
      <c r="X60" t="s">
        <v>99</v>
      </c>
      <c r="Y60">
        <v>12.5</v>
      </c>
      <c r="Z60">
        <v>150</v>
      </c>
      <c r="AA60">
        <v>1875</v>
      </c>
      <c r="AB60" t="s">
        <v>26</v>
      </c>
    </row>
    <row r="61" spans="1:28" x14ac:dyDescent="0.3">
      <c r="A61" t="s">
        <v>179</v>
      </c>
      <c r="B61" s="5">
        <v>42109</v>
      </c>
      <c r="C61" t="s">
        <v>20</v>
      </c>
      <c r="D61" t="s">
        <v>85</v>
      </c>
      <c r="E61" t="s">
        <v>13</v>
      </c>
      <c r="F61" t="s">
        <v>14</v>
      </c>
      <c r="G61">
        <v>9.5</v>
      </c>
      <c r="H61">
        <v>20</v>
      </c>
      <c r="I61">
        <v>190</v>
      </c>
      <c r="J61" t="s">
        <v>15</v>
      </c>
      <c r="M61" s="5"/>
      <c r="S61" t="s">
        <v>631</v>
      </c>
      <c r="T61" s="5">
        <v>42339</v>
      </c>
      <c r="U61" t="s">
        <v>28</v>
      </c>
      <c r="V61" t="s">
        <v>45</v>
      </c>
      <c r="W61" t="s">
        <v>13</v>
      </c>
      <c r="X61" t="s">
        <v>124</v>
      </c>
      <c r="Y61">
        <v>21.5</v>
      </c>
      <c r="Z61">
        <v>108</v>
      </c>
      <c r="AA61">
        <v>2322</v>
      </c>
      <c r="AB61" t="s">
        <v>26</v>
      </c>
    </row>
    <row r="62" spans="1:28" x14ac:dyDescent="0.3">
      <c r="A62" t="s">
        <v>180</v>
      </c>
      <c r="B62" s="5">
        <v>42109</v>
      </c>
      <c r="C62" t="s">
        <v>28</v>
      </c>
      <c r="D62" t="s">
        <v>85</v>
      </c>
      <c r="E62" t="s">
        <v>34</v>
      </c>
      <c r="F62" t="s">
        <v>43</v>
      </c>
      <c r="G62">
        <v>12.5</v>
      </c>
      <c r="H62">
        <v>2</v>
      </c>
      <c r="I62">
        <v>25</v>
      </c>
      <c r="J62" t="s">
        <v>15</v>
      </c>
      <c r="M62" s="5"/>
      <c r="S62" t="s">
        <v>632</v>
      </c>
      <c r="T62" s="5">
        <v>42340</v>
      </c>
      <c r="U62" t="s">
        <v>20</v>
      </c>
      <c r="V62" t="s">
        <v>12</v>
      </c>
      <c r="W62" t="s">
        <v>13</v>
      </c>
      <c r="X62" t="s">
        <v>14</v>
      </c>
      <c r="Y62">
        <v>21</v>
      </c>
      <c r="Z62">
        <v>45</v>
      </c>
      <c r="AA62">
        <v>945</v>
      </c>
      <c r="AB62" t="s">
        <v>26</v>
      </c>
    </row>
    <row r="63" spans="1:28" x14ac:dyDescent="0.3">
      <c r="A63" t="s">
        <v>181</v>
      </c>
      <c r="B63" s="5">
        <v>42110</v>
      </c>
      <c r="C63" t="s">
        <v>20</v>
      </c>
      <c r="D63" t="s">
        <v>45</v>
      </c>
      <c r="E63" t="s">
        <v>13</v>
      </c>
      <c r="F63" t="s">
        <v>99</v>
      </c>
      <c r="G63">
        <v>12.5</v>
      </c>
      <c r="H63">
        <v>15</v>
      </c>
      <c r="I63">
        <v>187.5</v>
      </c>
      <c r="J63" t="s">
        <v>26</v>
      </c>
      <c r="M63" s="5"/>
      <c r="S63" t="s">
        <v>634</v>
      </c>
      <c r="T63" s="5">
        <v>42348</v>
      </c>
      <c r="U63" t="s">
        <v>31</v>
      </c>
      <c r="V63" t="s">
        <v>24</v>
      </c>
      <c r="W63" t="s">
        <v>13</v>
      </c>
      <c r="X63" t="s">
        <v>99</v>
      </c>
      <c r="Y63">
        <v>12.5</v>
      </c>
      <c r="Z63">
        <v>4</v>
      </c>
      <c r="AA63">
        <v>50</v>
      </c>
      <c r="AB63" t="s">
        <v>26</v>
      </c>
    </row>
    <row r="64" spans="1:28" x14ac:dyDescent="0.3">
      <c r="A64" t="s">
        <v>182</v>
      </c>
      <c r="B64" s="5">
        <v>42110</v>
      </c>
      <c r="C64" t="s">
        <v>20</v>
      </c>
      <c r="D64" t="s">
        <v>45</v>
      </c>
      <c r="E64" t="s">
        <v>21</v>
      </c>
      <c r="F64" t="s">
        <v>22</v>
      </c>
      <c r="G64">
        <v>19</v>
      </c>
      <c r="H64">
        <v>16</v>
      </c>
      <c r="I64">
        <v>304</v>
      </c>
      <c r="J64" t="s">
        <v>26</v>
      </c>
      <c r="M64" s="5"/>
      <c r="S64" t="s">
        <v>636</v>
      </c>
      <c r="T64" s="5">
        <v>42349</v>
      </c>
      <c r="U64" t="s">
        <v>11</v>
      </c>
      <c r="V64" t="s">
        <v>12</v>
      </c>
      <c r="W64" t="s">
        <v>13</v>
      </c>
      <c r="X64" t="s">
        <v>99</v>
      </c>
      <c r="Y64">
        <v>12.5</v>
      </c>
      <c r="Z64">
        <v>80</v>
      </c>
      <c r="AA64">
        <v>1000</v>
      </c>
      <c r="AB64" t="s">
        <v>26</v>
      </c>
    </row>
    <row r="65" spans="1:28" x14ac:dyDescent="0.3">
      <c r="A65" t="s">
        <v>183</v>
      </c>
      <c r="B65" s="5">
        <v>42113</v>
      </c>
      <c r="C65" t="s">
        <v>20</v>
      </c>
      <c r="D65" t="s">
        <v>24</v>
      </c>
      <c r="E65" t="s">
        <v>21</v>
      </c>
      <c r="F65" t="s">
        <v>22</v>
      </c>
      <c r="G65">
        <v>12</v>
      </c>
      <c r="H65">
        <v>3</v>
      </c>
      <c r="I65">
        <v>36</v>
      </c>
      <c r="J65" t="s">
        <v>26</v>
      </c>
      <c r="M65" s="5"/>
      <c r="S65" t="s">
        <v>482</v>
      </c>
      <c r="T65" s="5">
        <v>42357</v>
      </c>
      <c r="U65" t="s">
        <v>31</v>
      </c>
      <c r="V65" t="s">
        <v>45</v>
      </c>
      <c r="W65" t="s">
        <v>13</v>
      </c>
      <c r="X65" t="s">
        <v>56</v>
      </c>
      <c r="Y65">
        <v>34.799999999999997</v>
      </c>
      <c r="Z65">
        <v>10</v>
      </c>
      <c r="AA65">
        <v>348</v>
      </c>
      <c r="AB65" t="s">
        <v>15</v>
      </c>
    </row>
    <row r="66" spans="1:28" x14ac:dyDescent="0.3">
      <c r="A66" t="s">
        <v>184</v>
      </c>
      <c r="B66" s="5">
        <v>42113</v>
      </c>
      <c r="C66" t="s">
        <v>31</v>
      </c>
      <c r="D66" t="s">
        <v>24</v>
      </c>
      <c r="E66" t="s">
        <v>34</v>
      </c>
      <c r="F66" t="s">
        <v>75</v>
      </c>
      <c r="G66">
        <v>20</v>
      </c>
      <c r="H66">
        <v>2</v>
      </c>
      <c r="I66">
        <v>40</v>
      </c>
      <c r="J66" t="s">
        <v>26</v>
      </c>
      <c r="M66" s="5"/>
      <c r="S66" t="s">
        <v>645</v>
      </c>
      <c r="T66" s="5">
        <v>42357</v>
      </c>
      <c r="U66" t="s">
        <v>20</v>
      </c>
      <c r="V66" t="s">
        <v>45</v>
      </c>
      <c r="W66" t="s">
        <v>13</v>
      </c>
      <c r="X66" t="s">
        <v>14</v>
      </c>
      <c r="Y66">
        <v>21</v>
      </c>
      <c r="Z66">
        <v>350</v>
      </c>
      <c r="AA66">
        <v>7350</v>
      </c>
      <c r="AB66" t="s">
        <v>26</v>
      </c>
    </row>
    <row r="67" spans="1:28" x14ac:dyDescent="0.3">
      <c r="A67" t="s">
        <v>185</v>
      </c>
      <c r="B67" s="5">
        <v>42114</v>
      </c>
      <c r="C67" t="s">
        <v>11</v>
      </c>
      <c r="D67" t="s">
        <v>12</v>
      </c>
      <c r="E67" t="s">
        <v>13</v>
      </c>
      <c r="F67" t="s">
        <v>186</v>
      </c>
      <c r="G67">
        <v>36</v>
      </c>
      <c r="H67">
        <v>30</v>
      </c>
      <c r="I67">
        <v>1080</v>
      </c>
      <c r="J67" t="s">
        <v>26</v>
      </c>
      <c r="M67" s="5"/>
      <c r="S67" t="s">
        <v>648</v>
      </c>
      <c r="T67" s="5">
        <v>42361</v>
      </c>
      <c r="U67" t="s">
        <v>20</v>
      </c>
      <c r="V67" t="s">
        <v>12</v>
      </c>
      <c r="W67" t="s">
        <v>13</v>
      </c>
      <c r="X67" t="s">
        <v>66</v>
      </c>
      <c r="Y67">
        <v>55</v>
      </c>
      <c r="Z67">
        <v>135</v>
      </c>
      <c r="AA67">
        <v>7425</v>
      </c>
      <c r="AB67" t="s">
        <v>15</v>
      </c>
    </row>
    <row r="68" spans="1:28" x14ac:dyDescent="0.3">
      <c r="A68" t="s">
        <v>187</v>
      </c>
      <c r="B68" s="5">
        <v>42114</v>
      </c>
      <c r="C68" t="s">
        <v>20</v>
      </c>
      <c r="D68" t="s">
        <v>12</v>
      </c>
      <c r="E68" t="s">
        <v>34</v>
      </c>
      <c r="F68" t="s">
        <v>188</v>
      </c>
      <c r="G68">
        <v>9.1999999999999993</v>
      </c>
      <c r="H68">
        <v>35</v>
      </c>
      <c r="I68">
        <v>322</v>
      </c>
      <c r="J68" t="s">
        <v>26</v>
      </c>
      <c r="M68" s="5"/>
      <c r="V68" s="5"/>
    </row>
    <row r="69" spans="1:28" x14ac:dyDescent="0.3">
      <c r="A69" t="s">
        <v>189</v>
      </c>
      <c r="B69" s="5">
        <v>42114</v>
      </c>
      <c r="C69" t="s">
        <v>28</v>
      </c>
      <c r="D69" t="s">
        <v>45</v>
      </c>
      <c r="E69" t="s">
        <v>17</v>
      </c>
      <c r="F69" t="s">
        <v>29</v>
      </c>
      <c r="G69">
        <v>46</v>
      </c>
      <c r="H69">
        <v>30</v>
      </c>
      <c r="I69">
        <v>1380</v>
      </c>
      <c r="J69" t="s">
        <v>26</v>
      </c>
      <c r="M69" s="5"/>
      <c r="V69" s="5"/>
    </row>
    <row r="70" spans="1:28" x14ac:dyDescent="0.3">
      <c r="A70" t="s">
        <v>190</v>
      </c>
      <c r="B70" s="5">
        <v>42114</v>
      </c>
      <c r="C70" t="s">
        <v>11</v>
      </c>
      <c r="D70" t="s">
        <v>45</v>
      </c>
      <c r="E70" t="s">
        <v>13</v>
      </c>
      <c r="F70" t="s">
        <v>14</v>
      </c>
      <c r="G70">
        <v>30</v>
      </c>
      <c r="H70">
        <v>4</v>
      </c>
      <c r="I70">
        <v>120</v>
      </c>
      <c r="J70" t="s">
        <v>26</v>
      </c>
      <c r="M70" s="5"/>
      <c r="S70" s="77" t="s">
        <v>4</v>
      </c>
      <c r="T70" s="77" t="s">
        <v>8</v>
      </c>
    </row>
    <row r="71" spans="1:28" x14ac:dyDescent="0.3">
      <c r="A71" t="s">
        <v>191</v>
      </c>
      <c r="B71" s="5">
        <v>42115</v>
      </c>
      <c r="C71" t="s">
        <v>28</v>
      </c>
      <c r="D71" t="s">
        <v>45</v>
      </c>
      <c r="E71" t="s">
        <v>21</v>
      </c>
      <c r="F71" t="s">
        <v>87</v>
      </c>
      <c r="G71">
        <v>21.05</v>
      </c>
      <c r="H71">
        <v>21</v>
      </c>
      <c r="I71">
        <v>442.05</v>
      </c>
      <c r="J71" t="s">
        <v>15</v>
      </c>
      <c r="M71" s="5"/>
      <c r="S71" s="74" t="s">
        <v>13</v>
      </c>
      <c r="T71" s="74" t="s">
        <v>739</v>
      </c>
    </row>
    <row r="72" spans="1:28" x14ac:dyDescent="0.3">
      <c r="A72" t="s">
        <v>192</v>
      </c>
      <c r="B72" s="5">
        <v>42115</v>
      </c>
      <c r="C72" t="s">
        <v>11</v>
      </c>
      <c r="D72" t="s">
        <v>45</v>
      </c>
      <c r="E72" t="s">
        <v>13</v>
      </c>
      <c r="F72" t="s">
        <v>124</v>
      </c>
      <c r="G72">
        <v>21.5</v>
      </c>
      <c r="H72">
        <v>50</v>
      </c>
      <c r="I72">
        <v>1075</v>
      </c>
      <c r="J72" t="s">
        <v>15</v>
      </c>
      <c r="M72" s="5"/>
      <c r="V72" s="5"/>
    </row>
    <row r="73" spans="1:28" x14ac:dyDescent="0.3">
      <c r="A73" t="s">
        <v>193</v>
      </c>
      <c r="B73" s="5">
        <v>42115</v>
      </c>
      <c r="C73" t="s">
        <v>31</v>
      </c>
      <c r="D73" t="s">
        <v>45</v>
      </c>
      <c r="E73" t="s">
        <v>13</v>
      </c>
      <c r="F73" t="s">
        <v>113</v>
      </c>
      <c r="G73">
        <v>2.5</v>
      </c>
      <c r="H73">
        <v>30</v>
      </c>
      <c r="I73">
        <v>75</v>
      </c>
      <c r="J73" t="s">
        <v>15</v>
      </c>
      <c r="M73" s="5"/>
      <c r="S73" s="86" t="s">
        <v>0</v>
      </c>
      <c r="T73" s="87" t="s">
        <v>1</v>
      </c>
      <c r="U73" s="86" t="s">
        <v>2</v>
      </c>
      <c r="V73" s="86" t="s">
        <v>3</v>
      </c>
      <c r="W73" s="86" t="s">
        <v>4</v>
      </c>
      <c r="X73" s="86" t="s">
        <v>5</v>
      </c>
      <c r="Y73" s="86" t="s">
        <v>6</v>
      </c>
      <c r="Z73" s="86" t="s">
        <v>7</v>
      </c>
      <c r="AA73" s="86" t="s">
        <v>8</v>
      </c>
      <c r="AB73" s="86" t="s">
        <v>9</v>
      </c>
    </row>
    <row r="74" spans="1:28" x14ac:dyDescent="0.3">
      <c r="A74" t="s">
        <v>194</v>
      </c>
      <c r="B74" s="5">
        <v>42115</v>
      </c>
      <c r="C74" t="s">
        <v>31</v>
      </c>
      <c r="D74" t="s">
        <v>45</v>
      </c>
      <c r="E74" t="s">
        <v>34</v>
      </c>
      <c r="F74" t="s">
        <v>77</v>
      </c>
      <c r="G74">
        <v>31.23</v>
      </c>
      <c r="H74">
        <v>12</v>
      </c>
      <c r="I74">
        <v>374.76</v>
      </c>
      <c r="J74" t="s">
        <v>15</v>
      </c>
      <c r="S74" t="s">
        <v>40</v>
      </c>
      <c r="T74" s="5">
        <v>42023</v>
      </c>
      <c r="U74" t="s">
        <v>20</v>
      </c>
      <c r="V74" t="s">
        <v>12</v>
      </c>
      <c r="W74" t="s">
        <v>13</v>
      </c>
      <c r="X74" t="s">
        <v>41</v>
      </c>
      <c r="Y74">
        <v>34</v>
      </c>
      <c r="Z74">
        <v>30</v>
      </c>
      <c r="AA74">
        <v>1020</v>
      </c>
      <c r="AB74" t="s">
        <v>26</v>
      </c>
    </row>
    <row r="75" spans="1:28" x14ac:dyDescent="0.3">
      <c r="A75" t="s">
        <v>195</v>
      </c>
      <c r="B75" s="5">
        <v>42121</v>
      </c>
      <c r="C75" t="s">
        <v>31</v>
      </c>
      <c r="D75" t="s">
        <v>85</v>
      </c>
      <c r="E75" t="s">
        <v>17</v>
      </c>
      <c r="F75" t="s">
        <v>54</v>
      </c>
      <c r="G75">
        <v>15</v>
      </c>
      <c r="H75">
        <v>4</v>
      </c>
      <c r="I75">
        <v>60</v>
      </c>
      <c r="J75" t="s">
        <v>15</v>
      </c>
      <c r="S75" t="s">
        <v>48</v>
      </c>
      <c r="T75" s="5">
        <v>42023</v>
      </c>
      <c r="U75" t="s">
        <v>11</v>
      </c>
      <c r="V75" t="s">
        <v>45</v>
      </c>
      <c r="W75" t="s">
        <v>13</v>
      </c>
      <c r="X75" t="s">
        <v>41</v>
      </c>
      <c r="Y75">
        <v>34</v>
      </c>
      <c r="Z75">
        <v>21</v>
      </c>
      <c r="AA75">
        <v>714</v>
      </c>
      <c r="AB75" t="s">
        <v>15</v>
      </c>
    </row>
    <row r="76" spans="1:28" x14ac:dyDescent="0.3">
      <c r="A76" t="s">
        <v>196</v>
      </c>
      <c r="B76" s="5">
        <v>42122</v>
      </c>
      <c r="C76" t="s">
        <v>28</v>
      </c>
      <c r="D76" t="s">
        <v>12</v>
      </c>
      <c r="E76" t="s">
        <v>21</v>
      </c>
      <c r="F76" t="s">
        <v>197</v>
      </c>
      <c r="G76">
        <v>19.45</v>
      </c>
      <c r="H76">
        <v>15</v>
      </c>
      <c r="I76">
        <v>291.75</v>
      </c>
      <c r="J76" t="s">
        <v>15</v>
      </c>
      <c r="S76" t="s">
        <v>55</v>
      </c>
      <c r="T76" s="5">
        <v>42029</v>
      </c>
      <c r="U76" t="s">
        <v>28</v>
      </c>
      <c r="V76" t="s">
        <v>12</v>
      </c>
      <c r="W76" t="s">
        <v>13</v>
      </c>
      <c r="X76" t="s">
        <v>56</v>
      </c>
      <c r="Y76">
        <v>34.799999999999997</v>
      </c>
      <c r="Z76">
        <v>15</v>
      </c>
      <c r="AA76">
        <v>522</v>
      </c>
      <c r="AB76" t="s">
        <v>26</v>
      </c>
    </row>
    <row r="77" spans="1:28" x14ac:dyDescent="0.3">
      <c r="A77" t="s">
        <v>198</v>
      </c>
      <c r="B77" s="5">
        <v>42122</v>
      </c>
      <c r="C77" t="s">
        <v>20</v>
      </c>
      <c r="D77" t="s">
        <v>12</v>
      </c>
      <c r="E77" t="s">
        <v>21</v>
      </c>
      <c r="F77" t="s">
        <v>22</v>
      </c>
      <c r="G77">
        <v>28.5</v>
      </c>
      <c r="H77">
        <v>4</v>
      </c>
      <c r="I77">
        <v>114</v>
      </c>
      <c r="J77" t="s">
        <v>15</v>
      </c>
      <c r="S77" t="s">
        <v>82</v>
      </c>
      <c r="T77" s="5">
        <v>42045</v>
      </c>
      <c r="U77" t="s">
        <v>28</v>
      </c>
      <c r="V77" t="s">
        <v>45</v>
      </c>
      <c r="W77" t="s">
        <v>13</v>
      </c>
      <c r="X77" t="s">
        <v>14</v>
      </c>
      <c r="Y77">
        <v>21</v>
      </c>
      <c r="Z77">
        <v>10</v>
      </c>
      <c r="AA77">
        <v>210</v>
      </c>
      <c r="AB77" t="s">
        <v>15</v>
      </c>
    </row>
    <row r="78" spans="1:28" x14ac:dyDescent="0.3">
      <c r="A78" t="s">
        <v>199</v>
      </c>
      <c r="B78" s="5">
        <v>42124</v>
      </c>
      <c r="C78" t="s">
        <v>31</v>
      </c>
      <c r="D78" t="s">
        <v>12</v>
      </c>
      <c r="E78" t="s">
        <v>13</v>
      </c>
      <c r="F78" t="s">
        <v>200</v>
      </c>
      <c r="G78">
        <v>38</v>
      </c>
      <c r="H78">
        <v>4</v>
      </c>
      <c r="I78">
        <v>152</v>
      </c>
      <c r="J78" t="s">
        <v>15</v>
      </c>
      <c r="S78" t="s">
        <v>166</v>
      </c>
      <c r="T78" s="5">
        <v>42099</v>
      </c>
      <c r="U78" t="s">
        <v>11</v>
      </c>
      <c r="V78" t="s">
        <v>24</v>
      </c>
      <c r="W78" t="s">
        <v>13</v>
      </c>
      <c r="X78" t="s">
        <v>14</v>
      </c>
      <c r="Y78">
        <v>21</v>
      </c>
      <c r="Z78">
        <v>30</v>
      </c>
      <c r="AA78">
        <v>630</v>
      </c>
      <c r="AB78" t="s">
        <v>26</v>
      </c>
    </row>
    <row r="79" spans="1:28" x14ac:dyDescent="0.3">
      <c r="A79" t="s">
        <v>201</v>
      </c>
      <c r="B79" s="5">
        <v>42124</v>
      </c>
      <c r="C79" t="s">
        <v>28</v>
      </c>
      <c r="D79" t="s">
        <v>45</v>
      </c>
      <c r="E79" t="s">
        <v>17</v>
      </c>
      <c r="F79" t="s">
        <v>79</v>
      </c>
      <c r="G79">
        <v>18</v>
      </c>
      <c r="H79">
        <v>25</v>
      </c>
      <c r="I79">
        <v>450</v>
      </c>
      <c r="J79" t="s">
        <v>26</v>
      </c>
      <c r="L79" s="37"/>
      <c r="M79" s="62"/>
      <c r="N79" s="37"/>
      <c r="O79" s="37"/>
      <c r="P79" s="37"/>
      <c r="Q79" s="37"/>
      <c r="R79" s="37"/>
      <c r="S79" t="s">
        <v>169</v>
      </c>
      <c r="T79" s="5">
        <v>42100</v>
      </c>
      <c r="U79" t="s">
        <v>11</v>
      </c>
      <c r="V79" t="s">
        <v>12</v>
      </c>
      <c r="W79" t="s">
        <v>13</v>
      </c>
      <c r="X79" t="s">
        <v>14</v>
      </c>
      <c r="Y79">
        <v>21</v>
      </c>
      <c r="Z79">
        <v>15</v>
      </c>
      <c r="AA79">
        <v>315</v>
      </c>
      <c r="AB79" t="s">
        <v>15</v>
      </c>
    </row>
    <row r="80" spans="1:28" x14ac:dyDescent="0.3">
      <c r="A80" t="s">
        <v>202</v>
      </c>
      <c r="B80" s="5">
        <v>42124</v>
      </c>
      <c r="C80" t="s">
        <v>31</v>
      </c>
      <c r="D80" t="s">
        <v>45</v>
      </c>
      <c r="E80" t="s">
        <v>21</v>
      </c>
      <c r="F80" t="s">
        <v>61</v>
      </c>
      <c r="G80">
        <v>21.35</v>
      </c>
      <c r="H80">
        <v>30</v>
      </c>
      <c r="I80">
        <v>640.5</v>
      </c>
      <c r="J80" t="s">
        <v>26</v>
      </c>
      <c r="M80" s="5"/>
      <c r="S80" t="s">
        <v>171</v>
      </c>
      <c r="T80" s="5">
        <v>42100</v>
      </c>
      <c r="U80" t="s">
        <v>11</v>
      </c>
      <c r="V80" t="s">
        <v>45</v>
      </c>
      <c r="W80" t="s">
        <v>13</v>
      </c>
      <c r="X80" t="s">
        <v>14</v>
      </c>
      <c r="Y80">
        <v>30</v>
      </c>
      <c r="Z80">
        <v>60</v>
      </c>
      <c r="AA80">
        <v>1800</v>
      </c>
      <c r="AB80" t="s">
        <v>15</v>
      </c>
    </row>
    <row r="81" spans="1:28" x14ac:dyDescent="0.3">
      <c r="A81" t="s">
        <v>203</v>
      </c>
      <c r="B81" s="5">
        <v>42127</v>
      </c>
      <c r="C81" t="s">
        <v>11</v>
      </c>
      <c r="D81" t="s">
        <v>12</v>
      </c>
      <c r="E81" t="s">
        <v>17</v>
      </c>
      <c r="F81" t="s">
        <v>29</v>
      </c>
      <c r="G81">
        <v>46</v>
      </c>
      <c r="H81">
        <v>30</v>
      </c>
      <c r="I81">
        <v>1380</v>
      </c>
      <c r="J81" t="s">
        <v>15</v>
      </c>
      <c r="S81" t="s">
        <v>173</v>
      </c>
      <c r="T81" s="5">
        <v>42100</v>
      </c>
      <c r="U81" t="s">
        <v>20</v>
      </c>
      <c r="V81" t="s">
        <v>45</v>
      </c>
      <c r="W81" t="s">
        <v>13</v>
      </c>
      <c r="X81" t="s">
        <v>56</v>
      </c>
      <c r="Y81">
        <v>34.799999999999997</v>
      </c>
      <c r="Z81">
        <v>20</v>
      </c>
      <c r="AA81">
        <v>696</v>
      </c>
      <c r="AB81" t="s">
        <v>15</v>
      </c>
    </row>
    <row r="82" spans="1:28" x14ac:dyDescent="0.3">
      <c r="A82" t="s">
        <v>217</v>
      </c>
      <c r="B82" s="5">
        <v>42212</v>
      </c>
      <c r="C82" t="s">
        <v>11</v>
      </c>
      <c r="D82" t="s">
        <v>12</v>
      </c>
      <c r="E82" t="s">
        <v>51</v>
      </c>
      <c r="F82" t="s">
        <v>59</v>
      </c>
      <c r="G82">
        <v>97</v>
      </c>
      <c r="H82">
        <v>20</v>
      </c>
      <c r="I82">
        <v>1940</v>
      </c>
      <c r="J82" t="s">
        <v>15</v>
      </c>
      <c r="S82" t="s">
        <v>175</v>
      </c>
      <c r="T82" s="5">
        <v>42108</v>
      </c>
      <c r="U82" t="s">
        <v>20</v>
      </c>
      <c r="V82" t="s">
        <v>85</v>
      </c>
      <c r="W82" t="s">
        <v>13</v>
      </c>
      <c r="X82" t="s">
        <v>41</v>
      </c>
      <c r="Y82">
        <v>34</v>
      </c>
      <c r="Z82">
        <v>9</v>
      </c>
      <c r="AA82">
        <v>306</v>
      </c>
      <c r="AB82" t="s">
        <v>15</v>
      </c>
    </row>
    <row r="83" spans="1:28" x14ac:dyDescent="0.3">
      <c r="A83" t="s">
        <v>218</v>
      </c>
      <c r="B83" s="5">
        <v>42220</v>
      </c>
      <c r="C83" t="s">
        <v>31</v>
      </c>
      <c r="D83" t="s">
        <v>12</v>
      </c>
      <c r="E83" t="s">
        <v>34</v>
      </c>
      <c r="F83" t="s">
        <v>64</v>
      </c>
      <c r="G83">
        <v>9.65</v>
      </c>
      <c r="H83">
        <v>4</v>
      </c>
      <c r="I83">
        <v>38.6</v>
      </c>
      <c r="J83" t="s">
        <v>26</v>
      </c>
      <c r="L83" s="37"/>
      <c r="M83" s="37"/>
      <c r="S83" t="s">
        <v>176</v>
      </c>
      <c r="T83" s="5">
        <v>42108</v>
      </c>
      <c r="U83" t="s">
        <v>31</v>
      </c>
      <c r="V83" t="s">
        <v>85</v>
      </c>
      <c r="W83" t="s">
        <v>13</v>
      </c>
      <c r="X83" t="s">
        <v>14</v>
      </c>
      <c r="Y83">
        <v>19</v>
      </c>
      <c r="Z83">
        <v>18</v>
      </c>
      <c r="AA83">
        <v>342</v>
      </c>
      <c r="AB83" t="s">
        <v>15</v>
      </c>
    </row>
    <row r="84" spans="1:28" x14ac:dyDescent="0.3">
      <c r="A84" t="s">
        <v>219</v>
      </c>
      <c r="B84" s="5">
        <v>42210</v>
      </c>
      <c r="C84" t="s">
        <v>11</v>
      </c>
      <c r="D84" t="s">
        <v>12</v>
      </c>
      <c r="E84" t="s">
        <v>13</v>
      </c>
      <c r="F84" t="s">
        <v>124</v>
      </c>
      <c r="G84">
        <v>21.5</v>
      </c>
      <c r="H84">
        <v>9</v>
      </c>
      <c r="I84">
        <v>193.5</v>
      </c>
      <c r="J84" t="s">
        <v>15</v>
      </c>
      <c r="S84" t="s">
        <v>185</v>
      </c>
      <c r="T84" s="5">
        <v>42114</v>
      </c>
      <c r="U84" t="s">
        <v>11</v>
      </c>
      <c r="V84" t="s">
        <v>12</v>
      </c>
      <c r="W84" t="s">
        <v>13</v>
      </c>
      <c r="X84" t="s">
        <v>186</v>
      </c>
      <c r="Y84">
        <v>36</v>
      </c>
      <c r="Z84">
        <v>30</v>
      </c>
      <c r="AA84">
        <v>1080</v>
      </c>
      <c r="AB84" t="s">
        <v>26</v>
      </c>
    </row>
    <row r="85" spans="1:28" x14ac:dyDescent="0.3">
      <c r="A85" t="s">
        <v>220</v>
      </c>
      <c r="B85" s="5">
        <v>42215</v>
      </c>
      <c r="C85" t="s">
        <v>28</v>
      </c>
      <c r="D85" t="s">
        <v>24</v>
      </c>
      <c r="E85" t="s">
        <v>34</v>
      </c>
      <c r="F85" t="s">
        <v>64</v>
      </c>
      <c r="G85">
        <v>53</v>
      </c>
      <c r="H85">
        <v>7</v>
      </c>
      <c r="I85">
        <v>371</v>
      </c>
      <c r="J85" t="s">
        <v>26</v>
      </c>
      <c r="S85" t="s">
        <v>192</v>
      </c>
      <c r="T85" s="5">
        <v>42115</v>
      </c>
      <c r="U85" t="s">
        <v>11</v>
      </c>
      <c r="V85" t="s">
        <v>45</v>
      </c>
      <c r="W85" t="s">
        <v>13</v>
      </c>
      <c r="X85" t="s">
        <v>124</v>
      </c>
      <c r="Y85">
        <v>21.5</v>
      </c>
      <c r="Z85">
        <v>50</v>
      </c>
      <c r="AA85">
        <v>1075</v>
      </c>
      <c r="AB85" t="s">
        <v>15</v>
      </c>
    </row>
    <row r="86" spans="1:28" x14ac:dyDescent="0.3">
      <c r="A86" t="s">
        <v>221</v>
      </c>
      <c r="B86" s="5">
        <v>42217</v>
      </c>
      <c r="C86" t="s">
        <v>20</v>
      </c>
      <c r="D86" t="s">
        <v>12</v>
      </c>
      <c r="E86" t="s">
        <v>34</v>
      </c>
      <c r="F86" t="s">
        <v>77</v>
      </c>
      <c r="G86">
        <v>31.23</v>
      </c>
      <c r="H86">
        <v>30</v>
      </c>
      <c r="I86">
        <v>936.9</v>
      </c>
      <c r="J86" t="s">
        <v>26</v>
      </c>
      <c r="M86" s="5"/>
      <c r="S86" t="s">
        <v>224</v>
      </c>
      <c r="T86" s="5">
        <v>42195</v>
      </c>
      <c r="U86" t="s">
        <v>28</v>
      </c>
      <c r="V86" t="s">
        <v>12</v>
      </c>
      <c r="W86" t="s">
        <v>13</v>
      </c>
      <c r="X86" t="s">
        <v>41</v>
      </c>
      <c r="Y86">
        <v>34</v>
      </c>
      <c r="Z86">
        <v>15</v>
      </c>
      <c r="AA86">
        <v>510</v>
      </c>
      <c r="AB86" t="s">
        <v>26</v>
      </c>
    </row>
    <row r="87" spans="1:28" x14ac:dyDescent="0.3">
      <c r="A87" t="s">
        <v>222</v>
      </c>
      <c r="B87" s="5">
        <v>42208</v>
      </c>
      <c r="C87" t="s">
        <v>11</v>
      </c>
      <c r="D87" t="s">
        <v>24</v>
      </c>
      <c r="E87" t="s">
        <v>34</v>
      </c>
      <c r="F87" t="s">
        <v>77</v>
      </c>
      <c r="G87">
        <v>31.23</v>
      </c>
      <c r="H87">
        <v>6</v>
      </c>
      <c r="I87">
        <v>187.38</v>
      </c>
      <c r="J87" t="s">
        <v>26</v>
      </c>
      <c r="M87" s="5"/>
      <c r="S87" t="s">
        <v>226</v>
      </c>
      <c r="T87" s="5">
        <v>42216</v>
      </c>
      <c r="U87" t="s">
        <v>28</v>
      </c>
      <c r="V87" t="s">
        <v>12</v>
      </c>
      <c r="W87" t="s">
        <v>13</v>
      </c>
      <c r="X87" t="s">
        <v>14</v>
      </c>
      <c r="Y87">
        <v>62.5</v>
      </c>
      <c r="Z87">
        <v>4</v>
      </c>
      <c r="AA87">
        <v>250</v>
      </c>
      <c r="AB87" t="s">
        <v>26</v>
      </c>
    </row>
    <row r="88" spans="1:28" x14ac:dyDescent="0.3">
      <c r="A88" t="s">
        <v>223</v>
      </c>
      <c r="B88" s="5">
        <v>42194</v>
      </c>
      <c r="C88" t="s">
        <v>28</v>
      </c>
      <c r="D88" t="s">
        <v>45</v>
      </c>
      <c r="E88" t="s">
        <v>21</v>
      </c>
      <c r="F88" t="s">
        <v>111</v>
      </c>
      <c r="G88">
        <v>22</v>
      </c>
      <c r="H88">
        <v>25</v>
      </c>
      <c r="I88">
        <v>550</v>
      </c>
      <c r="J88" t="s">
        <v>15</v>
      </c>
      <c r="M88" s="5"/>
      <c r="S88" t="s">
        <v>228</v>
      </c>
      <c r="T88" s="5">
        <v>42199</v>
      </c>
      <c r="U88" t="s">
        <v>31</v>
      </c>
      <c r="V88" t="s">
        <v>45</v>
      </c>
      <c r="W88" t="s">
        <v>13</v>
      </c>
      <c r="X88" t="s">
        <v>41</v>
      </c>
      <c r="Y88">
        <v>34</v>
      </c>
      <c r="Z88">
        <v>15</v>
      </c>
      <c r="AA88">
        <v>510</v>
      </c>
      <c r="AB88" t="s">
        <v>26</v>
      </c>
    </row>
    <row r="89" spans="1:28" x14ac:dyDescent="0.3">
      <c r="A89" t="s">
        <v>224</v>
      </c>
      <c r="B89" s="5">
        <v>42195</v>
      </c>
      <c r="C89" t="s">
        <v>28</v>
      </c>
      <c r="D89" t="s">
        <v>12</v>
      </c>
      <c r="E89" t="s">
        <v>13</v>
      </c>
      <c r="F89" t="s">
        <v>41</v>
      </c>
      <c r="G89">
        <v>34</v>
      </c>
      <c r="H89">
        <v>15</v>
      </c>
      <c r="I89">
        <v>510</v>
      </c>
      <c r="J89" t="s">
        <v>26</v>
      </c>
      <c r="M89" s="5"/>
      <c r="S89" t="s">
        <v>236</v>
      </c>
      <c r="T89" s="5">
        <v>42193</v>
      </c>
      <c r="U89" t="s">
        <v>31</v>
      </c>
      <c r="V89" t="s">
        <v>12</v>
      </c>
      <c r="W89" t="s">
        <v>13</v>
      </c>
      <c r="X89" t="s">
        <v>99</v>
      </c>
      <c r="Y89">
        <v>12.5</v>
      </c>
      <c r="Z89">
        <v>20</v>
      </c>
      <c r="AA89">
        <v>250</v>
      </c>
      <c r="AB89" t="s">
        <v>26</v>
      </c>
    </row>
    <row r="90" spans="1:28" x14ac:dyDescent="0.3">
      <c r="A90" t="s">
        <v>225</v>
      </c>
      <c r="B90" s="5">
        <v>42208</v>
      </c>
      <c r="C90" t="s">
        <v>11</v>
      </c>
      <c r="D90" t="s">
        <v>45</v>
      </c>
      <c r="E90" t="s">
        <v>34</v>
      </c>
      <c r="F90" t="s">
        <v>64</v>
      </c>
      <c r="G90">
        <v>12</v>
      </c>
      <c r="H90">
        <v>28</v>
      </c>
      <c r="I90">
        <v>336</v>
      </c>
      <c r="J90" t="s">
        <v>26</v>
      </c>
      <c r="M90" s="5"/>
      <c r="S90" t="s">
        <v>284</v>
      </c>
      <c r="T90" s="5">
        <v>42327</v>
      </c>
      <c r="U90" t="s">
        <v>11</v>
      </c>
      <c r="V90" t="s">
        <v>45</v>
      </c>
      <c r="W90" t="s">
        <v>13</v>
      </c>
      <c r="X90" t="s">
        <v>41</v>
      </c>
      <c r="Y90">
        <v>34</v>
      </c>
      <c r="Z90">
        <v>80</v>
      </c>
      <c r="AA90">
        <v>2720</v>
      </c>
      <c r="AB90" t="s">
        <v>26</v>
      </c>
    </row>
    <row r="91" spans="1:28" x14ac:dyDescent="0.3">
      <c r="A91" t="s">
        <v>226</v>
      </c>
      <c r="B91" s="5">
        <v>42216</v>
      </c>
      <c r="C91" t="s">
        <v>28</v>
      </c>
      <c r="D91" t="s">
        <v>12</v>
      </c>
      <c r="E91" t="s">
        <v>13</v>
      </c>
      <c r="F91" t="s">
        <v>14</v>
      </c>
      <c r="G91">
        <v>62.5</v>
      </c>
      <c r="H91">
        <v>4</v>
      </c>
      <c r="I91">
        <v>250</v>
      </c>
      <c r="J91" t="s">
        <v>26</v>
      </c>
      <c r="M91" s="5"/>
      <c r="S91" t="s">
        <v>285</v>
      </c>
      <c r="T91" s="5">
        <v>42327</v>
      </c>
      <c r="U91" t="s">
        <v>11</v>
      </c>
      <c r="V91" t="s">
        <v>45</v>
      </c>
      <c r="W91" t="s">
        <v>13</v>
      </c>
      <c r="X91" t="s">
        <v>99</v>
      </c>
      <c r="Y91">
        <v>12.5</v>
      </c>
      <c r="Z91">
        <v>70</v>
      </c>
      <c r="AA91">
        <v>875</v>
      </c>
      <c r="AB91" t="s">
        <v>26</v>
      </c>
    </row>
    <row r="92" spans="1:28" x14ac:dyDescent="0.3">
      <c r="A92" t="s">
        <v>227</v>
      </c>
      <c r="B92" s="5">
        <v>42193</v>
      </c>
      <c r="C92" t="s">
        <v>11</v>
      </c>
      <c r="D92" t="s">
        <v>12</v>
      </c>
      <c r="E92" t="s">
        <v>34</v>
      </c>
      <c r="F92" t="s">
        <v>77</v>
      </c>
      <c r="G92">
        <v>31.23</v>
      </c>
      <c r="H92">
        <v>6</v>
      </c>
      <c r="I92">
        <v>187.38</v>
      </c>
      <c r="J92" t="s">
        <v>15</v>
      </c>
      <c r="M92" s="5"/>
      <c r="S92" t="s">
        <v>287</v>
      </c>
      <c r="T92" s="5">
        <v>42332</v>
      </c>
      <c r="U92" t="s">
        <v>28</v>
      </c>
      <c r="V92" t="s">
        <v>45</v>
      </c>
      <c r="W92" t="s">
        <v>13</v>
      </c>
      <c r="X92" t="s">
        <v>186</v>
      </c>
      <c r="Y92">
        <v>36</v>
      </c>
      <c r="Z92">
        <v>30</v>
      </c>
      <c r="AA92">
        <v>1080</v>
      </c>
      <c r="AB92" t="s">
        <v>15</v>
      </c>
    </row>
    <row r="93" spans="1:28" x14ac:dyDescent="0.3">
      <c r="A93" t="s">
        <v>228</v>
      </c>
      <c r="B93" s="5">
        <v>42199</v>
      </c>
      <c r="C93" t="s">
        <v>31</v>
      </c>
      <c r="D93" t="s">
        <v>45</v>
      </c>
      <c r="E93" t="s">
        <v>13</v>
      </c>
      <c r="F93" t="s">
        <v>41</v>
      </c>
      <c r="G93">
        <v>34</v>
      </c>
      <c r="H93">
        <v>15</v>
      </c>
      <c r="I93">
        <v>510</v>
      </c>
      <c r="J93" t="s">
        <v>26</v>
      </c>
      <c r="M93" s="5"/>
      <c r="S93" t="s">
        <v>312</v>
      </c>
      <c r="T93" s="5">
        <v>42009</v>
      </c>
      <c r="U93" t="s">
        <v>11</v>
      </c>
      <c r="V93" t="s">
        <v>12</v>
      </c>
      <c r="W93" t="s">
        <v>13</v>
      </c>
      <c r="X93" t="s">
        <v>14</v>
      </c>
      <c r="Y93">
        <v>45.6</v>
      </c>
      <c r="Z93">
        <v>42</v>
      </c>
      <c r="AA93">
        <v>1915.2</v>
      </c>
      <c r="AB93" t="s">
        <v>15</v>
      </c>
    </row>
    <row r="94" spans="1:28" x14ac:dyDescent="0.3">
      <c r="A94" t="s">
        <v>229</v>
      </c>
      <c r="B94" s="5">
        <v>42200</v>
      </c>
      <c r="C94" t="s">
        <v>11</v>
      </c>
      <c r="D94" t="s">
        <v>12</v>
      </c>
      <c r="E94" t="s">
        <v>17</v>
      </c>
      <c r="F94" t="s">
        <v>25</v>
      </c>
      <c r="G94">
        <v>7.75</v>
      </c>
      <c r="H94">
        <v>42</v>
      </c>
      <c r="I94">
        <v>325.5</v>
      </c>
      <c r="J94" t="s">
        <v>15</v>
      </c>
      <c r="M94" s="5"/>
      <c r="S94" t="s">
        <v>326</v>
      </c>
      <c r="T94" s="5">
        <v>42025</v>
      </c>
      <c r="U94" t="s">
        <v>11</v>
      </c>
      <c r="V94" t="s">
        <v>12</v>
      </c>
      <c r="W94" t="s">
        <v>13</v>
      </c>
      <c r="X94" t="s">
        <v>66</v>
      </c>
      <c r="Y94">
        <v>55</v>
      </c>
      <c r="Z94">
        <v>20</v>
      </c>
      <c r="AA94">
        <v>1100</v>
      </c>
      <c r="AB94" t="s">
        <v>26</v>
      </c>
    </row>
    <row r="95" spans="1:28" x14ac:dyDescent="0.3">
      <c r="A95" t="s">
        <v>230</v>
      </c>
      <c r="B95" s="5">
        <v>42193</v>
      </c>
      <c r="C95" t="s">
        <v>11</v>
      </c>
      <c r="D95" t="s">
        <v>12</v>
      </c>
      <c r="E95" t="s">
        <v>17</v>
      </c>
      <c r="F95" t="s">
        <v>79</v>
      </c>
      <c r="G95">
        <v>18</v>
      </c>
      <c r="H95">
        <v>10</v>
      </c>
      <c r="I95">
        <v>180</v>
      </c>
      <c r="J95" t="s">
        <v>15</v>
      </c>
      <c r="M95" s="5"/>
      <c r="S95" t="s">
        <v>331</v>
      </c>
      <c r="T95" s="5">
        <v>42037</v>
      </c>
      <c r="U95" t="s">
        <v>31</v>
      </c>
      <c r="V95" t="s">
        <v>45</v>
      </c>
      <c r="W95" t="s">
        <v>13</v>
      </c>
      <c r="X95" t="s">
        <v>14</v>
      </c>
      <c r="Y95">
        <v>21</v>
      </c>
      <c r="Z95">
        <v>12</v>
      </c>
      <c r="AA95">
        <v>252</v>
      </c>
      <c r="AB95" t="s">
        <v>26</v>
      </c>
    </row>
    <row r="96" spans="1:28" x14ac:dyDescent="0.3">
      <c r="A96" t="s">
        <v>231</v>
      </c>
      <c r="B96" s="5">
        <v>42191</v>
      </c>
      <c r="C96" t="s">
        <v>20</v>
      </c>
      <c r="D96" t="s">
        <v>24</v>
      </c>
      <c r="E96" t="s">
        <v>21</v>
      </c>
      <c r="F96" t="s">
        <v>87</v>
      </c>
      <c r="G96">
        <v>21.05</v>
      </c>
      <c r="H96">
        <v>15</v>
      </c>
      <c r="I96">
        <v>315.75</v>
      </c>
      <c r="J96" t="s">
        <v>26</v>
      </c>
      <c r="M96" s="5"/>
      <c r="S96" t="s">
        <v>332</v>
      </c>
      <c r="T96" s="5">
        <v>42037</v>
      </c>
      <c r="U96" t="s">
        <v>31</v>
      </c>
      <c r="V96" t="s">
        <v>45</v>
      </c>
      <c r="W96" t="s">
        <v>13</v>
      </c>
      <c r="X96" t="s">
        <v>56</v>
      </c>
      <c r="Y96">
        <v>34.799999999999997</v>
      </c>
      <c r="Z96">
        <v>10</v>
      </c>
      <c r="AA96">
        <v>348</v>
      </c>
      <c r="AB96" t="s">
        <v>26</v>
      </c>
    </row>
    <row r="97" spans="1:28" x14ac:dyDescent="0.3">
      <c r="A97" t="s">
        <v>232</v>
      </c>
      <c r="B97" s="5">
        <v>42191</v>
      </c>
      <c r="C97" t="s">
        <v>20</v>
      </c>
      <c r="D97" t="s">
        <v>12</v>
      </c>
      <c r="E97" t="s">
        <v>17</v>
      </c>
      <c r="F97" t="s">
        <v>54</v>
      </c>
      <c r="G97">
        <v>53</v>
      </c>
      <c r="H97">
        <v>35</v>
      </c>
      <c r="I97">
        <v>1855</v>
      </c>
      <c r="J97" t="s">
        <v>26</v>
      </c>
      <c r="M97" s="5"/>
      <c r="S97" t="s">
        <v>342</v>
      </c>
      <c r="T97" s="5">
        <v>42067</v>
      </c>
      <c r="U97" t="s">
        <v>28</v>
      </c>
      <c r="V97" t="s">
        <v>12</v>
      </c>
      <c r="W97" t="s">
        <v>13</v>
      </c>
      <c r="X97" t="s">
        <v>14</v>
      </c>
      <c r="Y97">
        <v>21</v>
      </c>
      <c r="Z97">
        <v>10</v>
      </c>
      <c r="AA97">
        <v>210</v>
      </c>
      <c r="AB97" t="s">
        <v>15</v>
      </c>
    </row>
    <row r="98" spans="1:28" x14ac:dyDescent="0.3">
      <c r="A98" t="s">
        <v>233</v>
      </c>
      <c r="B98" s="5">
        <v>42191</v>
      </c>
      <c r="C98" t="s">
        <v>11</v>
      </c>
      <c r="D98" t="s">
        <v>12</v>
      </c>
      <c r="E98" t="s">
        <v>34</v>
      </c>
      <c r="F98" t="s">
        <v>64</v>
      </c>
      <c r="G98">
        <v>9.65</v>
      </c>
      <c r="H98">
        <v>10</v>
      </c>
      <c r="I98">
        <v>96.5</v>
      </c>
      <c r="J98" t="s">
        <v>26</v>
      </c>
      <c r="M98" s="5"/>
      <c r="S98" t="s">
        <v>365</v>
      </c>
      <c r="T98" s="5">
        <v>42116</v>
      </c>
      <c r="U98" t="s">
        <v>11</v>
      </c>
      <c r="V98" t="s">
        <v>45</v>
      </c>
      <c r="W98" t="s">
        <v>13</v>
      </c>
      <c r="X98" t="s">
        <v>66</v>
      </c>
      <c r="Y98">
        <v>55</v>
      </c>
      <c r="Z98">
        <v>4</v>
      </c>
      <c r="AA98">
        <v>220</v>
      </c>
      <c r="AB98" t="s">
        <v>26</v>
      </c>
    </row>
    <row r="99" spans="1:28" x14ac:dyDescent="0.3">
      <c r="A99" t="s">
        <v>234</v>
      </c>
      <c r="B99" s="5">
        <v>42193</v>
      </c>
      <c r="C99" t="s">
        <v>31</v>
      </c>
      <c r="D99" t="s">
        <v>24</v>
      </c>
      <c r="E99" t="s">
        <v>34</v>
      </c>
      <c r="F99" t="s">
        <v>75</v>
      </c>
      <c r="G99">
        <v>20</v>
      </c>
      <c r="H99">
        <v>40</v>
      </c>
      <c r="I99">
        <v>800</v>
      </c>
      <c r="J99" t="s">
        <v>26</v>
      </c>
      <c r="M99" s="5"/>
      <c r="S99" t="s">
        <v>373</v>
      </c>
      <c r="T99" s="5">
        <v>42130</v>
      </c>
      <c r="U99" t="s">
        <v>31</v>
      </c>
      <c r="V99" t="s">
        <v>24</v>
      </c>
      <c r="W99" t="s">
        <v>13</v>
      </c>
      <c r="X99" t="s">
        <v>66</v>
      </c>
      <c r="Y99">
        <v>55</v>
      </c>
      <c r="Z99">
        <v>50</v>
      </c>
      <c r="AA99">
        <v>2750</v>
      </c>
      <c r="AB99" t="s">
        <v>15</v>
      </c>
    </row>
    <row r="100" spans="1:28" x14ac:dyDescent="0.3">
      <c r="A100" t="s">
        <v>235</v>
      </c>
      <c r="B100" s="5">
        <v>42193</v>
      </c>
      <c r="C100" t="s">
        <v>28</v>
      </c>
      <c r="D100" t="s">
        <v>12</v>
      </c>
      <c r="E100" t="s">
        <v>17</v>
      </c>
      <c r="F100" t="s">
        <v>37</v>
      </c>
      <c r="G100">
        <v>18</v>
      </c>
      <c r="H100">
        <v>42</v>
      </c>
      <c r="I100">
        <v>756</v>
      </c>
      <c r="J100" t="s">
        <v>26</v>
      </c>
      <c r="M100" s="5"/>
      <c r="S100" t="s">
        <v>385</v>
      </c>
      <c r="T100" s="5">
        <v>42145</v>
      </c>
      <c r="U100" t="s">
        <v>28</v>
      </c>
      <c r="V100" t="s">
        <v>45</v>
      </c>
      <c r="W100" t="s">
        <v>13</v>
      </c>
      <c r="X100" t="s">
        <v>121</v>
      </c>
      <c r="Y100">
        <v>32</v>
      </c>
      <c r="Z100">
        <v>24</v>
      </c>
      <c r="AA100">
        <v>768</v>
      </c>
      <c r="AB100" t="s">
        <v>26</v>
      </c>
    </row>
    <row r="101" spans="1:28" x14ac:dyDescent="0.3">
      <c r="A101" t="s">
        <v>236</v>
      </c>
      <c r="B101" s="5">
        <v>42193</v>
      </c>
      <c r="C101" t="s">
        <v>31</v>
      </c>
      <c r="D101" t="s">
        <v>12</v>
      </c>
      <c r="E101" t="s">
        <v>13</v>
      </c>
      <c r="F101" t="s">
        <v>99</v>
      </c>
      <c r="G101">
        <v>12.5</v>
      </c>
      <c r="H101">
        <v>20</v>
      </c>
      <c r="I101">
        <v>250</v>
      </c>
      <c r="J101" t="s">
        <v>26</v>
      </c>
      <c r="M101" s="5"/>
      <c r="S101" t="s">
        <v>393</v>
      </c>
      <c r="T101" s="5">
        <v>42157</v>
      </c>
      <c r="U101" t="s">
        <v>11</v>
      </c>
      <c r="V101" t="s">
        <v>45</v>
      </c>
      <c r="W101" t="s">
        <v>13</v>
      </c>
      <c r="X101" t="s">
        <v>14</v>
      </c>
      <c r="Y101">
        <v>7</v>
      </c>
      <c r="Z101">
        <v>30</v>
      </c>
      <c r="AA101">
        <v>210</v>
      </c>
      <c r="AB101" t="s">
        <v>26</v>
      </c>
    </row>
    <row r="102" spans="1:28" x14ac:dyDescent="0.3">
      <c r="A102" t="s">
        <v>237</v>
      </c>
      <c r="B102" s="5">
        <v>42198</v>
      </c>
      <c r="C102" t="s">
        <v>11</v>
      </c>
      <c r="D102" t="s">
        <v>12</v>
      </c>
      <c r="E102" t="s">
        <v>51</v>
      </c>
      <c r="F102" t="s">
        <v>138</v>
      </c>
      <c r="G102">
        <v>32.799999999999997</v>
      </c>
      <c r="H102">
        <v>15</v>
      </c>
      <c r="I102">
        <v>491.99999999999994</v>
      </c>
      <c r="J102" t="s">
        <v>26</v>
      </c>
      <c r="M102" s="5"/>
      <c r="S102" t="s">
        <v>358</v>
      </c>
      <c r="T102" s="5">
        <v>42250</v>
      </c>
      <c r="U102" t="s">
        <v>31</v>
      </c>
      <c r="V102" t="s">
        <v>12</v>
      </c>
      <c r="W102" t="s">
        <v>13</v>
      </c>
      <c r="X102" t="s">
        <v>99</v>
      </c>
      <c r="Y102">
        <v>12.5</v>
      </c>
      <c r="Z102">
        <v>20</v>
      </c>
      <c r="AA102">
        <v>250</v>
      </c>
      <c r="AB102" t="s">
        <v>26</v>
      </c>
    </row>
    <row r="103" spans="1:28" x14ac:dyDescent="0.3">
      <c r="A103" t="s">
        <v>238</v>
      </c>
      <c r="B103" s="5">
        <v>42198</v>
      </c>
      <c r="C103" t="s">
        <v>20</v>
      </c>
      <c r="D103" t="s">
        <v>12</v>
      </c>
      <c r="E103" t="s">
        <v>21</v>
      </c>
      <c r="F103" t="s">
        <v>97</v>
      </c>
      <c r="G103">
        <v>13</v>
      </c>
      <c r="H103">
        <v>12</v>
      </c>
      <c r="I103">
        <v>156</v>
      </c>
      <c r="J103" t="s">
        <v>26</v>
      </c>
      <c r="M103" s="5"/>
      <c r="S103" t="s">
        <v>446</v>
      </c>
      <c r="T103" s="5">
        <v>42292</v>
      </c>
      <c r="U103" t="s">
        <v>20</v>
      </c>
      <c r="V103" t="s">
        <v>12</v>
      </c>
      <c r="W103" t="s">
        <v>13</v>
      </c>
      <c r="X103" t="s">
        <v>41</v>
      </c>
      <c r="Y103">
        <v>34</v>
      </c>
      <c r="Z103">
        <v>10</v>
      </c>
      <c r="AA103">
        <v>340</v>
      </c>
      <c r="AB103" t="s">
        <v>26</v>
      </c>
    </row>
    <row r="104" spans="1:28" x14ac:dyDescent="0.3">
      <c r="A104" t="s">
        <v>239</v>
      </c>
      <c r="B104" s="5">
        <v>42202</v>
      </c>
      <c r="C104" t="s">
        <v>28</v>
      </c>
      <c r="D104" t="s">
        <v>12</v>
      </c>
      <c r="E104" t="s">
        <v>17</v>
      </c>
      <c r="F104" t="s">
        <v>72</v>
      </c>
      <c r="G104">
        <v>18</v>
      </c>
      <c r="H104">
        <v>20</v>
      </c>
      <c r="I104">
        <v>360</v>
      </c>
      <c r="J104" t="s">
        <v>26</v>
      </c>
      <c r="M104" s="5"/>
      <c r="S104" t="s">
        <v>626</v>
      </c>
      <c r="T104" s="5">
        <v>42321</v>
      </c>
      <c r="U104" t="s">
        <v>28</v>
      </c>
      <c r="V104" t="s">
        <v>45</v>
      </c>
      <c r="W104" t="s">
        <v>13</v>
      </c>
      <c r="X104" t="s">
        <v>66</v>
      </c>
      <c r="Y104">
        <v>55</v>
      </c>
      <c r="Z104">
        <v>36</v>
      </c>
      <c r="AA104">
        <v>1980</v>
      </c>
      <c r="AB104" t="s">
        <v>26</v>
      </c>
    </row>
    <row r="105" spans="1:28" x14ac:dyDescent="0.3">
      <c r="A105" t="s">
        <v>240</v>
      </c>
      <c r="B105" s="5">
        <v>42202</v>
      </c>
      <c r="C105" t="s">
        <v>28</v>
      </c>
      <c r="D105" t="s">
        <v>12</v>
      </c>
      <c r="E105" t="s">
        <v>34</v>
      </c>
      <c r="F105" t="s">
        <v>241</v>
      </c>
      <c r="G105">
        <v>10</v>
      </c>
      <c r="H105">
        <v>20</v>
      </c>
      <c r="I105">
        <v>200</v>
      </c>
      <c r="J105" t="s">
        <v>26</v>
      </c>
      <c r="M105" s="5"/>
      <c r="S105" t="s">
        <v>628</v>
      </c>
      <c r="T105" s="5">
        <v>42325</v>
      </c>
      <c r="U105" t="s">
        <v>11</v>
      </c>
      <c r="V105" t="s">
        <v>45</v>
      </c>
      <c r="W105" t="s">
        <v>13</v>
      </c>
      <c r="X105" t="s">
        <v>186</v>
      </c>
      <c r="Y105">
        <v>36</v>
      </c>
      <c r="Z105">
        <v>15</v>
      </c>
      <c r="AA105">
        <v>540</v>
      </c>
      <c r="AB105" t="s">
        <v>26</v>
      </c>
    </row>
    <row r="106" spans="1:28" x14ac:dyDescent="0.3">
      <c r="A106" t="s">
        <v>242</v>
      </c>
      <c r="B106" s="5">
        <v>42228</v>
      </c>
      <c r="C106" t="s">
        <v>31</v>
      </c>
      <c r="D106" t="s">
        <v>85</v>
      </c>
      <c r="E106" t="s">
        <v>17</v>
      </c>
      <c r="F106" t="s">
        <v>128</v>
      </c>
      <c r="G106">
        <v>4.5</v>
      </c>
      <c r="H106">
        <v>6</v>
      </c>
      <c r="I106">
        <v>27</v>
      </c>
      <c r="J106" t="s">
        <v>15</v>
      </c>
      <c r="M106" s="5"/>
      <c r="S106" t="s">
        <v>629</v>
      </c>
      <c r="T106" s="5">
        <v>42339</v>
      </c>
      <c r="U106" t="s">
        <v>28</v>
      </c>
      <c r="V106" t="s">
        <v>45</v>
      </c>
      <c r="W106" t="s">
        <v>13</v>
      </c>
      <c r="X106" t="s">
        <v>14</v>
      </c>
      <c r="Y106">
        <v>21</v>
      </c>
      <c r="Z106">
        <v>16</v>
      </c>
      <c r="AA106">
        <v>336</v>
      </c>
      <c r="AB106" t="s">
        <v>26</v>
      </c>
    </row>
    <row r="107" spans="1:28" x14ac:dyDescent="0.3">
      <c r="A107" t="s">
        <v>243</v>
      </c>
      <c r="B107" s="5">
        <v>42228</v>
      </c>
      <c r="C107" t="s">
        <v>31</v>
      </c>
      <c r="D107" t="s">
        <v>85</v>
      </c>
      <c r="E107" t="s">
        <v>17</v>
      </c>
      <c r="F107" t="s">
        <v>72</v>
      </c>
      <c r="G107">
        <v>18</v>
      </c>
      <c r="H107">
        <v>4</v>
      </c>
      <c r="I107">
        <v>72</v>
      </c>
      <c r="J107" t="s">
        <v>15</v>
      </c>
      <c r="M107" s="5"/>
      <c r="S107" t="s">
        <v>630</v>
      </c>
      <c r="T107" s="5">
        <v>42339</v>
      </c>
      <c r="U107" t="s">
        <v>11</v>
      </c>
      <c r="V107" t="s">
        <v>45</v>
      </c>
      <c r="W107" t="s">
        <v>13</v>
      </c>
      <c r="X107" t="s">
        <v>99</v>
      </c>
      <c r="Y107">
        <v>12.5</v>
      </c>
      <c r="Z107">
        <v>150</v>
      </c>
      <c r="AA107">
        <v>1875</v>
      </c>
      <c r="AB107" t="s">
        <v>26</v>
      </c>
    </row>
    <row r="108" spans="1:28" x14ac:dyDescent="0.3">
      <c r="A108" t="s">
        <v>261</v>
      </c>
      <c r="B108" s="5">
        <v>42251</v>
      </c>
      <c r="C108" t="s">
        <v>28</v>
      </c>
      <c r="D108" t="s">
        <v>12</v>
      </c>
      <c r="E108" t="s">
        <v>17</v>
      </c>
      <c r="F108" t="s">
        <v>54</v>
      </c>
      <c r="G108">
        <v>15</v>
      </c>
      <c r="H108">
        <v>20</v>
      </c>
      <c r="I108">
        <v>300</v>
      </c>
      <c r="J108" t="s">
        <v>26</v>
      </c>
      <c r="M108" s="5"/>
      <c r="S108" t="s">
        <v>631</v>
      </c>
      <c r="T108" s="5">
        <v>42339</v>
      </c>
      <c r="U108" t="s">
        <v>28</v>
      </c>
      <c r="V108" t="s">
        <v>45</v>
      </c>
      <c r="W108" t="s">
        <v>13</v>
      </c>
      <c r="X108" t="s">
        <v>124</v>
      </c>
      <c r="Y108">
        <v>21.5</v>
      </c>
      <c r="Z108">
        <v>108</v>
      </c>
      <c r="AA108">
        <v>2322</v>
      </c>
      <c r="AB108" t="s">
        <v>26</v>
      </c>
    </row>
    <row r="109" spans="1:28" x14ac:dyDescent="0.3">
      <c r="A109" t="s">
        <v>262</v>
      </c>
      <c r="B109" s="5">
        <v>42251</v>
      </c>
      <c r="C109" t="s">
        <v>20</v>
      </c>
      <c r="D109" t="s">
        <v>12</v>
      </c>
      <c r="E109" t="s">
        <v>34</v>
      </c>
      <c r="F109" t="s">
        <v>188</v>
      </c>
      <c r="G109">
        <v>9.1999999999999993</v>
      </c>
      <c r="H109">
        <v>15</v>
      </c>
      <c r="I109">
        <v>138</v>
      </c>
      <c r="J109" t="s">
        <v>26</v>
      </c>
      <c r="M109" s="5"/>
      <c r="S109" t="s">
        <v>632</v>
      </c>
      <c r="T109" s="5">
        <v>42340</v>
      </c>
      <c r="U109" t="s">
        <v>20</v>
      </c>
      <c r="V109" t="s">
        <v>12</v>
      </c>
      <c r="W109" t="s">
        <v>13</v>
      </c>
      <c r="X109" t="s">
        <v>14</v>
      </c>
      <c r="Y109">
        <v>21</v>
      </c>
      <c r="Z109">
        <v>45</v>
      </c>
      <c r="AA109">
        <v>945</v>
      </c>
      <c r="AB109" t="s">
        <v>26</v>
      </c>
    </row>
    <row r="110" spans="1:28" x14ac:dyDescent="0.3">
      <c r="A110" t="s">
        <v>263</v>
      </c>
      <c r="B110" s="5">
        <v>42256</v>
      </c>
      <c r="C110" t="s">
        <v>11</v>
      </c>
      <c r="D110" t="s">
        <v>85</v>
      </c>
      <c r="E110" t="s">
        <v>21</v>
      </c>
      <c r="F110" t="s">
        <v>87</v>
      </c>
      <c r="G110">
        <v>21.05</v>
      </c>
      <c r="H110">
        <v>30</v>
      </c>
      <c r="I110">
        <v>631.5</v>
      </c>
      <c r="J110" t="s">
        <v>26</v>
      </c>
      <c r="M110" s="5"/>
      <c r="S110" t="s">
        <v>636</v>
      </c>
      <c r="T110" s="5">
        <v>42349</v>
      </c>
      <c r="U110" t="s">
        <v>11</v>
      </c>
      <c r="V110" t="s">
        <v>12</v>
      </c>
      <c r="W110" t="s">
        <v>13</v>
      </c>
      <c r="X110" t="s">
        <v>99</v>
      </c>
      <c r="Y110">
        <v>12.5</v>
      </c>
      <c r="Z110">
        <v>80</v>
      </c>
      <c r="AA110">
        <v>1000</v>
      </c>
      <c r="AB110" t="s">
        <v>26</v>
      </c>
    </row>
    <row r="111" spans="1:28" x14ac:dyDescent="0.3">
      <c r="A111" t="s">
        <v>264</v>
      </c>
      <c r="B111" s="5">
        <v>42256</v>
      </c>
      <c r="C111" t="s">
        <v>11</v>
      </c>
      <c r="D111" t="s">
        <v>85</v>
      </c>
      <c r="E111" t="s">
        <v>34</v>
      </c>
      <c r="F111" t="s">
        <v>64</v>
      </c>
      <c r="G111">
        <v>18.399999999999999</v>
      </c>
      <c r="H111">
        <v>40</v>
      </c>
      <c r="I111">
        <v>736</v>
      </c>
      <c r="J111" t="s">
        <v>26</v>
      </c>
      <c r="M111" s="5"/>
      <c r="S111" t="s">
        <v>482</v>
      </c>
      <c r="T111" s="5">
        <v>42357</v>
      </c>
      <c r="U111" t="s">
        <v>31</v>
      </c>
      <c r="V111" t="s">
        <v>45</v>
      </c>
      <c r="W111" t="s">
        <v>13</v>
      </c>
      <c r="X111" t="s">
        <v>56</v>
      </c>
      <c r="Y111">
        <v>34.799999999999997</v>
      </c>
      <c r="Z111">
        <v>10</v>
      </c>
      <c r="AA111">
        <v>348</v>
      </c>
      <c r="AB111" t="s">
        <v>15</v>
      </c>
    </row>
    <row r="112" spans="1:28" x14ac:dyDescent="0.3">
      <c r="A112" t="s">
        <v>265</v>
      </c>
      <c r="B112" s="5">
        <v>42256</v>
      </c>
      <c r="C112" t="s">
        <v>31</v>
      </c>
      <c r="D112" t="s">
        <v>85</v>
      </c>
      <c r="E112" t="s">
        <v>34</v>
      </c>
      <c r="F112" t="s">
        <v>43</v>
      </c>
      <c r="G112">
        <v>12.5</v>
      </c>
      <c r="H112">
        <v>15</v>
      </c>
      <c r="I112">
        <v>187.5</v>
      </c>
      <c r="J112" t="s">
        <v>26</v>
      </c>
      <c r="M112" s="5"/>
      <c r="S112" t="s">
        <v>645</v>
      </c>
      <c r="T112" s="5">
        <v>42357</v>
      </c>
      <c r="U112" t="s">
        <v>20</v>
      </c>
      <c r="V112" t="s">
        <v>45</v>
      </c>
      <c r="W112" t="s">
        <v>13</v>
      </c>
      <c r="X112" t="s">
        <v>14</v>
      </c>
      <c r="Y112">
        <v>21</v>
      </c>
      <c r="Z112">
        <v>350</v>
      </c>
      <c r="AA112">
        <v>7350</v>
      </c>
      <c r="AB112" t="s">
        <v>26</v>
      </c>
    </row>
    <row r="113" spans="1:31" x14ac:dyDescent="0.3">
      <c r="A113" t="s">
        <v>266</v>
      </c>
      <c r="B113" s="5">
        <v>42261</v>
      </c>
      <c r="C113" t="s">
        <v>20</v>
      </c>
      <c r="D113" t="s">
        <v>85</v>
      </c>
      <c r="E113" t="s">
        <v>51</v>
      </c>
      <c r="F113" t="s">
        <v>138</v>
      </c>
      <c r="G113">
        <v>32.799999999999997</v>
      </c>
      <c r="H113">
        <v>10</v>
      </c>
      <c r="I113">
        <v>328</v>
      </c>
      <c r="J113" t="s">
        <v>26</v>
      </c>
      <c r="M113" s="5"/>
      <c r="S113" t="s">
        <v>648</v>
      </c>
      <c r="T113" s="5">
        <v>42361</v>
      </c>
      <c r="U113" t="s">
        <v>20</v>
      </c>
      <c r="V113" t="s">
        <v>12</v>
      </c>
      <c r="W113" t="s">
        <v>13</v>
      </c>
      <c r="X113" t="s">
        <v>66</v>
      </c>
      <c r="Y113">
        <v>55</v>
      </c>
      <c r="Z113">
        <v>135</v>
      </c>
      <c r="AA113">
        <v>7425</v>
      </c>
      <c r="AB113" t="s">
        <v>15</v>
      </c>
    </row>
    <row r="114" spans="1:31" x14ac:dyDescent="0.3">
      <c r="A114" t="s">
        <v>267</v>
      </c>
      <c r="B114" s="5">
        <v>42261</v>
      </c>
      <c r="C114" t="s">
        <v>31</v>
      </c>
      <c r="D114" t="s">
        <v>85</v>
      </c>
      <c r="E114" t="s">
        <v>51</v>
      </c>
      <c r="F114" t="s">
        <v>268</v>
      </c>
      <c r="G114">
        <v>7.45</v>
      </c>
      <c r="H114">
        <v>5</v>
      </c>
      <c r="I114">
        <v>37.25</v>
      </c>
      <c r="J114" t="s">
        <v>26</v>
      </c>
      <c r="M114" s="5"/>
    </row>
    <row r="115" spans="1:31" x14ac:dyDescent="0.3">
      <c r="A115" t="s">
        <v>269</v>
      </c>
      <c r="B115" s="5">
        <v>42261</v>
      </c>
      <c r="C115" t="s">
        <v>20</v>
      </c>
      <c r="D115" t="s">
        <v>85</v>
      </c>
      <c r="E115" t="s">
        <v>21</v>
      </c>
      <c r="F115" t="s">
        <v>22</v>
      </c>
      <c r="G115">
        <v>25.89</v>
      </c>
      <c r="H115">
        <v>10</v>
      </c>
      <c r="I115">
        <v>258.89999999999998</v>
      </c>
      <c r="J115" t="s">
        <v>26</v>
      </c>
      <c r="M115" s="5"/>
    </row>
    <row r="116" spans="1:31" x14ac:dyDescent="0.3">
      <c r="A116" t="s">
        <v>270</v>
      </c>
      <c r="B116" s="5">
        <v>42271</v>
      </c>
      <c r="C116" t="s">
        <v>11</v>
      </c>
      <c r="D116" t="s">
        <v>45</v>
      </c>
      <c r="E116" t="s">
        <v>17</v>
      </c>
      <c r="F116" t="s">
        <v>54</v>
      </c>
      <c r="G116">
        <v>15</v>
      </c>
      <c r="H116">
        <v>30</v>
      </c>
      <c r="I116">
        <v>450</v>
      </c>
      <c r="J116" t="s">
        <v>26</v>
      </c>
      <c r="M116" s="5"/>
    </row>
    <row r="117" spans="1:31" x14ac:dyDescent="0.3">
      <c r="A117" t="s">
        <v>271</v>
      </c>
      <c r="B117" s="5">
        <v>42271</v>
      </c>
      <c r="C117" t="s">
        <v>20</v>
      </c>
      <c r="D117" t="s">
        <v>45</v>
      </c>
      <c r="E117" t="s">
        <v>17</v>
      </c>
      <c r="F117" t="s">
        <v>144</v>
      </c>
      <c r="G117">
        <v>14</v>
      </c>
      <c r="H117">
        <v>14</v>
      </c>
      <c r="I117">
        <v>196</v>
      </c>
      <c r="J117" t="s">
        <v>26</v>
      </c>
      <c r="M117" s="5"/>
      <c r="V117" s="77" t="s">
        <v>4</v>
      </c>
      <c r="W117" s="77" t="s">
        <v>8</v>
      </c>
      <c r="X117" s="78" t="s">
        <v>9</v>
      </c>
    </row>
    <row r="118" spans="1:31" x14ac:dyDescent="0.3">
      <c r="A118" t="s">
        <v>272</v>
      </c>
      <c r="B118" s="5">
        <v>42276</v>
      </c>
      <c r="C118" t="s">
        <v>31</v>
      </c>
      <c r="D118" t="s">
        <v>45</v>
      </c>
      <c r="E118" t="s">
        <v>17</v>
      </c>
      <c r="F118" t="s">
        <v>134</v>
      </c>
      <c r="G118">
        <v>18</v>
      </c>
      <c r="H118">
        <v>6</v>
      </c>
      <c r="I118">
        <v>108</v>
      </c>
      <c r="J118" t="s">
        <v>26</v>
      </c>
      <c r="M118" s="5"/>
      <c r="V118" s="74" t="s">
        <v>13</v>
      </c>
      <c r="W118" s="74" t="s">
        <v>739</v>
      </c>
      <c r="X118" s="75" t="s">
        <v>15</v>
      </c>
    </row>
    <row r="119" spans="1:31" x14ac:dyDescent="0.3">
      <c r="A119" t="s">
        <v>273</v>
      </c>
      <c r="B119" s="5">
        <v>42276</v>
      </c>
      <c r="C119" t="s">
        <v>11</v>
      </c>
      <c r="D119" t="s">
        <v>45</v>
      </c>
      <c r="E119" t="s">
        <v>34</v>
      </c>
      <c r="F119" t="s">
        <v>64</v>
      </c>
      <c r="G119">
        <v>9.65</v>
      </c>
      <c r="H119">
        <v>20</v>
      </c>
      <c r="I119">
        <v>193</v>
      </c>
      <c r="J119" t="s">
        <v>26</v>
      </c>
      <c r="M119" s="5"/>
    </row>
    <row r="120" spans="1:31" x14ac:dyDescent="0.3">
      <c r="A120" t="s">
        <v>274</v>
      </c>
      <c r="B120" s="5">
        <v>42278</v>
      </c>
      <c r="C120" t="s">
        <v>31</v>
      </c>
      <c r="D120" t="s">
        <v>45</v>
      </c>
      <c r="E120" t="s">
        <v>17</v>
      </c>
      <c r="F120" t="s">
        <v>72</v>
      </c>
      <c r="G120">
        <v>18</v>
      </c>
      <c r="H120">
        <v>10</v>
      </c>
      <c r="I120">
        <v>180</v>
      </c>
      <c r="J120" t="s">
        <v>26</v>
      </c>
      <c r="M120" s="5"/>
      <c r="V120" s="86" t="s">
        <v>0</v>
      </c>
      <c r="W120" s="87" t="s">
        <v>1</v>
      </c>
      <c r="X120" s="86" t="s">
        <v>2</v>
      </c>
      <c r="Y120" s="86" t="s">
        <v>3</v>
      </c>
      <c r="Z120" s="86" t="s">
        <v>4</v>
      </c>
      <c r="AA120" s="86" t="s">
        <v>5</v>
      </c>
      <c r="AB120" s="86" t="s">
        <v>6</v>
      </c>
      <c r="AC120" s="86" t="s">
        <v>7</v>
      </c>
      <c r="AD120" s="86" t="s">
        <v>8</v>
      </c>
      <c r="AE120" s="86" t="s">
        <v>9</v>
      </c>
    </row>
    <row r="121" spans="1:31" x14ac:dyDescent="0.3">
      <c r="A121" t="s">
        <v>275</v>
      </c>
      <c r="B121" s="5">
        <v>42285</v>
      </c>
      <c r="C121" t="s">
        <v>11</v>
      </c>
      <c r="D121" t="s">
        <v>85</v>
      </c>
      <c r="E121" t="s">
        <v>17</v>
      </c>
      <c r="F121" t="s">
        <v>25</v>
      </c>
      <c r="G121">
        <v>7.75</v>
      </c>
      <c r="H121">
        <v>50</v>
      </c>
      <c r="I121">
        <v>387.5</v>
      </c>
      <c r="J121" t="s">
        <v>26</v>
      </c>
      <c r="M121" s="5"/>
      <c r="V121" t="s">
        <v>48</v>
      </c>
      <c r="W121" s="5">
        <v>42023</v>
      </c>
      <c r="X121" t="s">
        <v>11</v>
      </c>
      <c r="Y121" t="s">
        <v>45</v>
      </c>
      <c r="Z121" t="s">
        <v>13</v>
      </c>
      <c r="AA121" t="s">
        <v>41</v>
      </c>
      <c r="AB121">
        <v>34</v>
      </c>
      <c r="AC121">
        <v>21</v>
      </c>
      <c r="AD121">
        <v>714</v>
      </c>
      <c r="AE121" t="s">
        <v>15</v>
      </c>
    </row>
    <row r="122" spans="1:31" x14ac:dyDescent="0.3">
      <c r="A122" t="s">
        <v>276</v>
      </c>
      <c r="B122" s="5">
        <v>42285</v>
      </c>
      <c r="C122" t="s">
        <v>11</v>
      </c>
      <c r="D122" t="s">
        <v>85</v>
      </c>
      <c r="E122" t="s">
        <v>21</v>
      </c>
      <c r="F122" t="s">
        <v>111</v>
      </c>
      <c r="G122">
        <v>22</v>
      </c>
      <c r="H122">
        <v>24</v>
      </c>
      <c r="I122">
        <v>528</v>
      </c>
      <c r="J122" t="s">
        <v>26</v>
      </c>
      <c r="M122" s="5"/>
      <c r="V122" t="s">
        <v>82</v>
      </c>
      <c r="W122" s="5">
        <v>42045</v>
      </c>
      <c r="X122" t="s">
        <v>28</v>
      </c>
      <c r="Y122" t="s">
        <v>45</v>
      </c>
      <c r="Z122" t="s">
        <v>13</v>
      </c>
      <c r="AA122" t="s">
        <v>14</v>
      </c>
      <c r="AB122">
        <v>21</v>
      </c>
      <c r="AC122">
        <v>10</v>
      </c>
      <c r="AD122">
        <v>210</v>
      </c>
      <c r="AE122" t="s">
        <v>15</v>
      </c>
    </row>
    <row r="123" spans="1:31" x14ac:dyDescent="0.3">
      <c r="A123" t="s">
        <v>277</v>
      </c>
      <c r="B123" s="5">
        <v>42285</v>
      </c>
      <c r="C123" t="s">
        <v>11</v>
      </c>
      <c r="D123" t="s">
        <v>85</v>
      </c>
      <c r="E123" t="s">
        <v>51</v>
      </c>
      <c r="F123" t="s">
        <v>81</v>
      </c>
      <c r="G123">
        <v>19.5</v>
      </c>
      <c r="H123">
        <v>16</v>
      </c>
      <c r="I123">
        <v>312</v>
      </c>
      <c r="J123" t="s">
        <v>26</v>
      </c>
      <c r="M123" s="5"/>
      <c r="V123" t="s">
        <v>169</v>
      </c>
      <c r="W123" s="5">
        <v>42100</v>
      </c>
      <c r="X123" t="s">
        <v>11</v>
      </c>
      <c r="Y123" t="s">
        <v>12</v>
      </c>
      <c r="Z123" t="s">
        <v>13</v>
      </c>
      <c r="AA123" t="s">
        <v>14</v>
      </c>
      <c r="AB123">
        <v>21</v>
      </c>
      <c r="AC123">
        <v>15</v>
      </c>
      <c r="AD123">
        <v>315</v>
      </c>
      <c r="AE123" t="s">
        <v>15</v>
      </c>
    </row>
    <row r="124" spans="1:31" x14ac:dyDescent="0.3">
      <c r="A124" t="s">
        <v>278</v>
      </c>
      <c r="B124" s="5">
        <v>42312</v>
      </c>
      <c r="C124" t="s">
        <v>11</v>
      </c>
      <c r="D124" t="s">
        <v>12</v>
      </c>
      <c r="E124" t="s">
        <v>17</v>
      </c>
      <c r="F124" t="s">
        <v>37</v>
      </c>
      <c r="G124">
        <v>18</v>
      </c>
      <c r="H124">
        <v>50</v>
      </c>
      <c r="I124">
        <v>900</v>
      </c>
      <c r="J124" t="s">
        <v>26</v>
      </c>
      <c r="M124" s="5"/>
      <c r="V124" t="s">
        <v>171</v>
      </c>
      <c r="W124" s="5">
        <v>42100</v>
      </c>
      <c r="X124" t="s">
        <v>11</v>
      </c>
      <c r="Y124" t="s">
        <v>45</v>
      </c>
      <c r="Z124" t="s">
        <v>13</v>
      </c>
      <c r="AA124" t="s">
        <v>14</v>
      </c>
      <c r="AB124">
        <v>30</v>
      </c>
      <c r="AC124">
        <v>60</v>
      </c>
      <c r="AD124">
        <v>1800</v>
      </c>
      <c r="AE124" t="s">
        <v>15</v>
      </c>
    </row>
    <row r="125" spans="1:31" x14ac:dyDescent="0.3">
      <c r="A125" t="s">
        <v>279</v>
      </c>
      <c r="B125" s="5">
        <v>42312</v>
      </c>
      <c r="C125" t="s">
        <v>11</v>
      </c>
      <c r="D125" t="s">
        <v>12</v>
      </c>
      <c r="E125" t="s">
        <v>17</v>
      </c>
      <c r="F125" t="s">
        <v>25</v>
      </c>
      <c r="G125">
        <v>7.75</v>
      </c>
      <c r="H125">
        <v>6</v>
      </c>
      <c r="I125">
        <v>46.5</v>
      </c>
      <c r="J125" t="s">
        <v>26</v>
      </c>
      <c r="M125" s="5"/>
      <c r="V125" t="s">
        <v>173</v>
      </c>
      <c r="W125" s="5">
        <v>42100</v>
      </c>
      <c r="X125" t="s">
        <v>20</v>
      </c>
      <c r="Y125" t="s">
        <v>45</v>
      </c>
      <c r="Z125" t="s">
        <v>13</v>
      </c>
      <c r="AA125" t="s">
        <v>56</v>
      </c>
      <c r="AB125">
        <v>34.799999999999997</v>
      </c>
      <c r="AC125">
        <v>20</v>
      </c>
      <c r="AD125">
        <v>696</v>
      </c>
      <c r="AE125" t="s">
        <v>15</v>
      </c>
    </row>
    <row r="126" spans="1:31" x14ac:dyDescent="0.3">
      <c r="A126" t="s">
        <v>280</v>
      </c>
      <c r="B126" s="5">
        <v>42312</v>
      </c>
      <c r="C126" t="s">
        <v>20</v>
      </c>
      <c r="D126" t="s">
        <v>12</v>
      </c>
      <c r="E126" t="s">
        <v>21</v>
      </c>
      <c r="F126" t="s">
        <v>22</v>
      </c>
      <c r="G126">
        <v>18.399999999999999</v>
      </c>
      <c r="H126">
        <v>4</v>
      </c>
      <c r="I126">
        <v>73.599999999999994</v>
      </c>
      <c r="J126" t="s">
        <v>26</v>
      </c>
      <c r="M126" s="5"/>
      <c r="V126" t="s">
        <v>175</v>
      </c>
      <c r="W126" s="5">
        <v>42108</v>
      </c>
      <c r="X126" t="s">
        <v>20</v>
      </c>
      <c r="Y126" t="s">
        <v>85</v>
      </c>
      <c r="Z126" t="s">
        <v>13</v>
      </c>
      <c r="AA126" t="s">
        <v>41</v>
      </c>
      <c r="AB126">
        <v>34</v>
      </c>
      <c r="AC126">
        <v>9</v>
      </c>
      <c r="AD126">
        <v>306</v>
      </c>
      <c r="AE126" t="s">
        <v>15</v>
      </c>
    </row>
    <row r="127" spans="1:31" x14ac:dyDescent="0.3">
      <c r="A127" t="s">
        <v>281</v>
      </c>
      <c r="B127" s="5">
        <v>42312</v>
      </c>
      <c r="C127" t="s">
        <v>28</v>
      </c>
      <c r="D127" t="s">
        <v>12</v>
      </c>
      <c r="E127" t="s">
        <v>34</v>
      </c>
      <c r="F127" t="s">
        <v>68</v>
      </c>
      <c r="G127">
        <v>14</v>
      </c>
      <c r="H127">
        <v>10</v>
      </c>
      <c r="I127">
        <v>140</v>
      </c>
      <c r="J127" t="s">
        <v>26</v>
      </c>
      <c r="V127" t="s">
        <v>176</v>
      </c>
      <c r="W127" s="5">
        <v>42108</v>
      </c>
      <c r="X127" t="s">
        <v>31</v>
      </c>
      <c r="Y127" t="s">
        <v>85</v>
      </c>
      <c r="Z127" t="s">
        <v>13</v>
      </c>
      <c r="AA127" t="s">
        <v>14</v>
      </c>
      <c r="AB127">
        <v>19</v>
      </c>
      <c r="AC127">
        <v>18</v>
      </c>
      <c r="AD127">
        <v>342</v>
      </c>
      <c r="AE127" t="s">
        <v>15</v>
      </c>
    </row>
    <row r="128" spans="1:31" x14ac:dyDescent="0.3">
      <c r="A128" t="s">
        <v>282</v>
      </c>
      <c r="B128" s="5">
        <v>42321</v>
      </c>
      <c r="C128" t="s">
        <v>11</v>
      </c>
      <c r="D128" t="s">
        <v>45</v>
      </c>
      <c r="E128" t="s">
        <v>17</v>
      </c>
      <c r="F128" t="s">
        <v>128</v>
      </c>
      <c r="G128">
        <v>4.5</v>
      </c>
      <c r="H128">
        <v>25</v>
      </c>
      <c r="I128">
        <v>112.5</v>
      </c>
      <c r="J128" t="s">
        <v>15</v>
      </c>
      <c r="V128" t="s">
        <v>192</v>
      </c>
      <c r="W128" s="5">
        <v>42115</v>
      </c>
      <c r="X128" t="s">
        <v>11</v>
      </c>
      <c r="Y128" t="s">
        <v>45</v>
      </c>
      <c r="Z128" t="s">
        <v>13</v>
      </c>
      <c r="AA128" t="s">
        <v>124</v>
      </c>
      <c r="AB128">
        <v>21.5</v>
      </c>
      <c r="AC128">
        <v>50</v>
      </c>
      <c r="AD128">
        <v>1075</v>
      </c>
      <c r="AE128" t="s">
        <v>15</v>
      </c>
    </row>
    <row r="129" spans="1:31" x14ac:dyDescent="0.3">
      <c r="A129" t="s">
        <v>283</v>
      </c>
      <c r="B129" s="5">
        <v>42321</v>
      </c>
      <c r="C129" t="s">
        <v>11</v>
      </c>
      <c r="D129" t="s">
        <v>45</v>
      </c>
      <c r="E129" t="s">
        <v>21</v>
      </c>
      <c r="F129" t="s">
        <v>22</v>
      </c>
      <c r="G129">
        <v>19.5</v>
      </c>
      <c r="H129">
        <v>25</v>
      </c>
      <c r="I129">
        <v>487.5</v>
      </c>
      <c r="J129" t="s">
        <v>15</v>
      </c>
      <c r="V129" t="s">
        <v>287</v>
      </c>
      <c r="W129" s="5">
        <v>42332</v>
      </c>
      <c r="X129" t="s">
        <v>28</v>
      </c>
      <c r="Y129" t="s">
        <v>45</v>
      </c>
      <c r="Z129" t="s">
        <v>13</v>
      </c>
      <c r="AA129" t="s">
        <v>186</v>
      </c>
      <c r="AB129">
        <v>36</v>
      </c>
      <c r="AC129">
        <v>30</v>
      </c>
      <c r="AD129">
        <v>1080</v>
      </c>
      <c r="AE129" t="s">
        <v>15</v>
      </c>
    </row>
    <row r="130" spans="1:31" x14ac:dyDescent="0.3">
      <c r="A130" t="s">
        <v>284</v>
      </c>
      <c r="B130" s="5">
        <v>42327</v>
      </c>
      <c r="C130" t="s">
        <v>11</v>
      </c>
      <c r="D130" t="s">
        <v>45</v>
      </c>
      <c r="E130" t="s">
        <v>13</v>
      </c>
      <c r="F130" t="s">
        <v>41</v>
      </c>
      <c r="G130">
        <v>34</v>
      </c>
      <c r="H130">
        <v>80</v>
      </c>
      <c r="I130">
        <v>2720</v>
      </c>
      <c r="J130" t="s">
        <v>26</v>
      </c>
      <c r="V130" t="s">
        <v>312</v>
      </c>
      <c r="W130" s="5">
        <v>42009</v>
      </c>
      <c r="X130" t="s">
        <v>11</v>
      </c>
      <c r="Y130" t="s">
        <v>12</v>
      </c>
      <c r="Z130" t="s">
        <v>13</v>
      </c>
      <c r="AA130" t="s">
        <v>14</v>
      </c>
      <c r="AB130">
        <v>45.6</v>
      </c>
      <c r="AC130">
        <v>42</v>
      </c>
      <c r="AD130">
        <v>1915.2</v>
      </c>
      <c r="AE130" t="s">
        <v>15</v>
      </c>
    </row>
    <row r="131" spans="1:31" x14ac:dyDescent="0.3">
      <c r="A131" t="s">
        <v>285</v>
      </c>
      <c r="B131" s="5">
        <v>42327</v>
      </c>
      <c r="C131" t="s">
        <v>11</v>
      </c>
      <c r="D131" t="s">
        <v>45</v>
      </c>
      <c r="E131" t="s">
        <v>13</v>
      </c>
      <c r="F131" t="s">
        <v>99</v>
      </c>
      <c r="G131">
        <v>12.5</v>
      </c>
      <c r="H131">
        <v>70</v>
      </c>
      <c r="I131">
        <v>875</v>
      </c>
      <c r="J131" t="s">
        <v>26</v>
      </c>
      <c r="V131" t="s">
        <v>342</v>
      </c>
      <c r="W131" s="5">
        <v>42067</v>
      </c>
      <c r="X131" t="s">
        <v>28</v>
      </c>
      <c r="Y131" t="s">
        <v>12</v>
      </c>
      <c r="Z131" t="s">
        <v>13</v>
      </c>
      <c r="AA131" t="s">
        <v>14</v>
      </c>
      <c r="AB131">
        <v>21</v>
      </c>
      <c r="AC131">
        <v>10</v>
      </c>
      <c r="AD131">
        <v>210</v>
      </c>
      <c r="AE131" t="s">
        <v>15</v>
      </c>
    </row>
    <row r="132" spans="1:31" x14ac:dyDescent="0.3">
      <c r="A132" t="s">
        <v>286</v>
      </c>
      <c r="B132" s="5">
        <v>42327</v>
      </c>
      <c r="C132" t="s">
        <v>11</v>
      </c>
      <c r="D132" t="s">
        <v>45</v>
      </c>
      <c r="E132" t="s">
        <v>34</v>
      </c>
      <c r="F132" t="s">
        <v>94</v>
      </c>
      <c r="G132">
        <v>17.45</v>
      </c>
      <c r="H132">
        <v>56</v>
      </c>
      <c r="I132">
        <v>977.19999999999993</v>
      </c>
      <c r="J132" t="s">
        <v>26</v>
      </c>
      <c r="V132" t="s">
        <v>373</v>
      </c>
      <c r="W132" s="5">
        <v>42130</v>
      </c>
      <c r="X132" t="s">
        <v>31</v>
      </c>
      <c r="Y132" t="s">
        <v>24</v>
      </c>
      <c r="Z132" t="s">
        <v>13</v>
      </c>
      <c r="AA132" t="s">
        <v>66</v>
      </c>
      <c r="AB132">
        <v>55</v>
      </c>
      <c r="AC132">
        <v>50</v>
      </c>
      <c r="AD132">
        <v>2750</v>
      </c>
      <c r="AE132" t="s">
        <v>15</v>
      </c>
    </row>
    <row r="133" spans="1:31" x14ac:dyDescent="0.3">
      <c r="A133" t="s">
        <v>287</v>
      </c>
      <c r="B133" s="5">
        <v>42332</v>
      </c>
      <c r="C133" t="s">
        <v>28</v>
      </c>
      <c r="D133" t="s">
        <v>45</v>
      </c>
      <c r="E133" t="s">
        <v>13</v>
      </c>
      <c r="F133" t="s">
        <v>186</v>
      </c>
      <c r="G133">
        <v>36</v>
      </c>
      <c r="H133">
        <v>30</v>
      </c>
      <c r="I133">
        <v>1080</v>
      </c>
      <c r="J133" t="s">
        <v>15</v>
      </c>
      <c r="V133" t="s">
        <v>482</v>
      </c>
      <c r="W133" s="5">
        <v>42357</v>
      </c>
      <c r="X133" t="s">
        <v>31</v>
      </c>
      <c r="Y133" t="s">
        <v>45</v>
      </c>
      <c r="Z133" t="s">
        <v>13</v>
      </c>
      <c r="AA133" t="s">
        <v>56</v>
      </c>
      <c r="AB133">
        <v>34.799999999999997</v>
      </c>
      <c r="AC133">
        <v>10</v>
      </c>
      <c r="AD133">
        <v>348</v>
      </c>
      <c r="AE133" t="s">
        <v>15</v>
      </c>
    </row>
    <row r="134" spans="1:31" x14ac:dyDescent="0.3">
      <c r="A134" t="s">
        <v>288</v>
      </c>
      <c r="B134" s="5">
        <v>42332</v>
      </c>
      <c r="C134" t="s">
        <v>28</v>
      </c>
      <c r="D134" t="s">
        <v>45</v>
      </c>
      <c r="E134" t="s">
        <v>13</v>
      </c>
      <c r="F134" t="s">
        <v>124</v>
      </c>
      <c r="G134">
        <v>21.5</v>
      </c>
      <c r="H134">
        <v>5</v>
      </c>
      <c r="I134">
        <v>107.5</v>
      </c>
      <c r="J134" t="s">
        <v>15</v>
      </c>
      <c r="M134" s="37"/>
      <c r="N134" s="37"/>
      <c r="V134" t="s">
        <v>648</v>
      </c>
      <c r="W134" s="5">
        <v>42361</v>
      </c>
      <c r="X134" t="s">
        <v>20</v>
      </c>
      <c r="Y134" t="s">
        <v>12</v>
      </c>
      <c r="Z134" t="s">
        <v>13</v>
      </c>
      <c r="AA134" t="s">
        <v>66</v>
      </c>
      <c r="AB134">
        <v>55</v>
      </c>
      <c r="AC134">
        <v>135</v>
      </c>
      <c r="AD134">
        <v>7425</v>
      </c>
      <c r="AE134" t="s">
        <v>15</v>
      </c>
    </row>
    <row r="135" spans="1:31" x14ac:dyDescent="0.3">
      <c r="A135" t="s">
        <v>289</v>
      </c>
      <c r="B135" s="5">
        <v>42334</v>
      </c>
      <c r="C135" t="s">
        <v>31</v>
      </c>
      <c r="D135" t="s">
        <v>85</v>
      </c>
      <c r="E135" t="s">
        <v>21</v>
      </c>
      <c r="F135" t="s">
        <v>97</v>
      </c>
      <c r="G135">
        <v>13</v>
      </c>
      <c r="H135">
        <v>5</v>
      </c>
      <c r="I135">
        <v>65</v>
      </c>
      <c r="J135" t="s">
        <v>26</v>
      </c>
    </row>
    <row r="136" spans="1:31" x14ac:dyDescent="0.3">
      <c r="A136" t="s">
        <v>290</v>
      </c>
      <c r="B136" s="5">
        <v>42334</v>
      </c>
      <c r="C136" t="s">
        <v>31</v>
      </c>
      <c r="D136" t="s">
        <v>85</v>
      </c>
      <c r="E136" t="s">
        <v>21</v>
      </c>
      <c r="F136" t="s">
        <v>87</v>
      </c>
      <c r="G136">
        <v>21.05</v>
      </c>
      <c r="H136">
        <v>5</v>
      </c>
      <c r="I136">
        <v>105.25</v>
      </c>
      <c r="J136" t="s">
        <v>26</v>
      </c>
    </row>
    <row r="137" spans="1:31" x14ac:dyDescent="0.3">
      <c r="A137" t="s">
        <v>291</v>
      </c>
      <c r="B137" s="5">
        <v>42340</v>
      </c>
      <c r="C137" t="s">
        <v>11</v>
      </c>
      <c r="D137" t="s">
        <v>12</v>
      </c>
      <c r="E137" t="s">
        <v>17</v>
      </c>
      <c r="F137" t="s">
        <v>32</v>
      </c>
      <c r="G137">
        <v>263.5</v>
      </c>
      <c r="H137">
        <v>40</v>
      </c>
      <c r="I137">
        <v>10540</v>
      </c>
      <c r="J137" t="s">
        <v>26</v>
      </c>
      <c r="M137" s="5"/>
    </row>
    <row r="138" spans="1:31" x14ac:dyDescent="0.3">
      <c r="A138" t="s">
        <v>306</v>
      </c>
      <c r="B138" s="5">
        <v>42355</v>
      </c>
      <c r="C138" t="s">
        <v>20</v>
      </c>
      <c r="D138" t="s">
        <v>45</v>
      </c>
      <c r="E138" t="s">
        <v>51</v>
      </c>
      <c r="F138" t="s">
        <v>138</v>
      </c>
      <c r="G138">
        <v>32.799999999999997</v>
      </c>
      <c r="H138">
        <v>40</v>
      </c>
      <c r="I138">
        <v>1312</v>
      </c>
      <c r="J138" t="s">
        <v>15</v>
      </c>
      <c r="M138" s="5"/>
    </row>
    <row r="139" spans="1:31" x14ac:dyDescent="0.3">
      <c r="A139" t="s">
        <v>307</v>
      </c>
      <c r="B139" s="5">
        <v>42355</v>
      </c>
      <c r="C139" t="s">
        <v>11</v>
      </c>
      <c r="D139" t="s">
        <v>45</v>
      </c>
      <c r="E139" t="s">
        <v>21</v>
      </c>
      <c r="F139" t="s">
        <v>22</v>
      </c>
      <c r="G139">
        <v>7</v>
      </c>
      <c r="H139">
        <v>20</v>
      </c>
      <c r="I139">
        <v>140</v>
      </c>
      <c r="J139" t="s">
        <v>15</v>
      </c>
      <c r="M139" s="5"/>
    </row>
    <row r="140" spans="1:31" x14ac:dyDescent="0.3">
      <c r="A140" t="s">
        <v>308</v>
      </c>
      <c r="B140" s="5">
        <v>42355</v>
      </c>
      <c r="C140" t="s">
        <v>20</v>
      </c>
      <c r="D140" t="s">
        <v>45</v>
      </c>
      <c r="E140" t="s">
        <v>13</v>
      </c>
      <c r="F140" t="s">
        <v>14</v>
      </c>
      <c r="G140">
        <v>9.5</v>
      </c>
      <c r="H140">
        <v>15</v>
      </c>
      <c r="I140">
        <v>142.5</v>
      </c>
      <c r="J140" t="s">
        <v>15</v>
      </c>
      <c r="M140" s="5"/>
    </row>
    <row r="141" spans="1:31" x14ac:dyDescent="0.3">
      <c r="A141" t="s">
        <v>309</v>
      </c>
      <c r="B141" s="5">
        <v>42368</v>
      </c>
      <c r="C141" t="s">
        <v>31</v>
      </c>
      <c r="D141" t="s">
        <v>45</v>
      </c>
      <c r="E141" t="s">
        <v>17</v>
      </c>
      <c r="F141" t="s">
        <v>72</v>
      </c>
      <c r="G141">
        <v>18</v>
      </c>
      <c r="H141">
        <v>35</v>
      </c>
      <c r="I141">
        <v>630</v>
      </c>
      <c r="J141" t="s">
        <v>26</v>
      </c>
      <c r="M141" s="5"/>
    </row>
    <row r="142" spans="1:31" x14ac:dyDescent="0.3">
      <c r="A142" t="s">
        <v>310</v>
      </c>
      <c r="B142" s="5">
        <v>42368</v>
      </c>
      <c r="C142" t="s">
        <v>20</v>
      </c>
      <c r="D142" t="s">
        <v>45</v>
      </c>
      <c r="E142" t="s">
        <v>51</v>
      </c>
      <c r="F142" t="s">
        <v>52</v>
      </c>
      <c r="G142">
        <v>123.79</v>
      </c>
      <c r="H142">
        <v>21</v>
      </c>
      <c r="I142">
        <v>2599.59</v>
      </c>
      <c r="J142" t="s">
        <v>26</v>
      </c>
      <c r="M142" s="5"/>
    </row>
    <row r="143" spans="1:31" x14ac:dyDescent="0.3">
      <c r="A143" t="s">
        <v>311</v>
      </c>
      <c r="B143" s="5">
        <v>42368</v>
      </c>
      <c r="C143" t="s">
        <v>31</v>
      </c>
      <c r="D143" t="s">
        <v>45</v>
      </c>
      <c r="E143" t="s">
        <v>34</v>
      </c>
      <c r="F143" t="s">
        <v>75</v>
      </c>
      <c r="G143">
        <v>20</v>
      </c>
      <c r="H143">
        <v>30</v>
      </c>
      <c r="I143">
        <v>600</v>
      </c>
      <c r="J143" t="s">
        <v>26</v>
      </c>
      <c r="M143" s="5"/>
    </row>
    <row r="144" spans="1:31" x14ac:dyDescent="0.3">
      <c r="A144" t="s">
        <v>312</v>
      </c>
      <c r="B144" s="5">
        <v>42009</v>
      </c>
      <c r="C144" t="s">
        <v>11</v>
      </c>
      <c r="D144" t="s">
        <v>12</v>
      </c>
      <c r="E144" t="s">
        <v>13</v>
      </c>
      <c r="F144" t="s">
        <v>14</v>
      </c>
      <c r="G144">
        <v>45.6</v>
      </c>
      <c r="H144">
        <v>42</v>
      </c>
      <c r="I144">
        <v>1915.2</v>
      </c>
      <c r="J144" t="s">
        <v>15</v>
      </c>
      <c r="M144" s="5"/>
    </row>
    <row r="145" spans="1:13" x14ac:dyDescent="0.3">
      <c r="A145" t="s">
        <v>313</v>
      </c>
      <c r="B145" s="5">
        <v>42009</v>
      </c>
      <c r="C145" t="s">
        <v>20</v>
      </c>
      <c r="D145" t="s">
        <v>12</v>
      </c>
      <c r="E145" t="s">
        <v>21</v>
      </c>
      <c r="F145" t="s">
        <v>22</v>
      </c>
      <c r="G145">
        <v>19</v>
      </c>
      <c r="H145">
        <v>5</v>
      </c>
      <c r="I145">
        <v>95</v>
      </c>
      <c r="J145" t="s">
        <v>15</v>
      </c>
      <c r="M145" s="5"/>
    </row>
    <row r="146" spans="1:13" x14ac:dyDescent="0.3">
      <c r="A146" t="s">
        <v>314</v>
      </c>
      <c r="B146" s="5">
        <v>42009</v>
      </c>
      <c r="C146" t="s">
        <v>20</v>
      </c>
      <c r="D146" t="s">
        <v>12</v>
      </c>
      <c r="E146" t="s">
        <v>21</v>
      </c>
      <c r="F146" t="s">
        <v>22</v>
      </c>
      <c r="G146">
        <v>18.399999999999999</v>
      </c>
      <c r="H146">
        <v>2</v>
      </c>
      <c r="I146">
        <v>36.799999999999997</v>
      </c>
      <c r="J146" t="s">
        <v>15</v>
      </c>
      <c r="M146" s="5"/>
    </row>
    <row r="147" spans="1:13" x14ac:dyDescent="0.3">
      <c r="A147" t="s">
        <v>42</v>
      </c>
      <c r="B147" s="5">
        <v>42009</v>
      </c>
      <c r="C147" t="s">
        <v>20</v>
      </c>
      <c r="D147" t="s">
        <v>12</v>
      </c>
      <c r="E147" t="s">
        <v>34</v>
      </c>
      <c r="F147" t="s">
        <v>241</v>
      </c>
      <c r="G147">
        <v>10</v>
      </c>
      <c r="H147">
        <v>30</v>
      </c>
      <c r="I147">
        <v>300</v>
      </c>
      <c r="J147" t="s">
        <v>15</v>
      </c>
      <c r="M147" s="5"/>
    </row>
    <row r="148" spans="1:13" x14ac:dyDescent="0.3">
      <c r="A148" t="s">
        <v>315</v>
      </c>
      <c r="B148" s="5">
        <v>42011</v>
      </c>
      <c r="C148" t="s">
        <v>20</v>
      </c>
      <c r="D148" t="s">
        <v>24</v>
      </c>
      <c r="E148" t="s">
        <v>17</v>
      </c>
      <c r="F148" t="s">
        <v>54</v>
      </c>
      <c r="G148">
        <v>23.25</v>
      </c>
      <c r="H148">
        <v>12</v>
      </c>
      <c r="I148">
        <v>279</v>
      </c>
      <c r="J148" t="s">
        <v>15</v>
      </c>
      <c r="M148" s="5"/>
    </row>
    <row r="149" spans="1:13" x14ac:dyDescent="0.3">
      <c r="A149" t="s">
        <v>316</v>
      </c>
      <c r="B149" s="5">
        <v>42011</v>
      </c>
      <c r="C149" t="s">
        <v>20</v>
      </c>
      <c r="D149" t="s">
        <v>24</v>
      </c>
      <c r="E149" t="s">
        <v>34</v>
      </c>
      <c r="F149" t="s">
        <v>241</v>
      </c>
      <c r="G149">
        <v>10</v>
      </c>
      <c r="H149">
        <v>12</v>
      </c>
      <c r="I149">
        <v>120</v>
      </c>
      <c r="J149" t="s">
        <v>15</v>
      </c>
      <c r="M149" s="5"/>
    </row>
    <row r="150" spans="1:13" x14ac:dyDescent="0.3">
      <c r="A150" t="s">
        <v>317</v>
      </c>
      <c r="B150" s="5">
        <v>42016</v>
      </c>
      <c r="C150" t="s">
        <v>11</v>
      </c>
      <c r="D150" t="s">
        <v>12</v>
      </c>
      <c r="E150" t="s">
        <v>13</v>
      </c>
      <c r="F150" t="s">
        <v>113</v>
      </c>
      <c r="G150">
        <v>2.5</v>
      </c>
      <c r="H150">
        <v>50</v>
      </c>
      <c r="I150">
        <v>125</v>
      </c>
      <c r="J150" t="s">
        <v>26</v>
      </c>
      <c r="M150" s="5"/>
    </row>
    <row r="151" spans="1:13" x14ac:dyDescent="0.3">
      <c r="A151" t="s">
        <v>318</v>
      </c>
      <c r="B151" s="5">
        <v>42016</v>
      </c>
      <c r="C151" t="s">
        <v>28</v>
      </c>
      <c r="D151" t="s">
        <v>12</v>
      </c>
      <c r="E151" t="s">
        <v>34</v>
      </c>
      <c r="F151" t="s">
        <v>188</v>
      </c>
      <c r="G151">
        <v>9.1999999999999993</v>
      </c>
      <c r="H151">
        <v>18</v>
      </c>
      <c r="I151">
        <v>165.6</v>
      </c>
      <c r="J151" t="s">
        <v>26</v>
      </c>
      <c r="M151" s="5"/>
    </row>
    <row r="152" spans="1:13" x14ac:dyDescent="0.3">
      <c r="A152" t="s">
        <v>319</v>
      </c>
      <c r="B152" s="5">
        <v>42023</v>
      </c>
      <c r="C152" t="s">
        <v>31</v>
      </c>
      <c r="D152" t="s">
        <v>12</v>
      </c>
      <c r="E152" t="s">
        <v>17</v>
      </c>
      <c r="F152" t="s">
        <v>54</v>
      </c>
      <c r="G152">
        <v>15</v>
      </c>
      <c r="H152">
        <v>8</v>
      </c>
      <c r="I152">
        <v>120</v>
      </c>
      <c r="J152" t="s">
        <v>15</v>
      </c>
    </row>
    <row r="153" spans="1:13" x14ac:dyDescent="0.3">
      <c r="A153" t="s">
        <v>320</v>
      </c>
      <c r="B153" s="5">
        <v>42023</v>
      </c>
      <c r="C153" t="s">
        <v>11</v>
      </c>
      <c r="D153" t="s">
        <v>12</v>
      </c>
      <c r="E153" t="s">
        <v>21</v>
      </c>
      <c r="F153" t="s">
        <v>22</v>
      </c>
      <c r="G153">
        <v>15</v>
      </c>
      <c r="H153">
        <v>20</v>
      </c>
      <c r="I153">
        <v>300</v>
      </c>
      <c r="J153" t="s">
        <v>15</v>
      </c>
    </row>
    <row r="154" spans="1:13" x14ac:dyDescent="0.3">
      <c r="A154" t="s">
        <v>321</v>
      </c>
      <c r="B154" s="5">
        <v>42023</v>
      </c>
      <c r="C154" t="s">
        <v>28</v>
      </c>
      <c r="D154" t="s">
        <v>12</v>
      </c>
      <c r="E154" t="s">
        <v>34</v>
      </c>
      <c r="F154" t="s">
        <v>64</v>
      </c>
      <c r="G154">
        <v>6</v>
      </c>
      <c r="H154">
        <v>2</v>
      </c>
      <c r="I154">
        <v>12</v>
      </c>
      <c r="J154" t="s">
        <v>15</v>
      </c>
    </row>
    <row r="155" spans="1:13" x14ac:dyDescent="0.3">
      <c r="A155" t="s">
        <v>322</v>
      </c>
      <c r="B155" s="5">
        <v>42023</v>
      </c>
      <c r="C155" t="s">
        <v>20</v>
      </c>
      <c r="D155" t="s">
        <v>12</v>
      </c>
      <c r="E155" t="s">
        <v>51</v>
      </c>
      <c r="F155" t="s">
        <v>138</v>
      </c>
      <c r="G155">
        <v>32.799999999999997</v>
      </c>
      <c r="H155">
        <v>15</v>
      </c>
      <c r="I155">
        <v>491.99999999999994</v>
      </c>
      <c r="J155" t="s">
        <v>15</v>
      </c>
    </row>
    <row r="156" spans="1:13" x14ac:dyDescent="0.3">
      <c r="A156" t="s">
        <v>323</v>
      </c>
      <c r="B156" s="5">
        <v>42023</v>
      </c>
      <c r="C156" t="s">
        <v>11</v>
      </c>
      <c r="D156" t="s">
        <v>12</v>
      </c>
      <c r="E156" t="s">
        <v>21</v>
      </c>
      <c r="F156" t="s">
        <v>97</v>
      </c>
      <c r="G156">
        <v>13</v>
      </c>
      <c r="H156">
        <v>10</v>
      </c>
      <c r="I156">
        <v>130</v>
      </c>
      <c r="J156" t="s">
        <v>15</v>
      </c>
    </row>
    <row r="157" spans="1:13" x14ac:dyDescent="0.3">
      <c r="A157" t="s">
        <v>324</v>
      </c>
      <c r="B157" s="5">
        <v>42023</v>
      </c>
      <c r="C157" t="s">
        <v>11</v>
      </c>
      <c r="D157" t="s">
        <v>12</v>
      </c>
      <c r="E157" t="s">
        <v>34</v>
      </c>
      <c r="F157" t="s">
        <v>77</v>
      </c>
      <c r="G157">
        <v>31.23</v>
      </c>
      <c r="H157">
        <v>30</v>
      </c>
      <c r="I157">
        <v>936.9</v>
      </c>
      <c r="J157" t="s">
        <v>15</v>
      </c>
    </row>
    <row r="158" spans="1:13" x14ac:dyDescent="0.3">
      <c r="A158" t="s">
        <v>325</v>
      </c>
      <c r="B158" s="5">
        <v>42023</v>
      </c>
      <c r="C158" t="s">
        <v>20</v>
      </c>
      <c r="D158" t="s">
        <v>12</v>
      </c>
      <c r="E158" t="s">
        <v>34</v>
      </c>
      <c r="F158" t="s">
        <v>188</v>
      </c>
      <c r="G158">
        <v>9.1999999999999993</v>
      </c>
      <c r="H158">
        <v>4</v>
      </c>
      <c r="I158">
        <v>36.799999999999997</v>
      </c>
      <c r="J158" t="s">
        <v>15</v>
      </c>
    </row>
    <row r="159" spans="1:13" x14ac:dyDescent="0.3">
      <c r="A159" t="s">
        <v>326</v>
      </c>
      <c r="B159" s="5">
        <v>42025</v>
      </c>
      <c r="C159" t="s">
        <v>11</v>
      </c>
      <c r="D159" t="s">
        <v>12</v>
      </c>
      <c r="E159" t="s">
        <v>13</v>
      </c>
      <c r="F159" t="s">
        <v>66</v>
      </c>
      <c r="G159">
        <v>55</v>
      </c>
      <c r="H159">
        <v>20</v>
      </c>
      <c r="I159">
        <v>1100</v>
      </c>
      <c r="J159" t="s">
        <v>26</v>
      </c>
    </row>
    <row r="160" spans="1:13" x14ac:dyDescent="0.3">
      <c r="A160" t="s">
        <v>327</v>
      </c>
      <c r="B160" s="5">
        <v>42025</v>
      </c>
      <c r="C160" t="s">
        <v>20</v>
      </c>
      <c r="D160" t="s">
        <v>12</v>
      </c>
      <c r="E160" t="s">
        <v>13</v>
      </c>
      <c r="F160" t="s">
        <v>99</v>
      </c>
      <c r="G160">
        <v>12.5</v>
      </c>
      <c r="H160">
        <v>14</v>
      </c>
      <c r="I160">
        <v>175</v>
      </c>
      <c r="J160" t="s">
        <v>26</v>
      </c>
    </row>
    <row r="161" spans="1:10" x14ac:dyDescent="0.3">
      <c r="A161" t="s">
        <v>328</v>
      </c>
      <c r="B161" s="5">
        <v>42029</v>
      </c>
      <c r="C161" t="s">
        <v>11</v>
      </c>
      <c r="D161" t="s">
        <v>85</v>
      </c>
      <c r="E161" t="s">
        <v>34</v>
      </c>
      <c r="F161" t="s">
        <v>64</v>
      </c>
      <c r="G161">
        <v>33.25</v>
      </c>
      <c r="H161">
        <v>7</v>
      </c>
      <c r="I161">
        <v>232.75</v>
      </c>
      <c r="J161" t="s">
        <v>15</v>
      </c>
    </row>
    <row r="162" spans="1:10" x14ac:dyDescent="0.3">
      <c r="A162" t="s">
        <v>329</v>
      </c>
      <c r="B162" s="5">
        <v>42029</v>
      </c>
      <c r="C162" t="s">
        <v>11</v>
      </c>
      <c r="D162" t="s">
        <v>85</v>
      </c>
      <c r="E162" t="s">
        <v>13</v>
      </c>
      <c r="F162" t="s">
        <v>14</v>
      </c>
      <c r="G162">
        <v>38</v>
      </c>
      <c r="H162">
        <v>5</v>
      </c>
      <c r="I162">
        <v>190</v>
      </c>
      <c r="J162" t="s">
        <v>15</v>
      </c>
    </row>
    <row r="163" spans="1:10" x14ac:dyDescent="0.3">
      <c r="A163" t="s">
        <v>330</v>
      </c>
      <c r="B163" s="5">
        <v>42037</v>
      </c>
      <c r="C163" t="s">
        <v>31</v>
      </c>
      <c r="D163" t="s">
        <v>45</v>
      </c>
      <c r="E163" t="s">
        <v>17</v>
      </c>
      <c r="F163" t="s">
        <v>18</v>
      </c>
      <c r="G163">
        <v>19</v>
      </c>
      <c r="H163">
        <v>10</v>
      </c>
      <c r="I163">
        <v>190</v>
      </c>
      <c r="J163" t="s">
        <v>26</v>
      </c>
    </row>
    <row r="164" spans="1:10" x14ac:dyDescent="0.3">
      <c r="A164" t="s">
        <v>331</v>
      </c>
      <c r="B164" s="5">
        <v>42037</v>
      </c>
      <c r="C164" t="s">
        <v>31</v>
      </c>
      <c r="D164" t="s">
        <v>45</v>
      </c>
      <c r="E164" t="s">
        <v>13</v>
      </c>
      <c r="F164" t="s">
        <v>14</v>
      </c>
      <c r="G164">
        <v>21</v>
      </c>
      <c r="H164">
        <v>12</v>
      </c>
      <c r="I164">
        <v>252</v>
      </c>
      <c r="J164" t="s">
        <v>26</v>
      </c>
    </row>
    <row r="165" spans="1:10" x14ac:dyDescent="0.3">
      <c r="A165" t="s">
        <v>332</v>
      </c>
      <c r="B165" s="5">
        <v>42037</v>
      </c>
      <c r="C165" t="s">
        <v>31</v>
      </c>
      <c r="D165" t="s">
        <v>45</v>
      </c>
      <c r="E165" t="s">
        <v>13</v>
      </c>
      <c r="F165" t="s">
        <v>56</v>
      </c>
      <c r="G165">
        <v>34.799999999999997</v>
      </c>
      <c r="H165">
        <v>10</v>
      </c>
      <c r="I165">
        <v>348</v>
      </c>
      <c r="J165" t="s">
        <v>26</v>
      </c>
    </row>
    <row r="166" spans="1:10" x14ac:dyDescent="0.3">
      <c r="A166" t="s">
        <v>333</v>
      </c>
      <c r="B166" s="5">
        <v>42047</v>
      </c>
      <c r="C166" t="s">
        <v>20</v>
      </c>
      <c r="D166" t="s">
        <v>12</v>
      </c>
      <c r="E166" t="s">
        <v>21</v>
      </c>
      <c r="F166" t="s">
        <v>87</v>
      </c>
      <c r="G166">
        <v>21.05</v>
      </c>
      <c r="H166">
        <v>35</v>
      </c>
      <c r="I166">
        <v>736.75</v>
      </c>
      <c r="J166" t="s">
        <v>26</v>
      </c>
    </row>
    <row r="167" spans="1:10" x14ac:dyDescent="0.3">
      <c r="A167" t="s">
        <v>334</v>
      </c>
      <c r="B167" s="5">
        <v>42047</v>
      </c>
      <c r="C167" t="s">
        <v>20</v>
      </c>
      <c r="D167" t="s">
        <v>12</v>
      </c>
      <c r="E167" t="s">
        <v>13</v>
      </c>
      <c r="F167" t="s">
        <v>124</v>
      </c>
      <c r="G167">
        <v>21.5</v>
      </c>
      <c r="H167">
        <v>2</v>
      </c>
      <c r="I167">
        <v>43</v>
      </c>
      <c r="J167" t="s">
        <v>26</v>
      </c>
    </row>
    <row r="168" spans="1:10" x14ac:dyDescent="0.3">
      <c r="A168" t="s">
        <v>335</v>
      </c>
      <c r="B168" s="5">
        <v>42047</v>
      </c>
      <c r="C168" t="s">
        <v>28</v>
      </c>
      <c r="D168" t="s">
        <v>12</v>
      </c>
      <c r="E168" t="s">
        <v>34</v>
      </c>
      <c r="F168" t="s">
        <v>188</v>
      </c>
      <c r="G168">
        <v>9.1999999999999993</v>
      </c>
      <c r="H168">
        <v>40</v>
      </c>
      <c r="I168">
        <v>368</v>
      </c>
      <c r="J168" t="s">
        <v>26</v>
      </c>
    </row>
    <row r="169" spans="1:10" x14ac:dyDescent="0.3">
      <c r="A169" t="s">
        <v>336</v>
      </c>
      <c r="B169" s="5">
        <v>42050</v>
      </c>
      <c r="C169" t="s">
        <v>11</v>
      </c>
      <c r="D169" t="s">
        <v>24</v>
      </c>
      <c r="E169" t="s">
        <v>51</v>
      </c>
      <c r="F169" t="s">
        <v>81</v>
      </c>
      <c r="G169">
        <v>18.399999999999999</v>
      </c>
      <c r="H169">
        <v>20</v>
      </c>
      <c r="I169">
        <v>368</v>
      </c>
      <c r="J169" t="s">
        <v>26</v>
      </c>
    </row>
    <row r="170" spans="1:10" x14ac:dyDescent="0.3">
      <c r="A170" t="s">
        <v>337</v>
      </c>
      <c r="B170" s="5">
        <v>42054</v>
      </c>
      <c r="C170" t="s">
        <v>11</v>
      </c>
      <c r="D170" t="s">
        <v>45</v>
      </c>
      <c r="E170" t="s">
        <v>17</v>
      </c>
      <c r="F170" t="s">
        <v>54</v>
      </c>
      <c r="G170">
        <v>15</v>
      </c>
      <c r="H170">
        <v>25</v>
      </c>
      <c r="I170">
        <v>375</v>
      </c>
      <c r="J170" t="s">
        <v>26</v>
      </c>
    </row>
    <row r="171" spans="1:10" x14ac:dyDescent="0.3">
      <c r="A171" t="s">
        <v>338</v>
      </c>
      <c r="B171" s="5">
        <v>42054</v>
      </c>
      <c r="C171" t="s">
        <v>31</v>
      </c>
      <c r="D171" t="s">
        <v>45</v>
      </c>
      <c r="E171" t="s">
        <v>34</v>
      </c>
      <c r="F171" t="s">
        <v>339</v>
      </c>
      <c r="G171">
        <v>12.75</v>
      </c>
      <c r="H171">
        <v>15</v>
      </c>
      <c r="I171">
        <v>191.25</v>
      </c>
      <c r="J171" t="s">
        <v>26</v>
      </c>
    </row>
    <row r="172" spans="1:10" x14ac:dyDescent="0.3">
      <c r="A172" t="s">
        <v>340</v>
      </c>
      <c r="B172" s="5">
        <v>42064</v>
      </c>
      <c r="C172" t="s">
        <v>28</v>
      </c>
      <c r="D172" t="s">
        <v>45</v>
      </c>
      <c r="E172" t="s">
        <v>17</v>
      </c>
      <c r="F172" t="s">
        <v>54</v>
      </c>
      <c r="G172">
        <v>9</v>
      </c>
      <c r="H172">
        <v>21</v>
      </c>
      <c r="I172">
        <v>189</v>
      </c>
      <c r="J172" t="s">
        <v>15</v>
      </c>
    </row>
    <row r="173" spans="1:10" x14ac:dyDescent="0.3">
      <c r="A173" t="s">
        <v>341</v>
      </c>
      <c r="B173" s="5">
        <v>42064</v>
      </c>
      <c r="C173" t="s">
        <v>11</v>
      </c>
      <c r="D173" t="s">
        <v>45</v>
      </c>
      <c r="E173" t="s">
        <v>21</v>
      </c>
      <c r="F173" t="s">
        <v>22</v>
      </c>
      <c r="G173">
        <v>6</v>
      </c>
      <c r="H173">
        <v>1</v>
      </c>
      <c r="I173">
        <v>6</v>
      </c>
      <c r="J173" t="s">
        <v>15</v>
      </c>
    </row>
    <row r="174" spans="1:10" x14ac:dyDescent="0.3">
      <c r="A174" t="s">
        <v>342</v>
      </c>
      <c r="B174" s="5">
        <v>42067</v>
      </c>
      <c r="C174" t="s">
        <v>28</v>
      </c>
      <c r="D174" t="s">
        <v>12</v>
      </c>
      <c r="E174" t="s">
        <v>13</v>
      </c>
      <c r="F174" t="s">
        <v>14</v>
      </c>
      <c r="G174">
        <v>21</v>
      </c>
      <c r="H174">
        <v>10</v>
      </c>
      <c r="I174">
        <v>210</v>
      </c>
      <c r="J174" t="s">
        <v>15</v>
      </c>
    </row>
    <row r="175" spans="1:10" x14ac:dyDescent="0.3">
      <c r="A175" t="s">
        <v>343</v>
      </c>
      <c r="B175" s="5">
        <v>42067</v>
      </c>
      <c r="C175" t="s">
        <v>20</v>
      </c>
      <c r="D175" t="s">
        <v>12</v>
      </c>
      <c r="E175" t="s">
        <v>21</v>
      </c>
      <c r="F175" t="s">
        <v>22</v>
      </c>
      <c r="G175">
        <v>12</v>
      </c>
      <c r="H175">
        <v>5</v>
      </c>
      <c r="I175">
        <v>60</v>
      </c>
      <c r="J175" t="s">
        <v>15</v>
      </c>
    </row>
    <row r="176" spans="1:10" x14ac:dyDescent="0.3">
      <c r="A176" t="s">
        <v>344</v>
      </c>
      <c r="B176" s="5">
        <v>42072</v>
      </c>
      <c r="C176" t="s">
        <v>28</v>
      </c>
      <c r="D176" t="s">
        <v>45</v>
      </c>
      <c r="E176" t="s">
        <v>34</v>
      </c>
      <c r="F176" t="s">
        <v>64</v>
      </c>
      <c r="G176">
        <v>30</v>
      </c>
      <c r="H176">
        <v>30</v>
      </c>
      <c r="I176">
        <v>900</v>
      </c>
      <c r="J176" t="s">
        <v>26</v>
      </c>
    </row>
    <row r="177" spans="1:10" x14ac:dyDescent="0.3">
      <c r="A177" t="s">
        <v>345</v>
      </c>
      <c r="B177" s="5">
        <v>42072</v>
      </c>
      <c r="C177" t="s">
        <v>11</v>
      </c>
      <c r="D177" t="s">
        <v>45</v>
      </c>
      <c r="E177" t="s">
        <v>51</v>
      </c>
      <c r="F177" t="s">
        <v>81</v>
      </c>
      <c r="G177">
        <v>38</v>
      </c>
      <c r="H177">
        <v>20</v>
      </c>
      <c r="I177">
        <v>760</v>
      </c>
      <c r="J177" t="s">
        <v>26</v>
      </c>
    </row>
    <row r="178" spans="1:10" x14ac:dyDescent="0.3">
      <c r="A178" t="s">
        <v>362</v>
      </c>
      <c r="B178" s="5">
        <v>42113</v>
      </c>
      <c r="C178" t="s">
        <v>11</v>
      </c>
      <c r="D178" t="s">
        <v>12</v>
      </c>
      <c r="E178" t="s">
        <v>34</v>
      </c>
      <c r="F178" t="s">
        <v>136</v>
      </c>
      <c r="G178">
        <v>9.5</v>
      </c>
      <c r="H178">
        <v>6</v>
      </c>
      <c r="I178">
        <v>57</v>
      </c>
      <c r="J178" t="s">
        <v>26</v>
      </c>
    </row>
    <row r="179" spans="1:10" x14ac:dyDescent="0.3">
      <c r="A179" t="s">
        <v>363</v>
      </c>
      <c r="B179" s="5">
        <v>42116</v>
      </c>
      <c r="C179" t="s">
        <v>28</v>
      </c>
      <c r="D179" t="s">
        <v>45</v>
      </c>
      <c r="E179" t="s">
        <v>17</v>
      </c>
      <c r="F179" t="s">
        <v>54</v>
      </c>
      <c r="G179">
        <v>15</v>
      </c>
      <c r="H179">
        <v>6</v>
      </c>
      <c r="I179">
        <v>90</v>
      </c>
      <c r="J179" t="s">
        <v>26</v>
      </c>
    </row>
    <row r="180" spans="1:10" x14ac:dyDescent="0.3">
      <c r="A180" t="s">
        <v>364</v>
      </c>
      <c r="B180" s="5">
        <v>42116</v>
      </c>
      <c r="C180" t="s">
        <v>28</v>
      </c>
      <c r="D180" t="s">
        <v>45</v>
      </c>
      <c r="E180" t="s">
        <v>13</v>
      </c>
      <c r="F180" t="s">
        <v>14</v>
      </c>
      <c r="G180">
        <v>7</v>
      </c>
      <c r="H180">
        <v>6</v>
      </c>
      <c r="I180">
        <v>42</v>
      </c>
      <c r="J180" t="s">
        <v>26</v>
      </c>
    </row>
    <row r="181" spans="1:10" x14ac:dyDescent="0.3">
      <c r="A181" t="s">
        <v>365</v>
      </c>
      <c r="B181" s="5">
        <v>42116</v>
      </c>
      <c r="C181" t="s">
        <v>11</v>
      </c>
      <c r="D181" t="s">
        <v>45</v>
      </c>
      <c r="E181" t="s">
        <v>13</v>
      </c>
      <c r="F181" t="s">
        <v>66</v>
      </c>
      <c r="G181">
        <v>55</v>
      </c>
      <c r="H181">
        <v>4</v>
      </c>
      <c r="I181">
        <v>220</v>
      </c>
      <c r="J181" t="s">
        <v>26</v>
      </c>
    </row>
    <row r="182" spans="1:10" x14ac:dyDescent="0.3">
      <c r="A182" t="s">
        <v>366</v>
      </c>
      <c r="B182" s="5">
        <v>42121</v>
      </c>
      <c r="C182" t="s">
        <v>31</v>
      </c>
      <c r="D182" t="s">
        <v>24</v>
      </c>
      <c r="E182" t="s">
        <v>34</v>
      </c>
      <c r="F182" t="s">
        <v>64</v>
      </c>
      <c r="G182">
        <v>9.65</v>
      </c>
      <c r="H182">
        <v>10</v>
      </c>
      <c r="I182">
        <v>96.5</v>
      </c>
      <c r="J182" t="s">
        <v>26</v>
      </c>
    </row>
    <row r="183" spans="1:10" x14ac:dyDescent="0.3">
      <c r="A183" t="s">
        <v>367</v>
      </c>
      <c r="B183" s="5">
        <v>42121</v>
      </c>
      <c r="C183" t="s">
        <v>20</v>
      </c>
      <c r="D183" t="s">
        <v>24</v>
      </c>
      <c r="E183" t="s">
        <v>17</v>
      </c>
      <c r="F183" t="s">
        <v>72</v>
      </c>
      <c r="G183">
        <v>18</v>
      </c>
      <c r="H183">
        <v>3</v>
      </c>
      <c r="I183">
        <v>54</v>
      </c>
      <c r="J183" t="s">
        <v>26</v>
      </c>
    </row>
    <row r="184" spans="1:10" x14ac:dyDescent="0.3">
      <c r="A184" t="s">
        <v>368</v>
      </c>
      <c r="B184" s="5">
        <v>42121</v>
      </c>
      <c r="C184" t="s">
        <v>11</v>
      </c>
      <c r="D184" t="s">
        <v>24</v>
      </c>
      <c r="E184" t="s">
        <v>34</v>
      </c>
      <c r="F184" t="s">
        <v>43</v>
      </c>
      <c r="G184">
        <v>12.5</v>
      </c>
      <c r="H184">
        <v>60</v>
      </c>
      <c r="I184">
        <v>750</v>
      </c>
      <c r="J184" t="s">
        <v>26</v>
      </c>
    </row>
    <row r="185" spans="1:10" x14ac:dyDescent="0.3">
      <c r="A185" t="s">
        <v>369</v>
      </c>
      <c r="B185" s="5">
        <v>42123</v>
      </c>
      <c r="C185" t="s">
        <v>28</v>
      </c>
      <c r="D185" t="s">
        <v>45</v>
      </c>
      <c r="E185" t="s">
        <v>51</v>
      </c>
      <c r="F185" t="s">
        <v>118</v>
      </c>
      <c r="G185">
        <v>39</v>
      </c>
      <c r="H185">
        <v>25</v>
      </c>
      <c r="I185">
        <v>975</v>
      </c>
      <c r="J185" t="s">
        <v>26</v>
      </c>
    </row>
    <row r="186" spans="1:10" x14ac:dyDescent="0.3">
      <c r="A186" t="s">
        <v>370</v>
      </c>
      <c r="B186" s="5">
        <v>42123</v>
      </c>
      <c r="C186" t="s">
        <v>20</v>
      </c>
      <c r="D186" t="s">
        <v>45</v>
      </c>
      <c r="E186" t="s">
        <v>17</v>
      </c>
      <c r="F186" t="s">
        <v>54</v>
      </c>
      <c r="G186">
        <v>26</v>
      </c>
      <c r="H186">
        <v>18</v>
      </c>
      <c r="I186">
        <v>468</v>
      </c>
      <c r="J186" t="s">
        <v>26</v>
      </c>
    </row>
    <row r="187" spans="1:10" x14ac:dyDescent="0.3">
      <c r="A187" t="s">
        <v>371</v>
      </c>
      <c r="B187" s="5">
        <v>42123</v>
      </c>
      <c r="C187" t="s">
        <v>28</v>
      </c>
      <c r="D187" t="s">
        <v>45</v>
      </c>
      <c r="E187" t="s">
        <v>13</v>
      </c>
      <c r="F187" t="s">
        <v>14</v>
      </c>
      <c r="G187">
        <v>9.65</v>
      </c>
      <c r="H187">
        <v>6</v>
      </c>
      <c r="I187">
        <v>57.900000000000006</v>
      </c>
      <c r="J187" t="s">
        <v>26</v>
      </c>
    </row>
    <row r="188" spans="1:10" x14ac:dyDescent="0.3">
      <c r="A188" t="s">
        <v>372</v>
      </c>
      <c r="B188" s="5">
        <v>42123</v>
      </c>
      <c r="C188" t="s">
        <v>20</v>
      </c>
      <c r="D188" t="s">
        <v>45</v>
      </c>
      <c r="E188" t="s">
        <v>34</v>
      </c>
      <c r="F188" t="s">
        <v>35</v>
      </c>
      <c r="G188">
        <v>81</v>
      </c>
      <c r="H188">
        <v>15</v>
      </c>
      <c r="I188">
        <v>1215</v>
      </c>
      <c r="J188" t="s">
        <v>26</v>
      </c>
    </row>
    <row r="189" spans="1:10" x14ac:dyDescent="0.3">
      <c r="A189" t="s">
        <v>373</v>
      </c>
      <c r="B189" s="5">
        <v>42130</v>
      </c>
      <c r="C189" t="s">
        <v>31</v>
      </c>
      <c r="D189" t="s">
        <v>24</v>
      </c>
      <c r="E189" t="s">
        <v>13</v>
      </c>
      <c r="F189" t="s">
        <v>66</v>
      </c>
      <c r="G189">
        <v>55</v>
      </c>
      <c r="H189">
        <v>50</v>
      </c>
      <c r="I189">
        <v>2750</v>
      </c>
      <c r="J189" t="s">
        <v>15</v>
      </c>
    </row>
    <row r="190" spans="1:10" x14ac:dyDescent="0.3">
      <c r="A190" t="s">
        <v>374</v>
      </c>
      <c r="B190" s="5">
        <v>42131</v>
      </c>
      <c r="C190" t="s">
        <v>28</v>
      </c>
      <c r="D190" t="s">
        <v>45</v>
      </c>
      <c r="E190" t="s">
        <v>21</v>
      </c>
      <c r="F190" t="s">
        <v>375</v>
      </c>
      <c r="G190">
        <v>17</v>
      </c>
      <c r="H190">
        <v>24</v>
      </c>
      <c r="I190">
        <v>408</v>
      </c>
      <c r="J190" t="s">
        <v>26</v>
      </c>
    </row>
    <row r="191" spans="1:10" x14ac:dyDescent="0.3">
      <c r="A191" t="s">
        <v>376</v>
      </c>
      <c r="B191" s="5">
        <v>42131</v>
      </c>
      <c r="C191" t="s">
        <v>20</v>
      </c>
      <c r="D191" t="s">
        <v>45</v>
      </c>
      <c r="E191" t="s">
        <v>34</v>
      </c>
      <c r="F191" t="s">
        <v>64</v>
      </c>
      <c r="G191">
        <v>25.89</v>
      </c>
      <c r="H191">
        <v>15</v>
      </c>
      <c r="I191">
        <v>388.35</v>
      </c>
      <c r="J191" t="s">
        <v>26</v>
      </c>
    </row>
    <row r="192" spans="1:10" x14ac:dyDescent="0.3">
      <c r="A192" t="s">
        <v>377</v>
      </c>
      <c r="B192" s="5">
        <v>42137</v>
      </c>
      <c r="C192" t="s">
        <v>28</v>
      </c>
      <c r="D192" t="s">
        <v>45</v>
      </c>
      <c r="E192" t="s">
        <v>17</v>
      </c>
      <c r="F192" t="s">
        <v>54</v>
      </c>
      <c r="G192">
        <v>15</v>
      </c>
      <c r="H192">
        <v>7</v>
      </c>
      <c r="I192">
        <v>105</v>
      </c>
      <c r="J192" t="s">
        <v>26</v>
      </c>
    </row>
    <row r="193" spans="1:10" x14ac:dyDescent="0.3">
      <c r="A193" t="s">
        <v>378</v>
      </c>
      <c r="B193" s="5">
        <v>42137</v>
      </c>
      <c r="C193" t="s">
        <v>11</v>
      </c>
      <c r="D193" t="s">
        <v>45</v>
      </c>
      <c r="E193" t="s">
        <v>13</v>
      </c>
      <c r="F193" t="s">
        <v>56</v>
      </c>
      <c r="G193">
        <v>34.799999999999997</v>
      </c>
      <c r="H193">
        <v>1</v>
      </c>
      <c r="I193">
        <v>34.799999999999997</v>
      </c>
      <c r="J193" t="s">
        <v>26</v>
      </c>
    </row>
    <row r="194" spans="1:10" x14ac:dyDescent="0.3">
      <c r="A194" t="s">
        <v>379</v>
      </c>
      <c r="B194" s="5">
        <v>42138</v>
      </c>
      <c r="C194" t="s">
        <v>20</v>
      </c>
      <c r="D194" t="s">
        <v>45</v>
      </c>
      <c r="E194" t="s">
        <v>13</v>
      </c>
      <c r="F194" t="s">
        <v>113</v>
      </c>
      <c r="G194">
        <v>2.5</v>
      </c>
      <c r="H194">
        <v>15</v>
      </c>
      <c r="I194">
        <v>37.5</v>
      </c>
      <c r="J194" t="s">
        <v>26</v>
      </c>
    </row>
    <row r="195" spans="1:10" x14ac:dyDescent="0.3">
      <c r="A195" t="s">
        <v>380</v>
      </c>
      <c r="B195" s="5">
        <v>42138</v>
      </c>
      <c r="C195" t="s">
        <v>28</v>
      </c>
      <c r="D195" t="s">
        <v>45</v>
      </c>
      <c r="E195" t="s">
        <v>34</v>
      </c>
      <c r="F195" t="s">
        <v>64</v>
      </c>
      <c r="G195">
        <v>6</v>
      </c>
      <c r="H195">
        <v>8</v>
      </c>
      <c r="I195">
        <v>48</v>
      </c>
      <c r="J195" t="s">
        <v>26</v>
      </c>
    </row>
    <row r="196" spans="1:10" x14ac:dyDescent="0.3">
      <c r="A196" t="s">
        <v>381</v>
      </c>
      <c r="B196" s="5">
        <v>42138</v>
      </c>
      <c r="C196" t="s">
        <v>20</v>
      </c>
      <c r="D196" t="s">
        <v>45</v>
      </c>
      <c r="E196" t="s">
        <v>34</v>
      </c>
      <c r="F196" t="s">
        <v>241</v>
      </c>
      <c r="G196">
        <v>10</v>
      </c>
      <c r="H196">
        <v>15</v>
      </c>
      <c r="I196">
        <v>150</v>
      </c>
      <c r="J196" t="s">
        <v>26</v>
      </c>
    </row>
    <row r="197" spans="1:10" x14ac:dyDescent="0.3">
      <c r="A197" t="s">
        <v>382</v>
      </c>
      <c r="B197" s="5">
        <v>42138</v>
      </c>
      <c r="C197" t="s">
        <v>28</v>
      </c>
      <c r="D197" t="s">
        <v>45</v>
      </c>
      <c r="E197" t="s">
        <v>34</v>
      </c>
      <c r="F197" t="s">
        <v>75</v>
      </c>
      <c r="G197">
        <v>20</v>
      </c>
      <c r="H197">
        <v>6</v>
      </c>
      <c r="I197">
        <v>120</v>
      </c>
      <c r="J197" t="s">
        <v>26</v>
      </c>
    </row>
    <row r="198" spans="1:10" x14ac:dyDescent="0.3">
      <c r="A198" t="s">
        <v>383</v>
      </c>
      <c r="B198" s="5">
        <v>42141</v>
      </c>
      <c r="C198" t="s">
        <v>20</v>
      </c>
      <c r="D198" t="s">
        <v>24</v>
      </c>
      <c r="E198" t="s">
        <v>17</v>
      </c>
      <c r="F198" t="s">
        <v>32</v>
      </c>
      <c r="G198">
        <v>263.5</v>
      </c>
      <c r="H198">
        <v>4</v>
      </c>
      <c r="I198">
        <v>1054</v>
      </c>
      <c r="J198" t="s">
        <v>15</v>
      </c>
    </row>
    <row r="199" spans="1:10" x14ac:dyDescent="0.3">
      <c r="A199" t="s">
        <v>127</v>
      </c>
      <c r="B199" s="5">
        <v>42141</v>
      </c>
      <c r="C199" t="s">
        <v>20</v>
      </c>
      <c r="D199" t="s">
        <v>12</v>
      </c>
      <c r="E199" t="s">
        <v>17</v>
      </c>
      <c r="F199" t="s">
        <v>128</v>
      </c>
      <c r="G199">
        <v>4.5</v>
      </c>
      <c r="H199">
        <v>35</v>
      </c>
      <c r="I199">
        <v>157.5</v>
      </c>
      <c r="J199" t="s">
        <v>15</v>
      </c>
    </row>
    <row r="200" spans="1:10" x14ac:dyDescent="0.3">
      <c r="A200" t="s">
        <v>384</v>
      </c>
      <c r="B200" s="5">
        <v>42141</v>
      </c>
      <c r="C200" t="s">
        <v>31</v>
      </c>
      <c r="D200" t="s">
        <v>12</v>
      </c>
      <c r="E200" t="s">
        <v>21</v>
      </c>
      <c r="F200" t="s">
        <v>87</v>
      </c>
      <c r="G200">
        <v>21.05</v>
      </c>
      <c r="H200">
        <v>36</v>
      </c>
      <c r="I200">
        <v>757.80000000000007</v>
      </c>
      <c r="J200" t="s">
        <v>15</v>
      </c>
    </row>
    <row r="201" spans="1:10" x14ac:dyDescent="0.3">
      <c r="A201" t="s">
        <v>385</v>
      </c>
      <c r="B201" s="5">
        <v>42145</v>
      </c>
      <c r="C201" t="s">
        <v>28</v>
      </c>
      <c r="D201" t="s">
        <v>45</v>
      </c>
      <c r="E201" t="s">
        <v>13</v>
      </c>
      <c r="F201" t="s">
        <v>121</v>
      </c>
      <c r="G201">
        <v>32</v>
      </c>
      <c r="H201">
        <v>24</v>
      </c>
      <c r="I201">
        <v>768</v>
      </c>
      <c r="J201" t="s">
        <v>26</v>
      </c>
    </row>
    <row r="202" spans="1:10" x14ac:dyDescent="0.3">
      <c r="A202" t="s">
        <v>386</v>
      </c>
      <c r="B202" s="5">
        <v>42145</v>
      </c>
      <c r="C202" t="s">
        <v>11</v>
      </c>
      <c r="D202" t="s">
        <v>45</v>
      </c>
      <c r="E202" t="s">
        <v>21</v>
      </c>
      <c r="F202" t="s">
        <v>22</v>
      </c>
      <c r="G202">
        <v>19</v>
      </c>
      <c r="H202">
        <v>60</v>
      </c>
      <c r="I202">
        <v>1140</v>
      </c>
      <c r="J202" t="s">
        <v>26</v>
      </c>
    </row>
    <row r="203" spans="1:10" x14ac:dyDescent="0.3">
      <c r="A203" t="s">
        <v>387</v>
      </c>
      <c r="B203" s="5">
        <v>42150</v>
      </c>
      <c r="C203" t="s">
        <v>31</v>
      </c>
      <c r="D203" t="s">
        <v>85</v>
      </c>
      <c r="E203" t="s">
        <v>51</v>
      </c>
      <c r="F203" t="s">
        <v>118</v>
      </c>
      <c r="G203">
        <v>39</v>
      </c>
      <c r="H203">
        <v>8</v>
      </c>
      <c r="I203">
        <v>312</v>
      </c>
      <c r="J203" t="s">
        <v>26</v>
      </c>
    </row>
    <row r="204" spans="1:10" x14ac:dyDescent="0.3">
      <c r="A204" t="s">
        <v>388</v>
      </c>
      <c r="B204" s="5">
        <v>42150</v>
      </c>
      <c r="C204" t="s">
        <v>20</v>
      </c>
      <c r="D204" t="s">
        <v>85</v>
      </c>
      <c r="E204" t="s">
        <v>21</v>
      </c>
      <c r="F204" t="s">
        <v>22</v>
      </c>
      <c r="G204">
        <v>28.5</v>
      </c>
      <c r="H204">
        <v>10</v>
      </c>
      <c r="I204">
        <v>285</v>
      </c>
      <c r="J204" t="s">
        <v>26</v>
      </c>
    </row>
    <row r="205" spans="1:10" x14ac:dyDescent="0.3">
      <c r="A205" t="s">
        <v>389</v>
      </c>
      <c r="B205" s="5">
        <v>42150</v>
      </c>
      <c r="C205" t="s">
        <v>20</v>
      </c>
      <c r="D205" t="s">
        <v>85</v>
      </c>
      <c r="E205" t="s">
        <v>34</v>
      </c>
      <c r="F205" t="s">
        <v>188</v>
      </c>
      <c r="G205">
        <v>9.1999999999999993</v>
      </c>
      <c r="H205">
        <v>10</v>
      </c>
      <c r="I205">
        <v>92</v>
      </c>
      <c r="J205" t="s">
        <v>26</v>
      </c>
    </row>
    <row r="206" spans="1:10" x14ac:dyDescent="0.3">
      <c r="A206" t="s">
        <v>390</v>
      </c>
      <c r="B206" s="5">
        <v>42150</v>
      </c>
      <c r="C206" t="s">
        <v>31</v>
      </c>
      <c r="D206" t="s">
        <v>85</v>
      </c>
      <c r="E206" t="s">
        <v>34</v>
      </c>
      <c r="F206" t="s">
        <v>241</v>
      </c>
      <c r="G206">
        <v>10</v>
      </c>
      <c r="H206">
        <v>6</v>
      </c>
      <c r="I206">
        <v>60</v>
      </c>
      <c r="J206" t="s">
        <v>26</v>
      </c>
    </row>
    <row r="207" spans="1:10" x14ac:dyDescent="0.3">
      <c r="A207" t="s">
        <v>391</v>
      </c>
      <c r="B207" s="5">
        <v>42157</v>
      </c>
      <c r="C207" t="s">
        <v>20</v>
      </c>
      <c r="D207" t="s">
        <v>45</v>
      </c>
      <c r="E207" t="s">
        <v>51</v>
      </c>
      <c r="F207" t="s">
        <v>138</v>
      </c>
      <c r="G207">
        <v>32.799999999999997</v>
      </c>
      <c r="H207">
        <v>18</v>
      </c>
      <c r="I207">
        <v>590.4</v>
      </c>
      <c r="J207" t="s">
        <v>26</v>
      </c>
    </row>
    <row r="208" spans="1:10" x14ac:dyDescent="0.3">
      <c r="A208" t="s">
        <v>392</v>
      </c>
      <c r="B208" s="5">
        <v>42157</v>
      </c>
      <c r="C208" t="s">
        <v>20</v>
      </c>
      <c r="D208" t="s">
        <v>45</v>
      </c>
      <c r="E208" t="s">
        <v>34</v>
      </c>
      <c r="F208" t="s">
        <v>64</v>
      </c>
      <c r="G208">
        <v>53</v>
      </c>
      <c r="H208">
        <v>20</v>
      </c>
      <c r="I208">
        <v>1060</v>
      </c>
      <c r="J208" t="s">
        <v>26</v>
      </c>
    </row>
    <row r="209" spans="1:10" x14ac:dyDescent="0.3">
      <c r="A209" t="s">
        <v>393</v>
      </c>
      <c r="B209" s="5">
        <v>42157</v>
      </c>
      <c r="C209" t="s">
        <v>11</v>
      </c>
      <c r="D209" t="s">
        <v>45</v>
      </c>
      <c r="E209" t="s">
        <v>13</v>
      </c>
      <c r="F209" t="s">
        <v>14</v>
      </c>
      <c r="G209">
        <v>7</v>
      </c>
      <c r="H209">
        <v>30</v>
      </c>
      <c r="I209">
        <v>210</v>
      </c>
      <c r="J209" t="s">
        <v>26</v>
      </c>
    </row>
    <row r="210" spans="1:10" x14ac:dyDescent="0.3">
      <c r="A210" t="s">
        <v>394</v>
      </c>
      <c r="B210" s="5">
        <v>42157</v>
      </c>
      <c r="C210" t="s">
        <v>28</v>
      </c>
      <c r="D210" t="s">
        <v>45</v>
      </c>
      <c r="E210" t="s">
        <v>17</v>
      </c>
      <c r="F210" t="s">
        <v>54</v>
      </c>
      <c r="G210">
        <v>15</v>
      </c>
      <c r="H210">
        <v>3</v>
      </c>
      <c r="I210">
        <v>45</v>
      </c>
      <c r="J210" t="s">
        <v>26</v>
      </c>
    </row>
    <row r="211" spans="1:10" x14ac:dyDescent="0.3">
      <c r="A211" t="s">
        <v>426</v>
      </c>
      <c r="B211" s="5">
        <v>42242</v>
      </c>
      <c r="C211" t="s">
        <v>20</v>
      </c>
      <c r="D211" t="s">
        <v>12</v>
      </c>
      <c r="E211" t="s">
        <v>21</v>
      </c>
      <c r="F211" t="s">
        <v>22</v>
      </c>
      <c r="G211">
        <v>21</v>
      </c>
      <c r="H211">
        <v>15</v>
      </c>
      <c r="I211">
        <v>315</v>
      </c>
      <c r="J211" t="s">
        <v>26</v>
      </c>
    </row>
    <row r="212" spans="1:10" x14ac:dyDescent="0.3">
      <c r="A212" t="s">
        <v>427</v>
      </c>
      <c r="B212" s="5">
        <v>42243</v>
      </c>
      <c r="C212" t="s">
        <v>20</v>
      </c>
      <c r="D212" t="s">
        <v>12</v>
      </c>
      <c r="E212" t="s">
        <v>51</v>
      </c>
      <c r="F212" t="s">
        <v>268</v>
      </c>
      <c r="G212">
        <v>7.45</v>
      </c>
      <c r="H212">
        <v>30</v>
      </c>
      <c r="I212">
        <v>223.5</v>
      </c>
      <c r="J212" t="s">
        <v>26</v>
      </c>
    </row>
    <row r="213" spans="1:10" x14ac:dyDescent="0.3">
      <c r="A213" t="s">
        <v>428</v>
      </c>
      <c r="B213" s="5">
        <v>42243</v>
      </c>
      <c r="C213" t="s">
        <v>31</v>
      </c>
      <c r="D213" t="s">
        <v>12</v>
      </c>
      <c r="E213" t="s">
        <v>51</v>
      </c>
      <c r="F213" t="s">
        <v>138</v>
      </c>
      <c r="G213">
        <v>32.799999999999997</v>
      </c>
      <c r="H213">
        <v>25</v>
      </c>
      <c r="I213">
        <v>819.99999999999989</v>
      </c>
      <c r="J213" t="s">
        <v>26</v>
      </c>
    </row>
    <row r="214" spans="1:10" x14ac:dyDescent="0.3">
      <c r="A214" t="s">
        <v>429</v>
      </c>
      <c r="B214" s="5">
        <v>42243</v>
      </c>
      <c r="C214" t="s">
        <v>20</v>
      </c>
      <c r="D214" t="s">
        <v>12</v>
      </c>
      <c r="E214" t="s">
        <v>17</v>
      </c>
      <c r="F214" t="s">
        <v>54</v>
      </c>
      <c r="G214">
        <v>25.89</v>
      </c>
      <c r="H214">
        <v>30</v>
      </c>
      <c r="I214">
        <v>776.7</v>
      </c>
      <c r="J214" t="s">
        <v>26</v>
      </c>
    </row>
    <row r="215" spans="1:10" x14ac:dyDescent="0.3">
      <c r="A215" t="s">
        <v>430</v>
      </c>
      <c r="B215" s="5">
        <v>42246</v>
      </c>
      <c r="C215" t="s">
        <v>11</v>
      </c>
      <c r="D215" t="s">
        <v>12</v>
      </c>
      <c r="E215" t="s">
        <v>17</v>
      </c>
      <c r="F215" t="s">
        <v>54</v>
      </c>
      <c r="G215">
        <v>14</v>
      </c>
      <c r="H215">
        <v>20</v>
      </c>
      <c r="I215">
        <v>280</v>
      </c>
      <c r="J215" t="s">
        <v>26</v>
      </c>
    </row>
    <row r="216" spans="1:10" x14ac:dyDescent="0.3">
      <c r="A216" t="s">
        <v>431</v>
      </c>
      <c r="B216" s="5">
        <v>42246</v>
      </c>
      <c r="C216" t="s">
        <v>31</v>
      </c>
      <c r="D216" t="s">
        <v>12</v>
      </c>
      <c r="E216" t="s">
        <v>21</v>
      </c>
      <c r="F216" t="s">
        <v>22</v>
      </c>
      <c r="G216">
        <v>25.89</v>
      </c>
      <c r="H216">
        <v>2</v>
      </c>
      <c r="I216">
        <v>51.78</v>
      </c>
      <c r="J216" t="s">
        <v>26</v>
      </c>
    </row>
    <row r="217" spans="1:10" x14ac:dyDescent="0.3">
      <c r="A217" t="s">
        <v>432</v>
      </c>
      <c r="B217" s="5">
        <v>42250</v>
      </c>
      <c r="C217" t="s">
        <v>11</v>
      </c>
      <c r="D217" t="s">
        <v>12</v>
      </c>
      <c r="E217" t="s">
        <v>17</v>
      </c>
      <c r="F217" t="s">
        <v>54</v>
      </c>
      <c r="G217">
        <v>15</v>
      </c>
      <c r="H217">
        <v>40</v>
      </c>
      <c r="I217">
        <v>600</v>
      </c>
      <c r="J217" t="s">
        <v>26</v>
      </c>
    </row>
    <row r="218" spans="1:10" x14ac:dyDescent="0.3">
      <c r="A218" t="s">
        <v>358</v>
      </c>
      <c r="B218" s="5">
        <v>42250</v>
      </c>
      <c r="C218" t="s">
        <v>31</v>
      </c>
      <c r="D218" t="s">
        <v>12</v>
      </c>
      <c r="E218" t="s">
        <v>13</v>
      </c>
      <c r="F218" t="s">
        <v>99</v>
      </c>
      <c r="G218">
        <v>12.5</v>
      </c>
      <c r="H218">
        <v>20</v>
      </c>
      <c r="I218">
        <v>250</v>
      </c>
      <c r="J218" t="s">
        <v>26</v>
      </c>
    </row>
    <row r="219" spans="1:10" x14ac:dyDescent="0.3">
      <c r="A219" t="s">
        <v>433</v>
      </c>
      <c r="B219" s="5">
        <v>42250</v>
      </c>
      <c r="C219" t="s">
        <v>31</v>
      </c>
      <c r="D219" t="s">
        <v>12</v>
      </c>
      <c r="E219" t="s">
        <v>17</v>
      </c>
      <c r="F219" t="s">
        <v>54</v>
      </c>
      <c r="G219">
        <v>18.399999999999999</v>
      </c>
      <c r="H219">
        <v>24</v>
      </c>
      <c r="I219">
        <v>441.59999999999997</v>
      </c>
      <c r="J219" t="s">
        <v>26</v>
      </c>
    </row>
    <row r="220" spans="1:10" x14ac:dyDescent="0.3">
      <c r="A220" t="s">
        <v>434</v>
      </c>
      <c r="B220" s="5">
        <v>42263</v>
      </c>
      <c r="C220" t="s">
        <v>28</v>
      </c>
      <c r="D220" t="s">
        <v>45</v>
      </c>
      <c r="E220" t="s">
        <v>21</v>
      </c>
      <c r="F220" t="s">
        <v>22</v>
      </c>
      <c r="G220">
        <v>9</v>
      </c>
      <c r="H220">
        <v>5</v>
      </c>
      <c r="I220">
        <v>45</v>
      </c>
      <c r="J220" t="s">
        <v>26</v>
      </c>
    </row>
    <row r="221" spans="1:10" x14ac:dyDescent="0.3">
      <c r="A221" t="s">
        <v>435</v>
      </c>
      <c r="B221" s="5">
        <v>42274</v>
      </c>
      <c r="C221" t="s">
        <v>11</v>
      </c>
      <c r="D221" t="s">
        <v>12</v>
      </c>
      <c r="E221" t="s">
        <v>17</v>
      </c>
      <c r="F221" t="s">
        <v>54</v>
      </c>
      <c r="G221">
        <v>31</v>
      </c>
      <c r="H221">
        <v>20</v>
      </c>
      <c r="I221">
        <v>620</v>
      </c>
      <c r="J221" t="s">
        <v>26</v>
      </c>
    </row>
    <row r="222" spans="1:10" x14ac:dyDescent="0.3">
      <c r="A222" t="s">
        <v>436</v>
      </c>
      <c r="B222" s="5">
        <v>42274</v>
      </c>
      <c r="C222" t="s">
        <v>20</v>
      </c>
      <c r="D222" t="s">
        <v>12</v>
      </c>
      <c r="E222" t="s">
        <v>34</v>
      </c>
      <c r="F222" t="s">
        <v>136</v>
      </c>
      <c r="G222">
        <v>9.5</v>
      </c>
      <c r="H222">
        <v>15</v>
      </c>
      <c r="I222">
        <v>142.5</v>
      </c>
      <c r="J222" t="s">
        <v>26</v>
      </c>
    </row>
    <row r="223" spans="1:10" x14ac:dyDescent="0.3">
      <c r="A223" t="s">
        <v>437</v>
      </c>
      <c r="B223" s="5">
        <v>42277</v>
      </c>
      <c r="C223" t="s">
        <v>20</v>
      </c>
      <c r="D223" t="s">
        <v>12</v>
      </c>
      <c r="E223" t="s">
        <v>21</v>
      </c>
      <c r="F223" t="s">
        <v>97</v>
      </c>
      <c r="G223">
        <v>13</v>
      </c>
      <c r="H223">
        <v>30</v>
      </c>
      <c r="I223">
        <v>390</v>
      </c>
      <c r="J223" t="s">
        <v>15</v>
      </c>
    </row>
    <row r="224" spans="1:10" x14ac:dyDescent="0.3">
      <c r="A224" t="s">
        <v>438</v>
      </c>
      <c r="B224" s="5">
        <v>42277</v>
      </c>
      <c r="C224" t="s">
        <v>31</v>
      </c>
      <c r="D224" t="s">
        <v>12</v>
      </c>
      <c r="E224" t="s">
        <v>51</v>
      </c>
      <c r="F224" t="s">
        <v>81</v>
      </c>
      <c r="G224">
        <v>38</v>
      </c>
      <c r="H224">
        <v>20</v>
      </c>
      <c r="I224">
        <v>760</v>
      </c>
      <c r="J224" t="s">
        <v>15</v>
      </c>
    </row>
    <row r="225" spans="1:10" x14ac:dyDescent="0.3">
      <c r="A225" t="s">
        <v>127</v>
      </c>
      <c r="B225" s="5">
        <v>42289</v>
      </c>
      <c r="C225" t="s">
        <v>20</v>
      </c>
      <c r="D225" t="s">
        <v>12</v>
      </c>
      <c r="E225" t="s">
        <v>17</v>
      </c>
      <c r="F225" t="s">
        <v>128</v>
      </c>
      <c r="G225">
        <v>4.5</v>
      </c>
      <c r="H225">
        <v>35</v>
      </c>
      <c r="I225">
        <v>157.5</v>
      </c>
      <c r="J225" t="s">
        <v>15</v>
      </c>
    </row>
    <row r="226" spans="1:10" x14ac:dyDescent="0.3">
      <c r="A226" t="s">
        <v>439</v>
      </c>
      <c r="B226" s="5">
        <v>42289</v>
      </c>
      <c r="C226" t="s">
        <v>11</v>
      </c>
      <c r="D226" t="s">
        <v>12</v>
      </c>
      <c r="E226" t="s">
        <v>21</v>
      </c>
      <c r="F226" t="s">
        <v>111</v>
      </c>
      <c r="G226">
        <v>22</v>
      </c>
      <c r="H226">
        <v>6</v>
      </c>
      <c r="I226">
        <v>132</v>
      </c>
      <c r="J226" t="s">
        <v>15</v>
      </c>
    </row>
    <row r="227" spans="1:10" x14ac:dyDescent="0.3">
      <c r="A227" t="s">
        <v>440</v>
      </c>
      <c r="B227" s="5">
        <v>42289</v>
      </c>
      <c r="C227" t="s">
        <v>31</v>
      </c>
      <c r="D227" t="s">
        <v>12</v>
      </c>
      <c r="E227" t="s">
        <v>34</v>
      </c>
      <c r="F227" t="s">
        <v>339</v>
      </c>
      <c r="G227">
        <v>12.75</v>
      </c>
      <c r="H227">
        <v>24</v>
      </c>
      <c r="I227">
        <v>306</v>
      </c>
      <c r="J227" t="s">
        <v>15</v>
      </c>
    </row>
    <row r="228" spans="1:10" x14ac:dyDescent="0.3">
      <c r="A228" t="s">
        <v>441</v>
      </c>
      <c r="B228" s="5">
        <v>42291</v>
      </c>
      <c r="C228" t="s">
        <v>11</v>
      </c>
      <c r="D228" t="s">
        <v>45</v>
      </c>
      <c r="E228" t="s">
        <v>17</v>
      </c>
      <c r="F228" t="s">
        <v>54</v>
      </c>
      <c r="G228">
        <v>15</v>
      </c>
      <c r="H228">
        <v>28</v>
      </c>
      <c r="I228">
        <v>420</v>
      </c>
      <c r="J228" t="s">
        <v>26</v>
      </c>
    </row>
    <row r="229" spans="1:10" x14ac:dyDescent="0.3">
      <c r="A229" t="s">
        <v>442</v>
      </c>
      <c r="B229" s="5">
        <v>42291</v>
      </c>
      <c r="C229" t="s">
        <v>20</v>
      </c>
      <c r="D229" t="s">
        <v>45</v>
      </c>
      <c r="E229" t="s">
        <v>51</v>
      </c>
      <c r="F229" t="s">
        <v>81</v>
      </c>
      <c r="G229">
        <v>24</v>
      </c>
      <c r="H229">
        <v>21</v>
      </c>
      <c r="I229">
        <v>504</v>
      </c>
      <c r="J229" t="s">
        <v>26</v>
      </c>
    </row>
    <row r="230" spans="1:10" x14ac:dyDescent="0.3">
      <c r="A230" t="s">
        <v>443</v>
      </c>
      <c r="B230" s="5">
        <v>42291</v>
      </c>
      <c r="C230" t="s">
        <v>11</v>
      </c>
      <c r="D230" t="s">
        <v>45</v>
      </c>
      <c r="E230" t="s">
        <v>34</v>
      </c>
      <c r="F230" t="s">
        <v>64</v>
      </c>
      <c r="G230">
        <v>19.5</v>
      </c>
      <c r="H230">
        <v>40</v>
      </c>
      <c r="I230">
        <v>780</v>
      </c>
      <c r="J230" t="s">
        <v>26</v>
      </c>
    </row>
    <row r="231" spans="1:10" x14ac:dyDescent="0.3">
      <c r="A231" t="s">
        <v>444</v>
      </c>
      <c r="B231" s="5">
        <v>42292</v>
      </c>
      <c r="C231" t="s">
        <v>11</v>
      </c>
      <c r="D231" t="s">
        <v>12</v>
      </c>
      <c r="E231" t="s">
        <v>21</v>
      </c>
      <c r="F231" t="s">
        <v>47</v>
      </c>
      <c r="G231">
        <v>40</v>
      </c>
      <c r="H231">
        <v>40</v>
      </c>
      <c r="I231">
        <v>1600</v>
      </c>
      <c r="J231" t="s">
        <v>26</v>
      </c>
    </row>
    <row r="232" spans="1:10" x14ac:dyDescent="0.3">
      <c r="A232" t="s">
        <v>445</v>
      </c>
      <c r="B232" s="5">
        <v>42292</v>
      </c>
      <c r="C232" t="s">
        <v>11</v>
      </c>
      <c r="D232" t="s">
        <v>12</v>
      </c>
      <c r="E232" t="s">
        <v>34</v>
      </c>
      <c r="F232" t="s">
        <v>64</v>
      </c>
      <c r="G232">
        <v>53</v>
      </c>
      <c r="H232">
        <v>28</v>
      </c>
      <c r="I232">
        <v>1484</v>
      </c>
      <c r="J232" t="s">
        <v>26</v>
      </c>
    </row>
    <row r="233" spans="1:10" x14ac:dyDescent="0.3">
      <c r="A233" t="s">
        <v>446</v>
      </c>
      <c r="B233" s="5">
        <v>42292</v>
      </c>
      <c r="C233" t="s">
        <v>20</v>
      </c>
      <c r="D233" t="s">
        <v>12</v>
      </c>
      <c r="E233" t="s">
        <v>13</v>
      </c>
      <c r="F233" t="s">
        <v>41</v>
      </c>
      <c r="G233">
        <v>34</v>
      </c>
      <c r="H233">
        <v>10</v>
      </c>
      <c r="I233">
        <v>340</v>
      </c>
      <c r="J233" t="s">
        <v>26</v>
      </c>
    </row>
    <row r="234" spans="1:10" x14ac:dyDescent="0.3">
      <c r="A234" t="s">
        <v>447</v>
      </c>
      <c r="B234" s="5">
        <v>42299</v>
      </c>
      <c r="C234" t="s">
        <v>28</v>
      </c>
      <c r="D234" t="s">
        <v>24</v>
      </c>
      <c r="E234" t="s">
        <v>21</v>
      </c>
      <c r="F234" t="s">
        <v>22</v>
      </c>
      <c r="G234">
        <v>28.5</v>
      </c>
      <c r="H234">
        <v>10</v>
      </c>
      <c r="I234">
        <v>285</v>
      </c>
      <c r="J234" t="s">
        <v>26</v>
      </c>
    </row>
    <row r="235" spans="1:10" x14ac:dyDescent="0.3">
      <c r="A235" t="s">
        <v>448</v>
      </c>
      <c r="B235" s="5">
        <v>42299</v>
      </c>
      <c r="C235" t="s">
        <v>20</v>
      </c>
      <c r="D235" t="s">
        <v>24</v>
      </c>
      <c r="E235" t="s">
        <v>34</v>
      </c>
      <c r="F235" t="s">
        <v>241</v>
      </c>
      <c r="G235">
        <v>10</v>
      </c>
      <c r="H235">
        <v>5</v>
      </c>
      <c r="I235">
        <v>50</v>
      </c>
      <c r="J235" t="s">
        <v>26</v>
      </c>
    </row>
    <row r="236" spans="1:10" x14ac:dyDescent="0.3">
      <c r="A236" t="s">
        <v>449</v>
      </c>
      <c r="B236" s="5">
        <v>42303</v>
      </c>
      <c r="C236" t="s">
        <v>28</v>
      </c>
      <c r="D236" t="s">
        <v>12</v>
      </c>
      <c r="E236" t="s">
        <v>17</v>
      </c>
      <c r="F236" t="s">
        <v>72</v>
      </c>
      <c r="G236">
        <v>18</v>
      </c>
      <c r="H236">
        <v>21</v>
      </c>
      <c r="I236">
        <v>378</v>
      </c>
      <c r="J236" t="s">
        <v>26</v>
      </c>
    </row>
    <row r="237" spans="1:10" x14ac:dyDescent="0.3">
      <c r="A237" t="s">
        <v>450</v>
      </c>
      <c r="B237" s="5">
        <v>42303</v>
      </c>
      <c r="C237" t="s">
        <v>11</v>
      </c>
      <c r="D237" t="s">
        <v>12</v>
      </c>
      <c r="E237" t="s">
        <v>13</v>
      </c>
      <c r="F237" t="s">
        <v>124</v>
      </c>
      <c r="G237">
        <v>21.5</v>
      </c>
      <c r="H237">
        <v>8</v>
      </c>
      <c r="I237">
        <v>172</v>
      </c>
      <c r="J237" t="s">
        <v>26</v>
      </c>
    </row>
    <row r="238" spans="1:10" x14ac:dyDescent="0.3">
      <c r="A238" t="s">
        <v>451</v>
      </c>
      <c r="B238" s="5">
        <v>42306</v>
      </c>
      <c r="C238" t="s">
        <v>11</v>
      </c>
      <c r="D238" t="s">
        <v>12</v>
      </c>
      <c r="E238" t="s">
        <v>51</v>
      </c>
      <c r="F238" t="s">
        <v>81</v>
      </c>
      <c r="G238">
        <v>24</v>
      </c>
      <c r="H238">
        <v>6</v>
      </c>
      <c r="I238">
        <v>144</v>
      </c>
      <c r="J238" t="s">
        <v>26</v>
      </c>
    </row>
    <row r="239" spans="1:10" x14ac:dyDescent="0.3">
      <c r="A239" t="s">
        <v>452</v>
      </c>
      <c r="B239" s="5">
        <v>42306</v>
      </c>
      <c r="C239" t="s">
        <v>20</v>
      </c>
      <c r="D239" t="s">
        <v>12</v>
      </c>
      <c r="E239" t="s">
        <v>51</v>
      </c>
      <c r="F239" t="s">
        <v>81</v>
      </c>
      <c r="G239">
        <v>7</v>
      </c>
      <c r="H239">
        <v>4</v>
      </c>
      <c r="I239">
        <v>28</v>
      </c>
      <c r="J239" t="s">
        <v>26</v>
      </c>
    </row>
    <row r="240" spans="1:10" x14ac:dyDescent="0.3">
      <c r="A240" t="s">
        <v>453</v>
      </c>
      <c r="B240" s="5">
        <v>42306</v>
      </c>
      <c r="C240" t="s">
        <v>28</v>
      </c>
      <c r="D240" t="s">
        <v>12</v>
      </c>
      <c r="E240" t="s">
        <v>51</v>
      </c>
      <c r="F240" t="s">
        <v>81</v>
      </c>
      <c r="G240">
        <v>9.65</v>
      </c>
      <c r="H240">
        <v>12</v>
      </c>
      <c r="I240">
        <v>115.80000000000001</v>
      </c>
      <c r="J240" t="s">
        <v>26</v>
      </c>
    </row>
    <row r="241" spans="1:10" x14ac:dyDescent="0.3">
      <c r="A241" t="s">
        <v>454</v>
      </c>
      <c r="B241" s="5">
        <v>42309</v>
      </c>
      <c r="C241" t="s">
        <v>28</v>
      </c>
      <c r="D241" t="s">
        <v>45</v>
      </c>
      <c r="E241" t="s">
        <v>13</v>
      </c>
      <c r="F241" t="s">
        <v>14</v>
      </c>
      <c r="G241">
        <v>21</v>
      </c>
      <c r="H241">
        <v>5</v>
      </c>
      <c r="I241">
        <v>105</v>
      </c>
      <c r="J241" t="s">
        <v>15</v>
      </c>
    </row>
    <row r="242" spans="1:10" x14ac:dyDescent="0.3">
      <c r="A242" t="s">
        <v>455</v>
      </c>
      <c r="B242" s="5">
        <v>42310</v>
      </c>
      <c r="C242" t="s">
        <v>28</v>
      </c>
      <c r="D242" t="s">
        <v>12</v>
      </c>
      <c r="E242" t="s">
        <v>51</v>
      </c>
      <c r="F242" t="s">
        <v>81</v>
      </c>
      <c r="G242">
        <v>24</v>
      </c>
      <c r="H242">
        <v>12</v>
      </c>
      <c r="I242">
        <v>288</v>
      </c>
      <c r="J242" t="s">
        <v>26</v>
      </c>
    </row>
    <row r="243" spans="1:10" x14ac:dyDescent="0.3">
      <c r="A243" t="s">
        <v>456</v>
      </c>
      <c r="B243" s="5">
        <v>42310</v>
      </c>
      <c r="C243" t="s">
        <v>28</v>
      </c>
      <c r="D243" t="s">
        <v>12</v>
      </c>
      <c r="E243" t="s">
        <v>21</v>
      </c>
      <c r="F243" t="s">
        <v>22</v>
      </c>
      <c r="G243">
        <v>25.89</v>
      </c>
      <c r="H243">
        <v>15</v>
      </c>
      <c r="I243">
        <v>388.35</v>
      </c>
      <c r="J243" t="s">
        <v>26</v>
      </c>
    </row>
    <row r="244" spans="1:10" x14ac:dyDescent="0.3">
      <c r="A244" t="s">
        <v>457</v>
      </c>
      <c r="B244" s="5">
        <v>42310</v>
      </c>
      <c r="C244" t="s">
        <v>11</v>
      </c>
      <c r="D244" t="s">
        <v>12</v>
      </c>
      <c r="E244" t="s">
        <v>51</v>
      </c>
      <c r="F244" t="s">
        <v>81</v>
      </c>
      <c r="G244">
        <v>18.399999999999999</v>
      </c>
      <c r="H244">
        <v>6</v>
      </c>
      <c r="I244">
        <v>110.39999999999999</v>
      </c>
      <c r="J244" t="s">
        <v>26</v>
      </c>
    </row>
    <row r="245" spans="1:10" x14ac:dyDescent="0.3">
      <c r="A245" t="s">
        <v>458</v>
      </c>
      <c r="B245" s="5">
        <v>42313</v>
      </c>
      <c r="C245" t="s">
        <v>20</v>
      </c>
      <c r="D245" t="s">
        <v>12</v>
      </c>
      <c r="E245" t="s">
        <v>17</v>
      </c>
      <c r="F245" t="s">
        <v>134</v>
      </c>
      <c r="G245">
        <v>18</v>
      </c>
      <c r="H245">
        <v>20</v>
      </c>
      <c r="I245">
        <v>360</v>
      </c>
      <c r="J245" t="s">
        <v>26</v>
      </c>
    </row>
    <row r="246" spans="1:10" x14ac:dyDescent="0.3">
      <c r="A246" t="s">
        <v>459</v>
      </c>
      <c r="B246" s="5">
        <v>42313</v>
      </c>
      <c r="C246" t="s">
        <v>11</v>
      </c>
      <c r="D246" t="s">
        <v>12</v>
      </c>
      <c r="E246" t="s">
        <v>21</v>
      </c>
      <c r="F246" t="s">
        <v>39</v>
      </c>
      <c r="G246">
        <v>25</v>
      </c>
      <c r="H246">
        <v>30</v>
      </c>
      <c r="I246">
        <v>750</v>
      </c>
      <c r="J246" t="s">
        <v>26</v>
      </c>
    </row>
    <row r="247" spans="1:10" x14ac:dyDescent="0.3">
      <c r="A247" t="s">
        <v>624</v>
      </c>
      <c r="B247" s="5">
        <v>42321</v>
      </c>
      <c r="C247" t="s">
        <v>31</v>
      </c>
      <c r="D247" t="s">
        <v>45</v>
      </c>
      <c r="E247" t="s">
        <v>17</v>
      </c>
      <c r="F247" t="s">
        <v>134</v>
      </c>
      <c r="G247">
        <v>18</v>
      </c>
      <c r="H247">
        <v>60</v>
      </c>
      <c r="I247">
        <v>1080</v>
      </c>
      <c r="J247" t="s">
        <v>26</v>
      </c>
    </row>
    <row r="248" spans="1:10" x14ac:dyDescent="0.3">
      <c r="A248" t="s">
        <v>625</v>
      </c>
      <c r="B248" s="5">
        <v>42321</v>
      </c>
      <c r="C248" t="s">
        <v>11</v>
      </c>
      <c r="D248" t="s">
        <v>45</v>
      </c>
      <c r="E248" t="s">
        <v>34</v>
      </c>
      <c r="F248" t="s">
        <v>64</v>
      </c>
      <c r="G248">
        <v>38</v>
      </c>
      <c r="H248">
        <v>30</v>
      </c>
      <c r="I248">
        <v>1140</v>
      </c>
      <c r="J248" t="s">
        <v>26</v>
      </c>
    </row>
    <row r="249" spans="1:10" x14ac:dyDescent="0.3">
      <c r="A249" t="s">
        <v>626</v>
      </c>
      <c r="B249" s="5">
        <v>42321</v>
      </c>
      <c r="C249" t="s">
        <v>28</v>
      </c>
      <c r="D249" t="s">
        <v>45</v>
      </c>
      <c r="E249" t="s">
        <v>13</v>
      </c>
      <c r="F249" t="s">
        <v>66</v>
      </c>
      <c r="G249">
        <v>55</v>
      </c>
      <c r="H249">
        <v>36</v>
      </c>
      <c r="I249">
        <v>1980</v>
      </c>
      <c r="J249" t="s">
        <v>26</v>
      </c>
    </row>
    <row r="250" spans="1:10" x14ac:dyDescent="0.3">
      <c r="A250" t="s">
        <v>627</v>
      </c>
      <c r="B250" s="5">
        <v>42325</v>
      </c>
      <c r="C250" t="s">
        <v>28</v>
      </c>
      <c r="D250" t="s">
        <v>45</v>
      </c>
      <c r="E250" t="s">
        <v>17</v>
      </c>
      <c r="F250" t="s">
        <v>79</v>
      </c>
      <c r="G250">
        <v>18</v>
      </c>
      <c r="H250">
        <v>32</v>
      </c>
      <c r="I250">
        <v>576</v>
      </c>
      <c r="J250" t="s">
        <v>26</v>
      </c>
    </row>
    <row r="251" spans="1:10" x14ac:dyDescent="0.3">
      <c r="A251" t="s">
        <v>628</v>
      </c>
      <c r="B251" s="5">
        <v>42325</v>
      </c>
      <c r="C251" t="s">
        <v>11</v>
      </c>
      <c r="D251" t="s">
        <v>45</v>
      </c>
      <c r="E251" t="s">
        <v>13</v>
      </c>
      <c r="F251" t="s">
        <v>186</v>
      </c>
      <c r="G251">
        <v>36</v>
      </c>
      <c r="H251">
        <v>15</v>
      </c>
      <c r="I251">
        <v>540</v>
      </c>
      <c r="J251" t="s">
        <v>26</v>
      </c>
    </row>
    <row r="252" spans="1:10" x14ac:dyDescent="0.3">
      <c r="A252" t="s">
        <v>629</v>
      </c>
      <c r="B252" s="5">
        <v>42339</v>
      </c>
      <c r="C252" t="s">
        <v>28</v>
      </c>
      <c r="D252" t="s">
        <v>45</v>
      </c>
      <c r="E252" t="s">
        <v>13</v>
      </c>
      <c r="F252" t="s">
        <v>14</v>
      </c>
      <c r="G252">
        <v>21</v>
      </c>
      <c r="H252">
        <v>16</v>
      </c>
      <c r="I252">
        <v>336</v>
      </c>
      <c r="J252" t="s">
        <v>26</v>
      </c>
    </row>
    <row r="253" spans="1:10" x14ac:dyDescent="0.3">
      <c r="A253" t="s">
        <v>630</v>
      </c>
      <c r="B253" s="5">
        <v>42339</v>
      </c>
      <c r="C253" t="s">
        <v>11</v>
      </c>
      <c r="D253" t="s">
        <v>45</v>
      </c>
      <c r="E253" t="s">
        <v>13</v>
      </c>
      <c r="F253" t="s">
        <v>99</v>
      </c>
      <c r="G253">
        <v>12.5</v>
      </c>
      <c r="H253">
        <v>150</v>
      </c>
      <c r="I253">
        <v>1875</v>
      </c>
      <c r="J253" t="s">
        <v>26</v>
      </c>
    </row>
    <row r="254" spans="1:10" x14ac:dyDescent="0.3">
      <c r="A254" t="s">
        <v>631</v>
      </c>
      <c r="B254" s="5">
        <v>42339</v>
      </c>
      <c r="C254" t="s">
        <v>28</v>
      </c>
      <c r="D254" t="s">
        <v>45</v>
      </c>
      <c r="E254" t="s">
        <v>13</v>
      </c>
      <c r="F254" t="s">
        <v>124</v>
      </c>
      <c r="G254">
        <v>21.5</v>
      </c>
      <c r="H254">
        <v>108</v>
      </c>
      <c r="I254">
        <v>2322</v>
      </c>
      <c r="J254" t="s">
        <v>26</v>
      </c>
    </row>
    <row r="255" spans="1:10" x14ac:dyDescent="0.3">
      <c r="A255" t="s">
        <v>632</v>
      </c>
      <c r="B255" s="5">
        <v>42340</v>
      </c>
      <c r="C255" t="s">
        <v>20</v>
      </c>
      <c r="D255" t="s">
        <v>12</v>
      </c>
      <c r="E255" t="s">
        <v>13</v>
      </c>
      <c r="F255" t="s">
        <v>14</v>
      </c>
      <c r="G255">
        <v>21</v>
      </c>
      <c r="H255">
        <v>45</v>
      </c>
      <c r="I255">
        <v>945</v>
      </c>
      <c r="J255" t="s">
        <v>26</v>
      </c>
    </row>
    <row r="256" spans="1:10" x14ac:dyDescent="0.3">
      <c r="A256" t="s">
        <v>633</v>
      </c>
      <c r="B256" s="5">
        <v>42346</v>
      </c>
      <c r="C256" t="s">
        <v>20</v>
      </c>
      <c r="D256" t="s">
        <v>12</v>
      </c>
      <c r="E256" t="s">
        <v>51</v>
      </c>
      <c r="F256" t="s">
        <v>81</v>
      </c>
      <c r="G256">
        <v>14</v>
      </c>
      <c r="H256">
        <v>100</v>
      </c>
      <c r="I256">
        <v>1400</v>
      </c>
      <c r="J256" t="s">
        <v>26</v>
      </c>
    </row>
    <row r="257" spans="1:10" x14ac:dyDescent="0.3">
      <c r="A257" t="s">
        <v>634</v>
      </c>
      <c r="B257" s="5">
        <v>42348</v>
      </c>
      <c r="C257" t="s">
        <v>31</v>
      </c>
      <c r="D257" t="s">
        <v>24</v>
      </c>
      <c r="E257" t="s">
        <v>13</v>
      </c>
      <c r="F257" t="s">
        <v>99</v>
      </c>
      <c r="G257">
        <v>12.5</v>
      </c>
      <c r="H257">
        <v>4</v>
      </c>
      <c r="I257">
        <v>50</v>
      </c>
      <c r="J257" t="s">
        <v>26</v>
      </c>
    </row>
    <row r="258" spans="1:10" x14ac:dyDescent="0.3">
      <c r="A258" t="s">
        <v>635</v>
      </c>
      <c r="B258" s="5">
        <v>42349</v>
      </c>
      <c r="C258" t="s">
        <v>11</v>
      </c>
      <c r="D258" t="s">
        <v>12</v>
      </c>
      <c r="E258" t="s">
        <v>17</v>
      </c>
      <c r="F258" t="s">
        <v>32</v>
      </c>
      <c r="G258">
        <v>263.5</v>
      </c>
      <c r="H258">
        <v>50</v>
      </c>
      <c r="I258">
        <v>13175</v>
      </c>
      <c r="J258" t="s">
        <v>26</v>
      </c>
    </row>
    <row r="259" spans="1:10" x14ac:dyDescent="0.3">
      <c r="A259" t="s">
        <v>636</v>
      </c>
      <c r="B259" s="5">
        <v>42349</v>
      </c>
      <c r="C259" t="s">
        <v>11</v>
      </c>
      <c r="D259" t="s">
        <v>12</v>
      </c>
      <c r="E259" t="s">
        <v>13</v>
      </c>
      <c r="F259" t="s">
        <v>99</v>
      </c>
      <c r="G259">
        <v>12.5</v>
      </c>
      <c r="H259">
        <v>80</v>
      </c>
      <c r="I259">
        <v>1000</v>
      </c>
      <c r="J259" t="s">
        <v>26</v>
      </c>
    </row>
    <row r="260" spans="1:10" x14ac:dyDescent="0.3">
      <c r="A260" t="s">
        <v>474</v>
      </c>
      <c r="B260" s="5">
        <v>42350</v>
      </c>
      <c r="C260" t="s">
        <v>20</v>
      </c>
      <c r="D260" t="s">
        <v>12</v>
      </c>
      <c r="E260" t="s">
        <v>21</v>
      </c>
      <c r="F260" t="s">
        <v>47</v>
      </c>
      <c r="G260">
        <v>40</v>
      </c>
      <c r="H260">
        <v>180</v>
      </c>
      <c r="I260">
        <v>7200</v>
      </c>
      <c r="J260" t="s">
        <v>15</v>
      </c>
    </row>
    <row r="261" spans="1:10" x14ac:dyDescent="0.3">
      <c r="A261" t="s">
        <v>637</v>
      </c>
      <c r="B261" s="5">
        <v>42350</v>
      </c>
      <c r="C261" t="s">
        <v>28</v>
      </c>
      <c r="D261" t="s">
        <v>12</v>
      </c>
      <c r="E261" t="s">
        <v>21</v>
      </c>
      <c r="F261" t="s">
        <v>22</v>
      </c>
      <c r="G261">
        <v>25.89</v>
      </c>
      <c r="H261">
        <v>120</v>
      </c>
      <c r="I261">
        <v>3106.8</v>
      </c>
      <c r="J261" t="s">
        <v>15</v>
      </c>
    </row>
    <row r="262" spans="1:10" x14ac:dyDescent="0.3">
      <c r="A262" t="s">
        <v>638</v>
      </c>
      <c r="B262" s="5">
        <v>42353</v>
      </c>
      <c r="C262" t="s">
        <v>31</v>
      </c>
      <c r="D262" t="s">
        <v>12</v>
      </c>
      <c r="E262" t="s">
        <v>17</v>
      </c>
      <c r="F262" t="s">
        <v>54</v>
      </c>
      <c r="G262">
        <v>30</v>
      </c>
      <c r="H262">
        <v>18</v>
      </c>
      <c r="I262">
        <v>540</v>
      </c>
      <c r="J262" t="s">
        <v>15</v>
      </c>
    </row>
    <row r="263" spans="1:10" x14ac:dyDescent="0.3">
      <c r="A263" t="s">
        <v>639</v>
      </c>
      <c r="B263" s="5">
        <v>42353</v>
      </c>
      <c r="C263" t="s">
        <v>20</v>
      </c>
      <c r="D263" t="s">
        <v>12</v>
      </c>
      <c r="E263" t="s">
        <v>21</v>
      </c>
      <c r="F263" t="s">
        <v>22</v>
      </c>
      <c r="G263">
        <v>38</v>
      </c>
      <c r="H263">
        <v>180</v>
      </c>
      <c r="I263">
        <v>6840</v>
      </c>
      <c r="J263" t="s">
        <v>15</v>
      </c>
    </row>
    <row r="264" spans="1:10" x14ac:dyDescent="0.3">
      <c r="A264" t="s">
        <v>640</v>
      </c>
      <c r="B264" s="5">
        <v>42355</v>
      </c>
      <c r="C264" t="s">
        <v>11</v>
      </c>
      <c r="D264" t="s">
        <v>12</v>
      </c>
      <c r="E264" t="s">
        <v>51</v>
      </c>
      <c r="F264" t="s">
        <v>268</v>
      </c>
      <c r="G264">
        <v>7.45</v>
      </c>
      <c r="H264">
        <v>24</v>
      </c>
      <c r="I264">
        <v>178.8</v>
      </c>
      <c r="J264" t="s">
        <v>15</v>
      </c>
    </row>
    <row r="265" spans="1:10" x14ac:dyDescent="0.3">
      <c r="A265" t="s">
        <v>479</v>
      </c>
      <c r="B265" s="5">
        <v>42355</v>
      </c>
      <c r="C265" t="s">
        <v>11</v>
      </c>
      <c r="D265" t="s">
        <v>12</v>
      </c>
      <c r="E265" t="s">
        <v>51</v>
      </c>
      <c r="F265" t="s">
        <v>81</v>
      </c>
      <c r="G265">
        <v>23.25</v>
      </c>
      <c r="H265">
        <v>15</v>
      </c>
      <c r="I265">
        <v>348.75</v>
      </c>
      <c r="J265" t="s">
        <v>15</v>
      </c>
    </row>
    <row r="266" spans="1:10" x14ac:dyDescent="0.3">
      <c r="A266" t="s">
        <v>641</v>
      </c>
      <c r="B266" s="5">
        <v>42355</v>
      </c>
      <c r="C266" t="s">
        <v>28</v>
      </c>
      <c r="D266" t="s">
        <v>45</v>
      </c>
      <c r="E266" t="s">
        <v>17</v>
      </c>
      <c r="F266" t="s">
        <v>54</v>
      </c>
      <c r="G266">
        <v>7</v>
      </c>
      <c r="H266">
        <v>56</v>
      </c>
      <c r="I266">
        <v>392</v>
      </c>
      <c r="J266" t="s">
        <v>26</v>
      </c>
    </row>
    <row r="267" spans="1:10" x14ac:dyDescent="0.3">
      <c r="A267" t="s">
        <v>642</v>
      </c>
      <c r="B267" s="5">
        <v>42355</v>
      </c>
      <c r="C267" t="s">
        <v>28</v>
      </c>
      <c r="D267" t="s">
        <v>45</v>
      </c>
      <c r="E267" t="s">
        <v>51</v>
      </c>
      <c r="F267" t="s">
        <v>81</v>
      </c>
      <c r="G267">
        <v>9.65</v>
      </c>
      <c r="H267">
        <v>98</v>
      </c>
      <c r="I267">
        <v>945.7</v>
      </c>
      <c r="J267" t="s">
        <v>26</v>
      </c>
    </row>
    <row r="268" spans="1:10" x14ac:dyDescent="0.3">
      <c r="A268" t="s">
        <v>482</v>
      </c>
      <c r="B268" s="5">
        <v>42357</v>
      </c>
      <c r="C268" t="s">
        <v>31</v>
      </c>
      <c r="D268" t="s">
        <v>45</v>
      </c>
      <c r="E268" t="s">
        <v>13</v>
      </c>
      <c r="F268" t="s">
        <v>56</v>
      </c>
      <c r="G268">
        <v>34.799999999999997</v>
      </c>
      <c r="H268">
        <v>10</v>
      </c>
      <c r="I268">
        <v>348</v>
      </c>
      <c r="J268" t="s">
        <v>15</v>
      </c>
    </row>
    <row r="269" spans="1:10" x14ac:dyDescent="0.3">
      <c r="A269" t="s">
        <v>483</v>
      </c>
      <c r="B269" s="5">
        <v>42357</v>
      </c>
      <c r="C269" t="s">
        <v>28</v>
      </c>
      <c r="D269" t="s">
        <v>45</v>
      </c>
      <c r="E269" t="s">
        <v>34</v>
      </c>
      <c r="F269" t="s">
        <v>90</v>
      </c>
      <c r="G269">
        <v>49.3</v>
      </c>
      <c r="H269">
        <v>2</v>
      </c>
      <c r="I269">
        <v>98.6</v>
      </c>
      <c r="J269" t="s">
        <v>15</v>
      </c>
    </row>
    <row r="270" spans="1:10" x14ac:dyDescent="0.3">
      <c r="A270" t="s">
        <v>643</v>
      </c>
      <c r="B270" s="5">
        <v>42357</v>
      </c>
      <c r="C270" t="s">
        <v>28</v>
      </c>
      <c r="D270" t="s">
        <v>45</v>
      </c>
      <c r="E270" t="s">
        <v>51</v>
      </c>
      <c r="F270" t="s">
        <v>268</v>
      </c>
      <c r="G270">
        <v>7.45</v>
      </c>
      <c r="H270">
        <v>56</v>
      </c>
      <c r="I270">
        <v>417.2</v>
      </c>
      <c r="J270" t="s">
        <v>26</v>
      </c>
    </row>
    <row r="271" spans="1:10" x14ac:dyDescent="0.3">
      <c r="A271" t="s">
        <v>644</v>
      </c>
      <c r="B271" s="5">
        <v>42357</v>
      </c>
      <c r="C271" t="s">
        <v>31</v>
      </c>
      <c r="D271" t="s">
        <v>45</v>
      </c>
      <c r="E271" t="s">
        <v>34</v>
      </c>
      <c r="F271" t="s">
        <v>64</v>
      </c>
      <c r="G271">
        <v>53</v>
      </c>
      <c r="H271">
        <v>40</v>
      </c>
      <c r="I271">
        <v>2120</v>
      </c>
      <c r="J271" t="s">
        <v>26</v>
      </c>
    </row>
    <row r="272" spans="1:10" x14ac:dyDescent="0.3">
      <c r="A272" t="s">
        <v>645</v>
      </c>
      <c r="B272" s="5">
        <v>42357</v>
      </c>
      <c r="C272" t="s">
        <v>20</v>
      </c>
      <c r="D272" t="s">
        <v>45</v>
      </c>
      <c r="E272" t="s">
        <v>13</v>
      </c>
      <c r="F272" t="s">
        <v>14</v>
      </c>
      <c r="G272">
        <v>21</v>
      </c>
      <c r="H272">
        <v>350</v>
      </c>
      <c r="I272">
        <v>7350</v>
      </c>
      <c r="J272" t="s">
        <v>26</v>
      </c>
    </row>
    <row r="273" spans="1:10" x14ac:dyDescent="0.3">
      <c r="A273" t="s">
        <v>646</v>
      </c>
      <c r="B273" s="5">
        <v>42360</v>
      </c>
      <c r="C273" t="s">
        <v>11</v>
      </c>
      <c r="D273" t="s">
        <v>85</v>
      </c>
      <c r="E273" t="s">
        <v>51</v>
      </c>
      <c r="F273" t="s">
        <v>118</v>
      </c>
      <c r="G273">
        <v>39</v>
      </c>
      <c r="H273">
        <v>120</v>
      </c>
      <c r="I273">
        <v>4680</v>
      </c>
      <c r="J273" t="s">
        <v>26</v>
      </c>
    </row>
    <row r="274" spans="1:10" x14ac:dyDescent="0.3">
      <c r="A274" t="s">
        <v>647</v>
      </c>
      <c r="B274" s="5">
        <v>42360</v>
      </c>
      <c r="C274" t="s">
        <v>11</v>
      </c>
      <c r="D274" t="s">
        <v>85</v>
      </c>
      <c r="E274" t="s">
        <v>51</v>
      </c>
      <c r="F274" t="s">
        <v>52</v>
      </c>
      <c r="G274">
        <v>123.79</v>
      </c>
      <c r="H274">
        <v>180</v>
      </c>
      <c r="I274">
        <v>22282.2</v>
      </c>
      <c r="J274" t="s">
        <v>26</v>
      </c>
    </row>
    <row r="275" spans="1:10" x14ac:dyDescent="0.3">
      <c r="A275" t="s">
        <v>648</v>
      </c>
      <c r="B275" s="5">
        <v>42361</v>
      </c>
      <c r="C275" t="s">
        <v>20</v>
      </c>
      <c r="D275" t="s">
        <v>12</v>
      </c>
      <c r="E275" t="s">
        <v>13</v>
      </c>
      <c r="F275" t="s">
        <v>66</v>
      </c>
      <c r="G275">
        <v>55</v>
      </c>
      <c r="H275">
        <v>135</v>
      </c>
      <c r="I275">
        <v>7425</v>
      </c>
      <c r="J275" t="s">
        <v>15</v>
      </c>
    </row>
    <row r="276" spans="1:10" x14ac:dyDescent="0.3">
      <c r="A276" t="s">
        <v>649</v>
      </c>
      <c r="B276" s="5">
        <v>42361</v>
      </c>
      <c r="C276" t="s">
        <v>11</v>
      </c>
      <c r="D276" t="s">
        <v>12</v>
      </c>
      <c r="E276" t="s">
        <v>34</v>
      </c>
      <c r="F276" t="s">
        <v>188</v>
      </c>
      <c r="G276">
        <v>9.1999999999999993</v>
      </c>
      <c r="H276">
        <v>216</v>
      </c>
      <c r="I276">
        <v>1987.1999999999998</v>
      </c>
      <c r="J276" t="s">
        <v>15</v>
      </c>
    </row>
    <row r="277" spans="1:10" x14ac:dyDescent="0.3">
      <c r="A277" t="s">
        <v>650</v>
      </c>
      <c r="B277" s="5">
        <v>42361</v>
      </c>
      <c r="C277" t="s">
        <v>20</v>
      </c>
      <c r="D277" t="s">
        <v>12</v>
      </c>
      <c r="E277" t="s">
        <v>34</v>
      </c>
      <c r="F277" t="s">
        <v>68</v>
      </c>
      <c r="G277">
        <v>14</v>
      </c>
      <c r="H277">
        <v>75</v>
      </c>
      <c r="I277">
        <v>1050</v>
      </c>
      <c r="J277" t="s">
        <v>15</v>
      </c>
    </row>
    <row r="278" spans="1:10" x14ac:dyDescent="0.3">
      <c r="A278" t="s">
        <v>651</v>
      </c>
      <c r="B278" s="5">
        <v>42361</v>
      </c>
      <c r="C278" t="s">
        <v>28</v>
      </c>
      <c r="D278" t="s">
        <v>45</v>
      </c>
      <c r="E278" t="s">
        <v>51</v>
      </c>
      <c r="F278" t="s">
        <v>81</v>
      </c>
      <c r="G278">
        <v>45.6</v>
      </c>
      <c r="H278">
        <v>120</v>
      </c>
      <c r="I278">
        <v>5472</v>
      </c>
      <c r="J278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925F-79A3-4093-B54A-A4741F52901A}">
  <sheetPr codeName="Hoja2"/>
  <dimension ref="A1:BF610"/>
  <sheetViews>
    <sheetView topLeftCell="AM1" zoomScale="80" zoomScaleNormal="80" workbookViewId="0">
      <selection activeCell="BI15" sqref="BI15"/>
    </sheetView>
  </sheetViews>
  <sheetFormatPr baseColWidth="10" defaultRowHeight="14.4" x14ac:dyDescent="0.3"/>
  <cols>
    <col min="6" max="6" width="23.6640625" customWidth="1"/>
    <col min="9" max="9" width="17.88671875" customWidth="1"/>
    <col min="11" max="11" width="28.6640625" customWidth="1"/>
    <col min="14" max="14" width="15.44140625" customWidth="1"/>
    <col min="16" max="16" width="9.88671875" hidden="1" customWidth="1"/>
    <col min="17" max="19" width="0" hidden="1" customWidth="1"/>
    <col min="21" max="21" width="19" customWidth="1"/>
    <col min="44" max="44" width="22.33203125" customWidth="1"/>
    <col min="45" max="45" width="18.6640625" customWidth="1"/>
    <col min="48" max="48" width="38.6640625" customWidth="1"/>
    <col min="49" max="49" width="17.6640625" customWidth="1"/>
    <col min="56" max="56" width="20.88671875" customWidth="1"/>
    <col min="58" max="58" width="41.5546875" customWidth="1"/>
  </cols>
  <sheetData>
    <row r="1" spans="1:58" x14ac:dyDescent="0.3">
      <c r="A1" t="s">
        <v>0</v>
      </c>
      <c r="B1" s="5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</row>
    <row r="2" spans="1:58" x14ac:dyDescent="0.3">
      <c r="A2" t="s">
        <v>10</v>
      </c>
      <c r="B2" s="5">
        <v>42011</v>
      </c>
      <c r="C2" t="s">
        <v>11</v>
      </c>
      <c r="D2" t="s">
        <v>12</v>
      </c>
      <c r="E2" t="s">
        <v>13</v>
      </c>
      <c r="F2" t="s">
        <v>14</v>
      </c>
      <c r="G2">
        <v>7</v>
      </c>
      <c r="H2">
        <v>20</v>
      </c>
      <c r="I2" t="s">
        <v>15</v>
      </c>
      <c r="Q2" s="5"/>
    </row>
    <row r="3" spans="1:58" x14ac:dyDescent="0.3">
      <c r="A3" t="s">
        <v>16</v>
      </c>
      <c r="B3" s="5">
        <v>42015</v>
      </c>
      <c r="C3" t="s">
        <v>11</v>
      </c>
      <c r="D3" t="s">
        <v>12</v>
      </c>
      <c r="E3" t="s">
        <v>17</v>
      </c>
      <c r="F3" t="s">
        <v>18</v>
      </c>
      <c r="G3">
        <v>19</v>
      </c>
      <c r="H3">
        <v>12</v>
      </c>
      <c r="I3" t="s">
        <v>15</v>
      </c>
      <c r="P3" t="s">
        <v>0</v>
      </c>
      <c r="Q3" s="5"/>
    </row>
    <row r="4" spans="1:58" x14ac:dyDescent="0.3">
      <c r="A4" t="s">
        <v>19</v>
      </c>
      <c r="B4" s="5">
        <v>42015</v>
      </c>
      <c r="C4" t="s">
        <v>20</v>
      </c>
      <c r="D4" t="s">
        <v>12</v>
      </c>
      <c r="E4" t="s">
        <v>21</v>
      </c>
      <c r="F4" t="s">
        <v>22</v>
      </c>
      <c r="G4">
        <v>12</v>
      </c>
      <c r="H4">
        <v>35</v>
      </c>
      <c r="I4" t="s">
        <v>15</v>
      </c>
      <c r="P4" t="s">
        <v>10</v>
      </c>
      <c r="Q4" s="5"/>
    </row>
    <row r="5" spans="1:58" x14ac:dyDescent="0.3">
      <c r="A5" t="s">
        <v>23</v>
      </c>
      <c r="B5" s="5">
        <v>42017</v>
      </c>
      <c r="C5" t="s">
        <v>20</v>
      </c>
      <c r="D5" t="s">
        <v>24</v>
      </c>
      <c r="E5" t="s">
        <v>17</v>
      </c>
      <c r="F5" t="s">
        <v>25</v>
      </c>
      <c r="G5">
        <v>7.75</v>
      </c>
      <c r="H5">
        <v>20</v>
      </c>
      <c r="I5" t="s">
        <v>26</v>
      </c>
      <c r="K5" s="67"/>
      <c r="L5" s="80" t="s">
        <v>0</v>
      </c>
      <c r="N5" s="86" t="s">
        <v>0</v>
      </c>
      <c r="P5" t="s">
        <v>16</v>
      </c>
      <c r="Q5" s="5"/>
      <c r="Y5" s="80" t="s">
        <v>2</v>
      </c>
      <c r="AA5" s="86" t="s">
        <v>0</v>
      </c>
      <c r="AB5" s="86" t="s">
        <v>2</v>
      </c>
    </row>
    <row r="6" spans="1:58" x14ac:dyDescent="0.3">
      <c r="A6" t="s">
        <v>27</v>
      </c>
      <c r="B6" s="5">
        <v>42017</v>
      </c>
      <c r="C6" t="s">
        <v>28</v>
      </c>
      <c r="D6" t="s">
        <v>24</v>
      </c>
      <c r="E6" t="s">
        <v>17</v>
      </c>
      <c r="F6" t="s">
        <v>29</v>
      </c>
      <c r="G6">
        <v>46</v>
      </c>
      <c r="H6">
        <v>7</v>
      </c>
      <c r="I6" t="s">
        <v>26</v>
      </c>
      <c r="L6" t="s">
        <v>740</v>
      </c>
      <c r="N6" t="s">
        <v>10</v>
      </c>
      <c r="P6" t="s">
        <v>19</v>
      </c>
      <c r="Q6" s="5"/>
      <c r="Y6" t="s">
        <v>741</v>
      </c>
      <c r="AA6" t="s">
        <v>19</v>
      </c>
      <c r="AB6" t="s">
        <v>20</v>
      </c>
      <c r="AF6" s="80" t="s">
        <v>0</v>
      </c>
      <c r="AH6" s="86" t="s">
        <v>0</v>
      </c>
      <c r="BD6" s="80" t="s">
        <v>5</v>
      </c>
      <c r="BF6" s="86" t="s">
        <v>5</v>
      </c>
    </row>
    <row r="7" spans="1:58" x14ac:dyDescent="0.3">
      <c r="A7" t="s">
        <v>30</v>
      </c>
      <c r="B7" s="5">
        <v>42023</v>
      </c>
      <c r="C7" t="s">
        <v>31</v>
      </c>
      <c r="D7" t="s">
        <v>24</v>
      </c>
      <c r="E7" t="s">
        <v>17</v>
      </c>
      <c r="F7" t="s">
        <v>32</v>
      </c>
      <c r="G7">
        <v>263.5</v>
      </c>
      <c r="H7">
        <v>2</v>
      </c>
      <c r="I7" t="s">
        <v>15</v>
      </c>
      <c r="N7" t="s">
        <v>16</v>
      </c>
      <c r="P7" t="s">
        <v>36</v>
      </c>
      <c r="Q7" s="5"/>
      <c r="AA7" t="s">
        <v>23</v>
      </c>
      <c r="AB7" t="s">
        <v>20</v>
      </c>
      <c r="AF7" t="s">
        <v>742</v>
      </c>
      <c r="AH7" t="s">
        <v>40</v>
      </c>
      <c r="AQ7" s="80" t="s">
        <v>0</v>
      </c>
      <c r="AR7" s="80" t="s">
        <v>5</v>
      </c>
      <c r="AS7" s="80" t="s">
        <v>9</v>
      </c>
      <c r="AU7" s="86" t="s">
        <v>0</v>
      </c>
      <c r="AV7" s="86" t="s">
        <v>5</v>
      </c>
      <c r="AW7" s="86" t="s">
        <v>9</v>
      </c>
      <c r="BD7" t="s">
        <v>744</v>
      </c>
      <c r="BF7" t="s">
        <v>14</v>
      </c>
    </row>
    <row r="8" spans="1:58" x14ac:dyDescent="0.3">
      <c r="A8" t="s">
        <v>33</v>
      </c>
      <c r="B8" s="5">
        <v>42023</v>
      </c>
      <c r="C8" t="s">
        <v>20</v>
      </c>
      <c r="D8" t="s">
        <v>24</v>
      </c>
      <c r="E8" t="s">
        <v>34</v>
      </c>
      <c r="F8" t="s">
        <v>35</v>
      </c>
      <c r="G8">
        <v>81</v>
      </c>
      <c r="H8">
        <v>5</v>
      </c>
      <c r="I8" t="s">
        <v>15</v>
      </c>
      <c r="N8" t="s">
        <v>19</v>
      </c>
      <c r="P8" t="s">
        <v>38</v>
      </c>
      <c r="Q8" s="5"/>
      <c r="AA8" t="s">
        <v>33</v>
      </c>
      <c r="AB8" t="s">
        <v>20</v>
      </c>
      <c r="AH8" t="s">
        <v>73</v>
      </c>
      <c r="AQ8" t="s">
        <v>740</v>
      </c>
      <c r="AR8" t="s">
        <v>743</v>
      </c>
      <c r="AS8" t="s">
        <v>26</v>
      </c>
      <c r="AU8" t="s">
        <v>141</v>
      </c>
      <c r="AV8" t="s">
        <v>64</v>
      </c>
      <c r="AW8" t="s">
        <v>26</v>
      </c>
      <c r="BF8" t="s">
        <v>18</v>
      </c>
    </row>
    <row r="9" spans="1:58" x14ac:dyDescent="0.3">
      <c r="A9" t="s">
        <v>36</v>
      </c>
      <c r="B9" s="5">
        <v>42023</v>
      </c>
      <c r="C9" t="s">
        <v>20</v>
      </c>
      <c r="D9" t="s">
        <v>12</v>
      </c>
      <c r="E9" t="s">
        <v>17</v>
      </c>
      <c r="F9" t="s">
        <v>37</v>
      </c>
      <c r="G9">
        <v>18</v>
      </c>
      <c r="H9">
        <v>28</v>
      </c>
      <c r="I9" t="s">
        <v>26</v>
      </c>
      <c r="N9" t="s">
        <v>36</v>
      </c>
      <c r="P9" t="s">
        <v>40</v>
      </c>
      <c r="Q9" s="5"/>
      <c r="AA9" t="s">
        <v>36</v>
      </c>
      <c r="AB9" t="s">
        <v>20</v>
      </c>
      <c r="AH9" t="s">
        <v>129</v>
      </c>
      <c r="AU9" t="s">
        <v>187</v>
      </c>
      <c r="AV9" t="s">
        <v>188</v>
      </c>
      <c r="AW9" t="s">
        <v>26</v>
      </c>
      <c r="BF9" t="s">
        <v>22</v>
      </c>
    </row>
    <row r="10" spans="1:58" x14ac:dyDescent="0.3">
      <c r="A10" t="s">
        <v>38</v>
      </c>
      <c r="B10" s="5">
        <v>42023</v>
      </c>
      <c r="C10" t="s">
        <v>11</v>
      </c>
      <c r="D10" t="s">
        <v>12</v>
      </c>
      <c r="E10" t="s">
        <v>21</v>
      </c>
      <c r="F10" t="s">
        <v>39</v>
      </c>
      <c r="G10">
        <v>25</v>
      </c>
      <c r="H10">
        <v>6</v>
      </c>
      <c r="I10" t="s">
        <v>26</v>
      </c>
      <c r="N10" t="s">
        <v>38</v>
      </c>
      <c r="P10" t="s">
        <v>42</v>
      </c>
      <c r="Q10" s="5"/>
      <c r="AA10" t="s">
        <v>40</v>
      </c>
      <c r="AB10" t="s">
        <v>20</v>
      </c>
      <c r="AH10" t="s">
        <v>177</v>
      </c>
      <c r="AU10" t="s">
        <v>218</v>
      </c>
      <c r="AV10" t="s">
        <v>64</v>
      </c>
      <c r="AW10" t="s">
        <v>26</v>
      </c>
      <c r="BF10" t="s">
        <v>25</v>
      </c>
    </row>
    <row r="11" spans="1:58" x14ac:dyDescent="0.3">
      <c r="A11" t="s">
        <v>40</v>
      </c>
      <c r="B11" s="5">
        <v>42023</v>
      </c>
      <c r="C11" t="s">
        <v>20</v>
      </c>
      <c r="D11" t="s">
        <v>12</v>
      </c>
      <c r="E11" t="s">
        <v>13</v>
      </c>
      <c r="F11" t="s">
        <v>41</v>
      </c>
      <c r="G11">
        <v>34</v>
      </c>
      <c r="H11">
        <v>30</v>
      </c>
      <c r="I11" t="s">
        <v>26</v>
      </c>
      <c r="N11" t="s">
        <v>40</v>
      </c>
      <c r="P11" t="s">
        <v>50</v>
      </c>
      <c r="Q11" s="5"/>
      <c r="AA11" t="s">
        <v>49</v>
      </c>
      <c r="AB11" t="s">
        <v>20</v>
      </c>
      <c r="AH11" t="s">
        <v>232</v>
      </c>
      <c r="AU11" t="s">
        <v>233</v>
      </c>
      <c r="AV11" t="s">
        <v>64</v>
      </c>
      <c r="AW11" t="s">
        <v>26</v>
      </c>
      <c r="BF11" t="s">
        <v>29</v>
      </c>
    </row>
    <row r="12" spans="1:58" x14ac:dyDescent="0.3">
      <c r="A12" t="s">
        <v>42</v>
      </c>
      <c r="B12" s="5">
        <v>42023</v>
      </c>
      <c r="C12" t="s">
        <v>31</v>
      </c>
      <c r="D12" t="s">
        <v>12</v>
      </c>
      <c r="E12" t="s">
        <v>34</v>
      </c>
      <c r="F12" t="s">
        <v>43</v>
      </c>
      <c r="G12">
        <v>12.5</v>
      </c>
      <c r="H12">
        <v>24</v>
      </c>
      <c r="I12" t="s">
        <v>26</v>
      </c>
      <c r="N12" t="s">
        <v>42</v>
      </c>
      <c r="P12" t="s">
        <v>53</v>
      </c>
      <c r="Q12" s="5"/>
      <c r="AA12" t="s">
        <v>57</v>
      </c>
      <c r="AB12" t="s">
        <v>20</v>
      </c>
      <c r="AH12" t="s">
        <v>243</v>
      </c>
      <c r="AU12" t="s">
        <v>262</v>
      </c>
      <c r="AV12" t="s">
        <v>188</v>
      </c>
      <c r="AW12" t="s">
        <v>26</v>
      </c>
      <c r="BF12" t="s">
        <v>32</v>
      </c>
    </row>
    <row r="13" spans="1:58" x14ac:dyDescent="0.3">
      <c r="A13" t="s">
        <v>44</v>
      </c>
      <c r="B13" s="5">
        <v>42023</v>
      </c>
      <c r="C13" t="s">
        <v>31</v>
      </c>
      <c r="D13" t="s">
        <v>45</v>
      </c>
      <c r="E13" t="s">
        <v>17</v>
      </c>
      <c r="F13" t="s">
        <v>18</v>
      </c>
      <c r="G13">
        <v>19</v>
      </c>
      <c r="H13">
        <v>10</v>
      </c>
      <c r="I13" t="s">
        <v>15</v>
      </c>
      <c r="N13" t="s">
        <v>50</v>
      </c>
      <c r="P13" t="s">
        <v>55</v>
      </c>
      <c r="Q13" s="5"/>
      <c r="AA13" t="s">
        <v>73</v>
      </c>
      <c r="AB13" t="s">
        <v>20</v>
      </c>
      <c r="AH13" t="s">
        <v>248</v>
      </c>
      <c r="AU13" t="s">
        <v>281</v>
      </c>
      <c r="AV13" t="s">
        <v>68</v>
      </c>
      <c r="AW13" t="s">
        <v>26</v>
      </c>
      <c r="BF13" t="s">
        <v>35</v>
      </c>
    </row>
    <row r="14" spans="1:58" x14ac:dyDescent="0.3">
      <c r="A14" t="s">
        <v>46</v>
      </c>
      <c r="B14" s="5">
        <v>42023</v>
      </c>
      <c r="C14" t="s">
        <v>11</v>
      </c>
      <c r="D14" t="s">
        <v>45</v>
      </c>
      <c r="E14" t="s">
        <v>21</v>
      </c>
      <c r="F14" t="s">
        <v>47</v>
      </c>
      <c r="G14">
        <v>40</v>
      </c>
      <c r="H14">
        <v>20</v>
      </c>
      <c r="I14" t="s">
        <v>15</v>
      </c>
      <c r="N14" t="s">
        <v>53</v>
      </c>
      <c r="P14" t="s">
        <v>57</v>
      </c>
      <c r="Q14" s="5"/>
      <c r="AA14" t="s">
        <v>78</v>
      </c>
      <c r="AB14" t="s">
        <v>20</v>
      </c>
      <c r="AH14" t="s">
        <v>315</v>
      </c>
      <c r="AU14" t="s">
        <v>318</v>
      </c>
      <c r="AV14" t="s">
        <v>188</v>
      </c>
      <c r="AW14" t="s">
        <v>26</v>
      </c>
      <c r="BF14" t="s">
        <v>37</v>
      </c>
    </row>
    <row r="15" spans="1:58" x14ac:dyDescent="0.3">
      <c r="A15" t="s">
        <v>48</v>
      </c>
      <c r="B15" s="5">
        <v>42023</v>
      </c>
      <c r="C15" t="s">
        <v>11</v>
      </c>
      <c r="D15" t="s">
        <v>45</v>
      </c>
      <c r="E15" t="s">
        <v>13</v>
      </c>
      <c r="F15" t="s">
        <v>41</v>
      </c>
      <c r="G15">
        <v>34</v>
      </c>
      <c r="H15">
        <v>21</v>
      </c>
      <c r="I15" t="s">
        <v>15</v>
      </c>
      <c r="N15" t="s">
        <v>55</v>
      </c>
      <c r="P15" t="s">
        <v>62</v>
      </c>
      <c r="Q15" s="5"/>
      <c r="AA15" t="s">
        <v>80</v>
      </c>
      <c r="AB15" t="s">
        <v>20</v>
      </c>
      <c r="AH15" t="s">
        <v>334</v>
      </c>
      <c r="AU15" t="s">
        <v>335</v>
      </c>
      <c r="AV15" t="s">
        <v>188</v>
      </c>
      <c r="AW15" t="s">
        <v>26</v>
      </c>
      <c r="BF15" t="s">
        <v>39</v>
      </c>
    </row>
    <row r="16" spans="1:58" x14ac:dyDescent="0.3">
      <c r="A16" t="s">
        <v>49</v>
      </c>
      <c r="B16" s="5">
        <v>42023</v>
      </c>
      <c r="C16" t="s">
        <v>20</v>
      </c>
      <c r="D16" t="s">
        <v>45</v>
      </c>
      <c r="E16" t="s">
        <v>13</v>
      </c>
      <c r="F16" t="s">
        <v>14</v>
      </c>
      <c r="G16">
        <v>6</v>
      </c>
      <c r="H16">
        <v>10</v>
      </c>
      <c r="I16" t="s">
        <v>15</v>
      </c>
      <c r="N16" t="s">
        <v>57</v>
      </c>
      <c r="P16" t="s">
        <v>63</v>
      </c>
      <c r="Q16" s="63" t="s">
        <v>0</v>
      </c>
      <c r="R16" s="64" t="s">
        <v>2</v>
      </c>
      <c r="AA16" t="s">
        <v>84</v>
      </c>
      <c r="AB16" t="s">
        <v>20</v>
      </c>
      <c r="AH16" t="s">
        <v>350</v>
      </c>
      <c r="AU16" t="s">
        <v>356</v>
      </c>
      <c r="AV16" t="s">
        <v>188</v>
      </c>
      <c r="AW16" t="s">
        <v>26</v>
      </c>
      <c r="BF16" t="s">
        <v>41</v>
      </c>
    </row>
    <row r="17" spans="1:58" x14ac:dyDescent="0.3">
      <c r="A17" t="s">
        <v>50</v>
      </c>
      <c r="B17" s="5">
        <v>42025</v>
      </c>
      <c r="C17" t="s">
        <v>11</v>
      </c>
      <c r="D17" t="s">
        <v>12</v>
      </c>
      <c r="E17" t="s">
        <v>51</v>
      </c>
      <c r="F17" t="s">
        <v>52</v>
      </c>
      <c r="G17">
        <v>123.79</v>
      </c>
      <c r="H17">
        <v>8</v>
      </c>
      <c r="I17" t="s">
        <v>26</v>
      </c>
      <c r="N17" t="s">
        <v>62</v>
      </c>
      <c r="P17" t="s">
        <v>65</v>
      </c>
      <c r="Q17" t="s">
        <v>19</v>
      </c>
      <c r="R17" t="s">
        <v>20</v>
      </c>
      <c r="AA17" t="s">
        <v>91</v>
      </c>
      <c r="AB17" t="s">
        <v>20</v>
      </c>
      <c r="AH17" t="s">
        <v>353</v>
      </c>
      <c r="AU17" t="s">
        <v>425</v>
      </c>
      <c r="AV17" t="s">
        <v>188</v>
      </c>
      <c r="AW17" t="s">
        <v>26</v>
      </c>
      <c r="BF17" t="s">
        <v>43</v>
      </c>
    </row>
    <row r="18" spans="1:58" x14ac:dyDescent="0.3">
      <c r="A18" t="s">
        <v>53</v>
      </c>
      <c r="B18" s="5">
        <v>42025</v>
      </c>
      <c r="C18" t="s">
        <v>31</v>
      </c>
      <c r="D18" t="s">
        <v>12</v>
      </c>
      <c r="E18" t="s">
        <v>17</v>
      </c>
      <c r="F18" t="s">
        <v>54</v>
      </c>
      <c r="G18">
        <v>25.89</v>
      </c>
      <c r="H18">
        <v>20</v>
      </c>
      <c r="I18" t="s">
        <v>26</v>
      </c>
      <c r="K18" s="67"/>
      <c r="N18" t="s">
        <v>63</v>
      </c>
      <c r="P18" t="s">
        <v>67</v>
      </c>
      <c r="Q18" t="s">
        <v>23</v>
      </c>
      <c r="R18" t="s">
        <v>20</v>
      </c>
      <c r="AA18" t="s">
        <v>98</v>
      </c>
      <c r="AB18" t="s">
        <v>20</v>
      </c>
      <c r="AH18" t="s">
        <v>367</v>
      </c>
      <c r="AU18" t="s">
        <v>445</v>
      </c>
      <c r="AV18" t="s">
        <v>64</v>
      </c>
      <c r="AW18" t="s">
        <v>26</v>
      </c>
      <c r="BF18" t="s">
        <v>18</v>
      </c>
    </row>
    <row r="19" spans="1:58" x14ac:dyDescent="0.3">
      <c r="A19" t="s">
        <v>55</v>
      </c>
      <c r="B19" s="5">
        <v>42029</v>
      </c>
      <c r="C19" t="s">
        <v>28</v>
      </c>
      <c r="D19" t="s">
        <v>12</v>
      </c>
      <c r="E19" t="s">
        <v>13</v>
      </c>
      <c r="F19" t="s">
        <v>56</v>
      </c>
      <c r="G19">
        <v>34.799999999999997</v>
      </c>
      <c r="H19">
        <v>15</v>
      </c>
      <c r="I19" t="s">
        <v>26</v>
      </c>
      <c r="N19" t="s">
        <v>65</v>
      </c>
      <c r="P19" t="s">
        <v>73</v>
      </c>
      <c r="Q19" t="s">
        <v>33</v>
      </c>
      <c r="R19" t="s">
        <v>20</v>
      </c>
      <c r="AA19" t="s">
        <v>110</v>
      </c>
      <c r="AB19" t="s">
        <v>20</v>
      </c>
      <c r="AH19" t="s">
        <v>499</v>
      </c>
      <c r="AU19" t="s">
        <v>318</v>
      </c>
      <c r="AV19" t="s">
        <v>188</v>
      </c>
      <c r="AW19" t="s">
        <v>26</v>
      </c>
      <c r="BF19" t="s">
        <v>47</v>
      </c>
    </row>
    <row r="20" spans="1:58" x14ac:dyDescent="0.3">
      <c r="A20" t="s">
        <v>57</v>
      </c>
      <c r="B20" s="5">
        <v>42029</v>
      </c>
      <c r="C20" t="s">
        <v>20</v>
      </c>
      <c r="D20" t="s">
        <v>12</v>
      </c>
      <c r="E20" t="s">
        <v>17</v>
      </c>
      <c r="F20" t="s">
        <v>54</v>
      </c>
      <c r="G20">
        <v>13.25</v>
      </c>
      <c r="H20">
        <v>30</v>
      </c>
      <c r="I20" t="s">
        <v>26</v>
      </c>
      <c r="N20" t="s">
        <v>67</v>
      </c>
      <c r="P20" t="s">
        <v>74</v>
      </c>
      <c r="Q20" t="s">
        <v>36</v>
      </c>
      <c r="R20" t="s">
        <v>20</v>
      </c>
      <c r="AA20" t="s">
        <v>112</v>
      </c>
      <c r="AB20" t="s">
        <v>20</v>
      </c>
      <c r="AH20" t="s">
        <v>334</v>
      </c>
      <c r="AU20" t="s">
        <v>335</v>
      </c>
      <c r="AV20" t="s">
        <v>188</v>
      </c>
      <c r="AW20" t="s">
        <v>26</v>
      </c>
      <c r="BF20" t="s">
        <v>41</v>
      </c>
    </row>
    <row r="21" spans="1:58" x14ac:dyDescent="0.3">
      <c r="A21" t="s">
        <v>58</v>
      </c>
      <c r="B21" s="5">
        <v>42033</v>
      </c>
      <c r="C21" t="s">
        <v>11</v>
      </c>
      <c r="D21" t="s">
        <v>45</v>
      </c>
      <c r="E21" t="s">
        <v>51</v>
      </c>
      <c r="F21" t="s">
        <v>59</v>
      </c>
      <c r="G21">
        <v>97</v>
      </c>
      <c r="H21">
        <v>3</v>
      </c>
      <c r="I21" t="s">
        <v>26</v>
      </c>
      <c r="N21" t="s">
        <v>73</v>
      </c>
      <c r="P21" t="s">
        <v>76</v>
      </c>
      <c r="Q21" t="s">
        <v>40</v>
      </c>
      <c r="R21" t="s">
        <v>20</v>
      </c>
      <c r="AA21" t="s">
        <v>116</v>
      </c>
      <c r="AB21" t="s">
        <v>20</v>
      </c>
      <c r="AH21" t="s">
        <v>528</v>
      </c>
      <c r="AU21" t="s">
        <v>533</v>
      </c>
      <c r="AV21" t="s">
        <v>188</v>
      </c>
      <c r="AW21" t="s">
        <v>26</v>
      </c>
      <c r="BF21" t="s">
        <v>14</v>
      </c>
    </row>
    <row r="22" spans="1:58" x14ac:dyDescent="0.3">
      <c r="A22" t="s">
        <v>60</v>
      </c>
      <c r="B22" s="5">
        <v>42033</v>
      </c>
      <c r="C22" t="s">
        <v>28</v>
      </c>
      <c r="D22" t="s">
        <v>45</v>
      </c>
      <c r="E22" t="s">
        <v>21</v>
      </c>
      <c r="F22" t="s">
        <v>61</v>
      </c>
      <c r="G22">
        <v>21.35</v>
      </c>
      <c r="H22">
        <v>30</v>
      </c>
      <c r="I22" t="s">
        <v>26</v>
      </c>
      <c r="N22" t="s">
        <v>74</v>
      </c>
      <c r="P22" t="s">
        <v>92</v>
      </c>
      <c r="Q22" t="s">
        <v>49</v>
      </c>
      <c r="R22" t="s">
        <v>20</v>
      </c>
      <c r="AA22" t="s">
        <v>125</v>
      </c>
      <c r="AB22" t="s">
        <v>20</v>
      </c>
      <c r="AH22" t="s">
        <v>353</v>
      </c>
      <c r="AU22" t="s">
        <v>590</v>
      </c>
      <c r="AV22" t="s">
        <v>188</v>
      </c>
      <c r="AW22" t="s">
        <v>26</v>
      </c>
      <c r="BF22" t="s">
        <v>52</v>
      </c>
    </row>
    <row r="23" spans="1:58" x14ac:dyDescent="0.3">
      <c r="A23" t="s">
        <v>62</v>
      </c>
      <c r="B23" s="5">
        <v>42036</v>
      </c>
      <c r="C23" t="s">
        <v>11</v>
      </c>
      <c r="D23" t="s">
        <v>12</v>
      </c>
      <c r="E23" t="s">
        <v>17</v>
      </c>
      <c r="F23" t="s">
        <v>18</v>
      </c>
      <c r="G23">
        <v>19</v>
      </c>
      <c r="H23">
        <v>5</v>
      </c>
      <c r="I23" t="s">
        <v>15</v>
      </c>
      <c r="N23" t="s">
        <v>76</v>
      </c>
      <c r="P23" t="s">
        <v>93</v>
      </c>
      <c r="Q23" t="s">
        <v>57</v>
      </c>
      <c r="R23" t="s">
        <v>20</v>
      </c>
      <c r="AA23" t="s">
        <v>129</v>
      </c>
      <c r="AB23" t="s">
        <v>20</v>
      </c>
      <c r="AH23" t="s">
        <v>543</v>
      </c>
      <c r="AU23" t="s">
        <v>610</v>
      </c>
      <c r="AV23" t="s">
        <v>64</v>
      </c>
      <c r="AW23" t="s">
        <v>26</v>
      </c>
      <c r="BF23" t="s">
        <v>54</v>
      </c>
    </row>
    <row r="24" spans="1:58" x14ac:dyDescent="0.3">
      <c r="A24" t="s">
        <v>63</v>
      </c>
      <c r="B24" s="5">
        <v>42036</v>
      </c>
      <c r="C24" t="s">
        <v>11</v>
      </c>
      <c r="D24" t="s">
        <v>12</v>
      </c>
      <c r="E24" t="s">
        <v>34</v>
      </c>
      <c r="F24" t="s">
        <v>64</v>
      </c>
      <c r="G24">
        <v>19.5</v>
      </c>
      <c r="H24">
        <v>10</v>
      </c>
      <c r="I24" t="s">
        <v>15</v>
      </c>
      <c r="N24" t="s">
        <v>92</v>
      </c>
      <c r="P24" t="s">
        <v>96</v>
      </c>
      <c r="Q24" t="s">
        <v>73</v>
      </c>
      <c r="R24" t="s">
        <v>20</v>
      </c>
      <c r="AA24" t="s">
        <v>130</v>
      </c>
      <c r="AB24" t="s">
        <v>20</v>
      </c>
      <c r="BF24" t="s">
        <v>56</v>
      </c>
    </row>
    <row r="25" spans="1:58" x14ac:dyDescent="0.3">
      <c r="A25" t="s">
        <v>65</v>
      </c>
      <c r="B25" s="5">
        <v>42036</v>
      </c>
      <c r="C25" t="s">
        <v>28</v>
      </c>
      <c r="D25" t="s">
        <v>12</v>
      </c>
      <c r="E25" t="s">
        <v>13</v>
      </c>
      <c r="F25" t="s">
        <v>66</v>
      </c>
      <c r="G25">
        <v>55</v>
      </c>
      <c r="H25">
        <v>42</v>
      </c>
      <c r="I25" t="s">
        <v>15</v>
      </c>
      <c r="N25" t="s">
        <v>93</v>
      </c>
      <c r="P25" t="s">
        <v>98</v>
      </c>
      <c r="Q25" t="s">
        <v>78</v>
      </c>
      <c r="R25" t="s">
        <v>20</v>
      </c>
      <c r="AA25" t="s">
        <v>133</v>
      </c>
      <c r="AB25" t="s">
        <v>20</v>
      </c>
      <c r="BF25" t="s">
        <v>54</v>
      </c>
    </row>
    <row r="26" spans="1:58" x14ac:dyDescent="0.3">
      <c r="A26" t="s">
        <v>67</v>
      </c>
      <c r="B26" s="5">
        <v>42036</v>
      </c>
      <c r="C26" t="s">
        <v>11</v>
      </c>
      <c r="D26" t="s">
        <v>12</v>
      </c>
      <c r="E26" t="s">
        <v>34</v>
      </c>
      <c r="F26" t="s">
        <v>68</v>
      </c>
      <c r="G26">
        <v>14</v>
      </c>
      <c r="H26">
        <v>10</v>
      </c>
      <c r="I26" t="s">
        <v>15</v>
      </c>
      <c r="N26" t="s">
        <v>96</v>
      </c>
      <c r="P26" t="s">
        <v>100</v>
      </c>
      <c r="Q26" t="s">
        <v>80</v>
      </c>
      <c r="R26" t="s">
        <v>20</v>
      </c>
      <c r="AA26" t="s">
        <v>135</v>
      </c>
      <c r="AB26" t="s">
        <v>20</v>
      </c>
      <c r="BF26" t="s">
        <v>59</v>
      </c>
    </row>
    <row r="27" spans="1:58" x14ac:dyDescent="0.3">
      <c r="A27" t="s">
        <v>69</v>
      </c>
      <c r="B27" s="5">
        <v>42043</v>
      </c>
      <c r="C27" t="s">
        <v>31</v>
      </c>
      <c r="D27" t="s">
        <v>45</v>
      </c>
      <c r="E27" t="s">
        <v>17</v>
      </c>
      <c r="F27" t="s">
        <v>70</v>
      </c>
      <c r="G27">
        <v>14</v>
      </c>
      <c r="H27">
        <v>15</v>
      </c>
      <c r="I27" t="s">
        <v>26</v>
      </c>
      <c r="N27" t="s">
        <v>98</v>
      </c>
      <c r="P27" t="s">
        <v>105</v>
      </c>
      <c r="Q27" t="s">
        <v>84</v>
      </c>
      <c r="R27" t="s">
        <v>20</v>
      </c>
      <c r="AA27" t="s">
        <v>155</v>
      </c>
      <c r="AB27" t="s">
        <v>20</v>
      </c>
      <c r="BF27" t="s">
        <v>61</v>
      </c>
    </row>
    <row r="28" spans="1:58" x14ac:dyDescent="0.3">
      <c r="A28" t="s">
        <v>71</v>
      </c>
      <c r="B28" s="5">
        <v>42043</v>
      </c>
      <c r="C28" t="s">
        <v>28</v>
      </c>
      <c r="D28" t="s">
        <v>45</v>
      </c>
      <c r="E28" t="s">
        <v>17</v>
      </c>
      <c r="F28" t="s">
        <v>72</v>
      </c>
      <c r="G28">
        <v>18</v>
      </c>
      <c r="H28">
        <v>4</v>
      </c>
      <c r="I28" t="s">
        <v>26</v>
      </c>
      <c r="N28" t="s">
        <v>100</v>
      </c>
      <c r="P28" t="s">
        <v>106</v>
      </c>
      <c r="Q28" t="s">
        <v>91</v>
      </c>
      <c r="R28" t="s">
        <v>20</v>
      </c>
      <c r="AA28" t="s">
        <v>157</v>
      </c>
      <c r="AB28" t="s">
        <v>20</v>
      </c>
      <c r="BF28" t="s">
        <v>18</v>
      </c>
    </row>
    <row r="29" spans="1:58" x14ac:dyDescent="0.3">
      <c r="A29" t="s">
        <v>73</v>
      </c>
      <c r="B29" s="5">
        <v>42045</v>
      </c>
      <c r="C29" t="s">
        <v>20</v>
      </c>
      <c r="D29" t="s">
        <v>12</v>
      </c>
      <c r="E29" t="s">
        <v>17</v>
      </c>
      <c r="F29" t="s">
        <v>72</v>
      </c>
      <c r="G29">
        <v>18</v>
      </c>
      <c r="H29">
        <v>30</v>
      </c>
      <c r="I29" t="s">
        <v>26</v>
      </c>
      <c r="N29" t="s">
        <v>105</v>
      </c>
      <c r="P29" t="s">
        <v>107</v>
      </c>
      <c r="Q29" t="s">
        <v>98</v>
      </c>
      <c r="R29" t="s">
        <v>20</v>
      </c>
      <c r="AA29" t="s">
        <v>160</v>
      </c>
      <c r="AB29" t="s">
        <v>20</v>
      </c>
      <c r="BF29" t="s">
        <v>66</v>
      </c>
    </row>
    <row r="30" spans="1:58" x14ac:dyDescent="0.3">
      <c r="A30" t="s">
        <v>74</v>
      </c>
      <c r="B30" s="5">
        <v>42045</v>
      </c>
      <c r="C30" t="s">
        <v>11</v>
      </c>
      <c r="D30" t="s">
        <v>12</v>
      </c>
      <c r="E30" t="s">
        <v>34</v>
      </c>
      <c r="F30" t="s">
        <v>75</v>
      </c>
      <c r="G30">
        <v>20</v>
      </c>
      <c r="H30">
        <v>42</v>
      </c>
      <c r="I30" t="s">
        <v>26</v>
      </c>
      <c r="N30" t="s">
        <v>106</v>
      </c>
      <c r="P30" t="s">
        <v>108</v>
      </c>
      <c r="Q30" t="s">
        <v>110</v>
      </c>
      <c r="R30" t="s">
        <v>20</v>
      </c>
      <c r="S30" s="64" t="s">
        <v>0</v>
      </c>
      <c r="AA30" t="s">
        <v>165</v>
      </c>
      <c r="AB30" t="s">
        <v>20</v>
      </c>
      <c r="BF30" t="s">
        <v>70</v>
      </c>
    </row>
    <row r="31" spans="1:58" x14ac:dyDescent="0.3">
      <c r="A31" t="s">
        <v>76</v>
      </c>
      <c r="B31" s="5">
        <v>42045</v>
      </c>
      <c r="C31" t="s">
        <v>31</v>
      </c>
      <c r="D31" t="s">
        <v>12</v>
      </c>
      <c r="E31" t="s">
        <v>34</v>
      </c>
      <c r="F31" t="s">
        <v>77</v>
      </c>
      <c r="G31">
        <v>31.23</v>
      </c>
      <c r="H31">
        <v>20</v>
      </c>
      <c r="I31" t="s">
        <v>26</v>
      </c>
      <c r="N31" t="s">
        <v>107</v>
      </c>
      <c r="P31" t="s">
        <v>109</v>
      </c>
      <c r="Q31" t="s">
        <v>112</v>
      </c>
      <c r="R31" t="s">
        <v>20</v>
      </c>
      <c r="S31" t="s">
        <v>40</v>
      </c>
      <c r="AA31" t="s">
        <v>167</v>
      </c>
      <c r="AB31" t="s">
        <v>20</v>
      </c>
      <c r="BF31" t="s">
        <v>72</v>
      </c>
    </row>
    <row r="32" spans="1:58" x14ac:dyDescent="0.3">
      <c r="A32" t="s">
        <v>78</v>
      </c>
      <c r="B32" s="5">
        <v>42045</v>
      </c>
      <c r="C32" t="s">
        <v>20</v>
      </c>
      <c r="D32" t="s">
        <v>45</v>
      </c>
      <c r="E32" t="s">
        <v>17</v>
      </c>
      <c r="F32" t="s">
        <v>79</v>
      </c>
      <c r="G32">
        <v>18</v>
      </c>
      <c r="H32">
        <v>40</v>
      </c>
      <c r="I32" t="s">
        <v>15</v>
      </c>
      <c r="N32" t="s">
        <v>108</v>
      </c>
      <c r="P32" t="s">
        <v>110</v>
      </c>
      <c r="Q32" t="s">
        <v>116</v>
      </c>
      <c r="R32" t="s">
        <v>20</v>
      </c>
      <c r="S32" t="s">
        <v>73</v>
      </c>
      <c r="AA32" t="s">
        <v>173</v>
      </c>
      <c r="AB32" t="s">
        <v>20</v>
      </c>
      <c r="BF32" t="s">
        <v>72</v>
      </c>
    </row>
    <row r="33" spans="1:58" x14ac:dyDescent="0.3">
      <c r="A33" t="s">
        <v>80</v>
      </c>
      <c r="B33" s="5">
        <v>42045</v>
      </c>
      <c r="C33" t="s">
        <v>20</v>
      </c>
      <c r="D33" t="s">
        <v>45</v>
      </c>
      <c r="E33" t="s">
        <v>51</v>
      </c>
      <c r="F33" t="s">
        <v>81</v>
      </c>
      <c r="G33">
        <v>9</v>
      </c>
      <c r="H33">
        <v>50</v>
      </c>
      <c r="I33" t="s">
        <v>15</v>
      </c>
      <c r="N33" t="s">
        <v>109</v>
      </c>
      <c r="P33" t="s">
        <v>112</v>
      </c>
      <c r="Q33" t="s">
        <v>125</v>
      </c>
      <c r="R33" t="s">
        <v>20</v>
      </c>
      <c r="S33" t="s">
        <v>129</v>
      </c>
      <c r="AA33" t="s">
        <v>175</v>
      </c>
      <c r="AB33" t="s">
        <v>20</v>
      </c>
      <c r="BF33" t="s">
        <v>75</v>
      </c>
    </row>
    <row r="34" spans="1:58" x14ac:dyDescent="0.3">
      <c r="A34" t="s">
        <v>82</v>
      </c>
      <c r="B34" s="5">
        <v>42045</v>
      </c>
      <c r="C34" t="s">
        <v>28</v>
      </c>
      <c r="D34" t="s">
        <v>45</v>
      </c>
      <c r="E34" t="s">
        <v>13</v>
      </c>
      <c r="F34" t="s">
        <v>14</v>
      </c>
      <c r="G34">
        <v>21</v>
      </c>
      <c r="H34">
        <v>10</v>
      </c>
      <c r="I34" t="s">
        <v>15</v>
      </c>
      <c r="K34" s="67"/>
      <c r="N34" t="s">
        <v>110</v>
      </c>
      <c r="P34" t="s">
        <v>114</v>
      </c>
      <c r="Q34" t="s">
        <v>129</v>
      </c>
      <c r="R34" t="s">
        <v>20</v>
      </c>
      <c r="S34" t="s">
        <v>177</v>
      </c>
      <c r="AA34" t="s">
        <v>177</v>
      </c>
      <c r="AB34" t="s">
        <v>20</v>
      </c>
      <c r="BF34" t="s">
        <v>77</v>
      </c>
    </row>
    <row r="35" spans="1:58" x14ac:dyDescent="0.3">
      <c r="A35" t="s">
        <v>83</v>
      </c>
      <c r="B35" s="5">
        <v>42045</v>
      </c>
      <c r="C35" t="s">
        <v>11</v>
      </c>
      <c r="D35" t="s">
        <v>45</v>
      </c>
      <c r="E35" t="s">
        <v>34</v>
      </c>
      <c r="F35" t="s">
        <v>43</v>
      </c>
      <c r="G35">
        <v>12.5</v>
      </c>
      <c r="H35">
        <v>20</v>
      </c>
      <c r="I35" t="s">
        <v>15</v>
      </c>
      <c r="N35" t="s">
        <v>112</v>
      </c>
      <c r="P35" t="s">
        <v>123</v>
      </c>
      <c r="Q35" t="s">
        <v>130</v>
      </c>
      <c r="R35" t="s">
        <v>20</v>
      </c>
      <c r="S35" t="s">
        <v>232</v>
      </c>
      <c r="AA35" t="s">
        <v>179</v>
      </c>
      <c r="AB35" t="s">
        <v>20</v>
      </c>
      <c r="BF35" t="s">
        <v>79</v>
      </c>
    </row>
    <row r="36" spans="1:58" x14ac:dyDescent="0.3">
      <c r="A36" t="s">
        <v>84</v>
      </c>
      <c r="B36" s="5">
        <v>42046</v>
      </c>
      <c r="C36" t="s">
        <v>20</v>
      </c>
      <c r="D36" t="s">
        <v>85</v>
      </c>
      <c r="E36" t="s">
        <v>51</v>
      </c>
      <c r="F36" t="s">
        <v>81</v>
      </c>
      <c r="G36">
        <v>24</v>
      </c>
      <c r="H36">
        <v>10</v>
      </c>
      <c r="I36" t="s">
        <v>26</v>
      </c>
      <c r="N36" t="s">
        <v>114</v>
      </c>
      <c r="P36" t="s">
        <v>127</v>
      </c>
      <c r="Q36" t="s">
        <v>133</v>
      </c>
      <c r="R36" t="s">
        <v>20</v>
      </c>
      <c r="S36" t="s">
        <v>243</v>
      </c>
      <c r="AA36" t="s">
        <v>181</v>
      </c>
      <c r="AB36" t="s">
        <v>20</v>
      </c>
      <c r="BF36" t="s">
        <v>81</v>
      </c>
    </row>
    <row r="37" spans="1:58" x14ac:dyDescent="0.3">
      <c r="A37" t="s">
        <v>86</v>
      </c>
      <c r="B37" s="5">
        <v>42046</v>
      </c>
      <c r="C37" t="s">
        <v>11</v>
      </c>
      <c r="D37" t="s">
        <v>85</v>
      </c>
      <c r="E37" t="s">
        <v>21</v>
      </c>
      <c r="F37" t="s">
        <v>87</v>
      </c>
      <c r="G37">
        <v>21.05</v>
      </c>
      <c r="H37">
        <v>21</v>
      </c>
      <c r="I37" t="s">
        <v>26</v>
      </c>
      <c r="N37" t="s">
        <v>123</v>
      </c>
      <c r="P37" t="s">
        <v>129</v>
      </c>
      <c r="Q37" t="s">
        <v>135</v>
      </c>
      <c r="R37" t="s">
        <v>20</v>
      </c>
      <c r="S37" t="s">
        <v>248</v>
      </c>
      <c r="AA37" t="s">
        <v>182</v>
      </c>
      <c r="AB37" t="s">
        <v>20</v>
      </c>
      <c r="BF37" t="s">
        <v>14</v>
      </c>
    </row>
    <row r="38" spans="1:58" x14ac:dyDescent="0.3">
      <c r="A38" t="s">
        <v>88</v>
      </c>
      <c r="B38" s="5">
        <v>42046</v>
      </c>
      <c r="C38" t="s">
        <v>31</v>
      </c>
      <c r="D38" t="s">
        <v>85</v>
      </c>
      <c r="E38" t="s">
        <v>21</v>
      </c>
      <c r="F38" t="s">
        <v>22</v>
      </c>
      <c r="G38">
        <v>33.25</v>
      </c>
      <c r="H38">
        <v>15</v>
      </c>
      <c r="I38" t="s">
        <v>26</v>
      </c>
      <c r="N38" t="s">
        <v>127</v>
      </c>
      <c r="P38" t="s">
        <v>131</v>
      </c>
      <c r="Q38" t="s">
        <v>155</v>
      </c>
      <c r="R38" t="s">
        <v>20</v>
      </c>
      <c r="S38" t="s">
        <v>315</v>
      </c>
      <c r="AA38" t="s">
        <v>183</v>
      </c>
      <c r="AB38" t="s">
        <v>20</v>
      </c>
      <c r="BF38" t="s">
        <v>43</v>
      </c>
    </row>
    <row r="39" spans="1:58" x14ac:dyDescent="0.3">
      <c r="A39" t="s">
        <v>89</v>
      </c>
      <c r="B39" s="5">
        <v>42046</v>
      </c>
      <c r="C39" t="s">
        <v>31</v>
      </c>
      <c r="D39" t="s">
        <v>85</v>
      </c>
      <c r="E39" t="s">
        <v>34</v>
      </c>
      <c r="F39" t="s">
        <v>90</v>
      </c>
      <c r="G39">
        <v>49.3</v>
      </c>
      <c r="H39">
        <v>20</v>
      </c>
      <c r="I39" t="s">
        <v>26</v>
      </c>
      <c r="N39" t="s">
        <v>129</v>
      </c>
      <c r="P39" t="s">
        <v>132</v>
      </c>
      <c r="Q39" t="s">
        <v>157</v>
      </c>
      <c r="R39" t="s">
        <v>20</v>
      </c>
      <c r="S39" t="s">
        <v>334</v>
      </c>
      <c r="AA39" t="s">
        <v>187</v>
      </c>
      <c r="AB39" t="s">
        <v>20</v>
      </c>
      <c r="BF39" t="s">
        <v>81</v>
      </c>
    </row>
    <row r="40" spans="1:58" x14ac:dyDescent="0.3">
      <c r="A40" t="s">
        <v>91</v>
      </c>
      <c r="B40" s="5">
        <v>42047</v>
      </c>
      <c r="C40" t="s">
        <v>20</v>
      </c>
      <c r="D40" t="s">
        <v>85</v>
      </c>
      <c r="E40" t="s">
        <v>21</v>
      </c>
      <c r="F40" t="s">
        <v>22</v>
      </c>
      <c r="G40">
        <v>31</v>
      </c>
      <c r="H40">
        <v>10</v>
      </c>
      <c r="I40" t="s">
        <v>26</v>
      </c>
      <c r="N40" t="s">
        <v>131</v>
      </c>
      <c r="P40" t="s">
        <v>140</v>
      </c>
      <c r="Q40" t="s">
        <v>160</v>
      </c>
      <c r="R40" t="s">
        <v>20</v>
      </c>
      <c r="S40" t="s">
        <v>350</v>
      </c>
      <c r="AA40" t="s">
        <v>198</v>
      </c>
      <c r="AB40" t="s">
        <v>20</v>
      </c>
      <c r="BF40" t="s">
        <v>87</v>
      </c>
    </row>
    <row r="41" spans="1:58" x14ac:dyDescent="0.3">
      <c r="A41" t="s">
        <v>92</v>
      </c>
      <c r="B41" s="5">
        <v>42050</v>
      </c>
      <c r="C41" t="s">
        <v>28</v>
      </c>
      <c r="D41" t="s">
        <v>12</v>
      </c>
      <c r="E41" t="s">
        <v>17</v>
      </c>
      <c r="F41" t="s">
        <v>54</v>
      </c>
      <c r="G41">
        <v>62.5</v>
      </c>
      <c r="H41">
        <v>25</v>
      </c>
      <c r="I41" t="s">
        <v>15</v>
      </c>
      <c r="N41" t="s">
        <v>132</v>
      </c>
      <c r="P41" t="s">
        <v>141</v>
      </c>
      <c r="Q41" t="s">
        <v>165</v>
      </c>
      <c r="R41" t="s">
        <v>20</v>
      </c>
      <c r="S41" t="s">
        <v>353</v>
      </c>
      <c r="AA41" t="s">
        <v>207</v>
      </c>
      <c r="AB41" t="s">
        <v>20</v>
      </c>
      <c r="BF41" t="s">
        <v>22</v>
      </c>
    </row>
    <row r="42" spans="1:58" x14ac:dyDescent="0.3">
      <c r="A42" t="s">
        <v>93</v>
      </c>
      <c r="B42" s="5">
        <v>42050</v>
      </c>
      <c r="C42" t="s">
        <v>11</v>
      </c>
      <c r="D42" t="s">
        <v>12</v>
      </c>
      <c r="E42" t="s">
        <v>34</v>
      </c>
      <c r="F42" t="s">
        <v>94</v>
      </c>
      <c r="G42">
        <v>17.45</v>
      </c>
      <c r="H42">
        <v>30</v>
      </c>
      <c r="I42" t="s">
        <v>15</v>
      </c>
      <c r="N42" t="s">
        <v>140</v>
      </c>
      <c r="P42" t="s">
        <v>142</v>
      </c>
      <c r="Q42" t="s">
        <v>167</v>
      </c>
      <c r="R42" t="s">
        <v>20</v>
      </c>
      <c r="S42" t="s">
        <v>367</v>
      </c>
      <c r="AA42" t="s">
        <v>208</v>
      </c>
      <c r="AB42" t="s">
        <v>20</v>
      </c>
      <c r="BF42" t="s">
        <v>90</v>
      </c>
    </row>
    <row r="43" spans="1:58" x14ac:dyDescent="0.3">
      <c r="A43" t="s">
        <v>95</v>
      </c>
      <c r="B43" s="5">
        <v>42052</v>
      </c>
      <c r="C43" t="s">
        <v>31</v>
      </c>
      <c r="D43" t="s">
        <v>24</v>
      </c>
      <c r="E43" t="s">
        <v>17</v>
      </c>
      <c r="F43" t="s">
        <v>54</v>
      </c>
      <c r="G43">
        <v>15</v>
      </c>
      <c r="H43">
        <v>10</v>
      </c>
      <c r="I43" t="s">
        <v>15</v>
      </c>
      <c r="N43" t="s">
        <v>141</v>
      </c>
      <c r="P43" t="s">
        <v>158</v>
      </c>
      <c r="Q43" t="s">
        <v>173</v>
      </c>
      <c r="R43" t="s">
        <v>20</v>
      </c>
      <c r="S43" t="s">
        <v>499</v>
      </c>
      <c r="AA43" t="s">
        <v>210</v>
      </c>
      <c r="AB43" t="s">
        <v>20</v>
      </c>
      <c r="BF43" t="s">
        <v>22</v>
      </c>
    </row>
    <row r="44" spans="1:58" x14ac:dyDescent="0.3">
      <c r="A44" t="s">
        <v>96</v>
      </c>
      <c r="B44" s="5">
        <v>42054</v>
      </c>
      <c r="C44" t="s">
        <v>31</v>
      </c>
      <c r="D44" t="s">
        <v>12</v>
      </c>
      <c r="E44" t="s">
        <v>21</v>
      </c>
      <c r="F44" t="s">
        <v>97</v>
      </c>
      <c r="G44">
        <v>13</v>
      </c>
      <c r="H44">
        <v>40</v>
      </c>
      <c r="I44" t="s">
        <v>15</v>
      </c>
      <c r="N44" t="s">
        <v>142</v>
      </c>
      <c r="P44" t="s">
        <v>160</v>
      </c>
      <c r="Q44" t="s">
        <v>175</v>
      </c>
      <c r="R44" t="s">
        <v>20</v>
      </c>
      <c r="S44" t="s">
        <v>334</v>
      </c>
      <c r="AA44" t="s">
        <v>213</v>
      </c>
      <c r="AB44" t="s">
        <v>20</v>
      </c>
      <c r="BF44" t="s">
        <v>54</v>
      </c>
    </row>
    <row r="45" spans="1:58" x14ac:dyDescent="0.3">
      <c r="A45" t="s">
        <v>98</v>
      </c>
      <c r="B45" s="5">
        <v>42054</v>
      </c>
      <c r="C45" t="s">
        <v>20</v>
      </c>
      <c r="D45" t="s">
        <v>12</v>
      </c>
      <c r="E45" t="s">
        <v>13</v>
      </c>
      <c r="F45" t="s">
        <v>99</v>
      </c>
      <c r="G45">
        <v>12.5</v>
      </c>
      <c r="H45">
        <v>35</v>
      </c>
      <c r="I45" t="s">
        <v>15</v>
      </c>
      <c r="N45" t="s">
        <v>158</v>
      </c>
      <c r="P45" t="s">
        <v>161</v>
      </c>
      <c r="Q45" t="s">
        <v>177</v>
      </c>
      <c r="R45" t="s">
        <v>20</v>
      </c>
      <c r="S45" t="s">
        <v>528</v>
      </c>
      <c r="AA45" t="s">
        <v>214</v>
      </c>
      <c r="AB45" t="s">
        <v>20</v>
      </c>
      <c r="BF45" t="s">
        <v>94</v>
      </c>
    </row>
    <row r="46" spans="1:58" x14ac:dyDescent="0.3">
      <c r="A46" t="s">
        <v>100</v>
      </c>
      <c r="B46" s="5">
        <v>42054</v>
      </c>
      <c r="C46" t="s">
        <v>28</v>
      </c>
      <c r="D46" t="s">
        <v>12</v>
      </c>
      <c r="E46" t="s">
        <v>21</v>
      </c>
      <c r="F46" t="s">
        <v>22</v>
      </c>
      <c r="G46">
        <v>31</v>
      </c>
      <c r="H46">
        <v>70</v>
      </c>
      <c r="I46" t="s">
        <v>15</v>
      </c>
      <c r="N46" t="s">
        <v>160</v>
      </c>
      <c r="P46" t="s">
        <v>168</v>
      </c>
      <c r="Q46" t="s">
        <v>179</v>
      </c>
      <c r="R46" t="s">
        <v>20</v>
      </c>
      <c r="S46" t="s">
        <v>353</v>
      </c>
      <c r="AA46" t="s">
        <v>210</v>
      </c>
      <c r="AB46" t="s">
        <v>20</v>
      </c>
      <c r="BF46" t="s">
        <v>54</v>
      </c>
    </row>
    <row r="47" spans="1:58" x14ac:dyDescent="0.3">
      <c r="A47" t="s">
        <v>101</v>
      </c>
      <c r="B47" s="5">
        <v>42054</v>
      </c>
      <c r="C47" t="s">
        <v>11</v>
      </c>
      <c r="D47" t="s">
        <v>85</v>
      </c>
      <c r="E47" t="s">
        <v>34</v>
      </c>
      <c r="F47" t="s">
        <v>68</v>
      </c>
      <c r="G47">
        <v>14</v>
      </c>
      <c r="H47">
        <v>5</v>
      </c>
      <c r="I47" t="s">
        <v>26</v>
      </c>
      <c r="N47" t="s">
        <v>161</v>
      </c>
      <c r="P47" t="s">
        <v>169</v>
      </c>
      <c r="Q47" t="s">
        <v>181</v>
      </c>
      <c r="R47" t="s">
        <v>20</v>
      </c>
      <c r="S47" t="s">
        <v>543</v>
      </c>
      <c r="AA47" t="s">
        <v>221</v>
      </c>
      <c r="AB47" t="s">
        <v>20</v>
      </c>
      <c r="BF47" t="s">
        <v>97</v>
      </c>
    </row>
    <row r="48" spans="1:58" x14ac:dyDescent="0.3">
      <c r="A48" t="s">
        <v>102</v>
      </c>
      <c r="B48" s="5">
        <v>42057</v>
      </c>
      <c r="C48" t="s">
        <v>11</v>
      </c>
      <c r="D48" t="s">
        <v>85</v>
      </c>
      <c r="E48" t="s">
        <v>17</v>
      </c>
      <c r="F48" t="s">
        <v>18</v>
      </c>
      <c r="G48">
        <v>19</v>
      </c>
      <c r="H48">
        <v>20</v>
      </c>
      <c r="I48" t="s">
        <v>26</v>
      </c>
      <c r="N48" t="s">
        <v>168</v>
      </c>
      <c r="P48" t="s">
        <v>170</v>
      </c>
      <c r="Q48" t="s">
        <v>182</v>
      </c>
      <c r="R48" t="s">
        <v>20</v>
      </c>
      <c r="AA48" t="s">
        <v>231</v>
      </c>
      <c r="AB48" t="s">
        <v>20</v>
      </c>
      <c r="BF48" t="s">
        <v>99</v>
      </c>
    </row>
    <row r="49" spans="1:58" x14ac:dyDescent="0.3">
      <c r="A49" t="s">
        <v>103</v>
      </c>
      <c r="B49" s="5">
        <v>42057</v>
      </c>
      <c r="C49" t="s">
        <v>31</v>
      </c>
      <c r="D49" t="s">
        <v>85</v>
      </c>
      <c r="E49" t="s">
        <v>34</v>
      </c>
      <c r="F49" t="s">
        <v>43</v>
      </c>
      <c r="G49">
        <v>12.5</v>
      </c>
      <c r="H49">
        <v>18</v>
      </c>
      <c r="I49" t="s">
        <v>26</v>
      </c>
      <c r="N49" t="s">
        <v>169</v>
      </c>
      <c r="P49" t="s">
        <v>185</v>
      </c>
      <c r="Q49" t="s">
        <v>183</v>
      </c>
      <c r="R49" t="s">
        <v>20</v>
      </c>
      <c r="AA49" t="s">
        <v>232</v>
      </c>
      <c r="AB49" t="s">
        <v>20</v>
      </c>
      <c r="BF49" t="s">
        <v>22</v>
      </c>
    </row>
    <row r="50" spans="1:58" x14ac:dyDescent="0.3">
      <c r="A50" t="s">
        <v>104</v>
      </c>
      <c r="B50" s="5">
        <v>42061</v>
      </c>
      <c r="C50" t="s">
        <v>11</v>
      </c>
      <c r="D50" t="s">
        <v>24</v>
      </c>
      <c r="E50" t="s">
        <v>13</v>
      </c>
      <c r="F50" t="s">
        <v>14</v>
      </c>
      <c r="G50">
        <v>6</v>
      </c>
      <c r="H50">
        <v>5</v>
      </c>
      <c r="I50" t="s">
        <v>26</v>
      </c>
      <c r="N50" t="s">
        <v>170</v>
      </c>
      <c r="P50" t="s">
        <v>187</v>
      </c>
      <c r="Q50" t="s">
        <v>187</v>
      </c>
      <c r="R50" t="s">
        <v>20</v>
      </c>
      <c r="AA50" t="s">
        <v>238</v>
      </c>
      <c r="AB50" t="s">
        <v>20</v>
      </c>
      <c r="BF50" t="s">
        <v>18</v>
      </c>
    </row>
    <row r="51" spans="1:58" x14ac:dyDescent="0.3">
      <c r="A51" t="s">
        <v>105</v>
      </c>
      <c r="B51" s="5">
        <v>42061</v>
      </c>
      <c r="C51" t="s">
        <v>28</v>
      </c>
      <c r="D51" t="s">
        <v>12</v>
      </c>
      <c r="E51" t="s">
        <v>17</v>
      </c>
      <c r="F51" t="s">
        <v>54</v>
      </c>
      <c r="G51">
        <v>15</v>
      </c>
      <c r="H51">
        <v>3</v>
      </c>
      <c r="I51" t="s">
        <v>26</v>
      </c>
      <c r="N51" t="s">
        <v>185</v>
      </c>
      <c r="P51" t="s">
        <v>196</v>
      </c>
      <c r="Q51" t="s">
        <v>198</v>
      </c>
      <c r="R51" t="s">
        <v>20</v>
      </c>
      <c r="AA51" t="s">
        <v>246</v>
      </c>
      <c r="AB51" t="s">
        <v>20</v>
      </c>
      <c r="BF51" t="s">
        <v>43</v>
      </c>
    </row>
    <row r="52" spans="1:58" x14ac:dyDescent="0.3">
      <c r="A52" t="s">
        <v>106</v>
      </c>
      <c r="B52" s="5">
        <v>42065</v>
      </c>
      <c r="C52" t="s">
        <v>11</v>
      </c>
      <c r="D52" t="s">
        <v>12</v>
      </c>
      <c r="E52" t="s">
        <v>17</v>
      </c>
      <c r="F52" t="s">
        <v>79</v>
      </c>
      <c r="G52">
        <v>18</v>
      </c>
      <c r="H52">
        <v>20</v>
      </c>
      <c r="I52" t="s">
        <v>26</v>
      </c>
      <c r="K52" s="67"/>
      <c r="L52" s="67"/>
      <c r="M52" s="67"/>
      <c r="N52" t="s">
        <v>187</v>
      </c>
      <c r="P52" t="s">
        <v>198</v>
      </c>
      <c r="Q52" t="s">
        <v>207</v>
      </c>
      <c r="R52" t="s">
        <v>20</v>
      </c>
      <c r="AA52" t="s">
        <v>247</v>
      </c>
      <c r="AB52" t="s">
        <v>20</v>
      </c>
      <c r="BF52" t="s">
        <v>14</v>
      </c>
    </row>
    <row r="53" spans="1:58" x14ac:dyDescent="0.3">
      <c r="A53" t="s">
        <v>107</v>
      </c>
      <c r="B53" s="5">
        <v>42065</v>
      </c>
      <c r="C53" t="s">
        <v>28</v>
      </c>
      <c r="D53" t="s">
        <v>12</v>
      </c>
      <c r="E53" t="s">
        <v>21</v>
      </c>
      <c r="F53" t="s">
        <v>87</v>
      </c>
      <c r="G53">
        <v>21.05</v>
      </c>
      <c r="H53">
        <v>21</v>
      </c>
      <c r="I53" t="s">
        <v>26</v>
      </c>
      <c r="N53" t="s">
        <v>196</v>
      </c>
      <c r="P53" t="s">
        <v>199</v>
      </c>
      <c r="Q53" t="s">
        <v>208</v>
      </c>
      <c r="R53" t="s">
        <v>20</v>
      </c>
      <c r="AA53" t="s">
        <v>254</v>
      </c>
      <c r="AB53" t="s">
        <v>20</v>
      </c>
      <c r="BF53" t="s">
        <v>54</v>
      </c>
    </row>
    <row r="54" spans="1:58" x14ac:dyDescent="0.3">
      <c r="A54" t="s">
        <v>108</v>
      </c>
      <c r="B54" s="5">
        <v>42065</v>
      </c>
      <c r="C54" t="s">
        <v>31</v>
      </c>
      <c r="D54" t="s">
        <v>12</v>
      </c>
      <c r="E54" t="s">
        <v>21</v>
      </c>
      <c r="F54" t="s">
        <v>22</v>
      </c>
      <c r="G54">
        <v>6</v>
      </c>
      <c r="H54">
        <v>40</v>
      </c>
      <c r="I54" t="s">
        <v>26</v>
      </c>
      <c r="N54" t="s">
        <v>198</v>
      </c>
      <c r="P54" t="s">
        <v>203</v>
      </c>
      <c r="Q54" t="s">
        <v>210</v>
      </c>
      <c r="R54" t="s">
        <v>20</v>
      </c>
      <c r="AA54" t="s">
        <v>262</v>
      </c>
      <c r="AB54" t="s">
        <v>20</v>
      </c>
      <c r="BF54" t="s">
        <v>79</v>
      </c>
    </row>
    <row r="55" spans="1:58" x14ac:dyDescent="0.3">
      <c r="A55" t="s">
        <v>109</v>
      </c>
      <c r="B55" s="5">
        <v>42065</v>
      </c>
      <c r="C55" t="s">
        <v>31</v>
      </c>
      <c r="D55" t="s">
        <v>12</v>
      </c>
      <c r="E55" t="s">
        <v>34</v>
      </c>
      <c r="F55" t="s">
        <v>43</v>
      </c>
      <c r="G55">
        <v>12.5</v>
      </c>
      <c r="H55">
        <v>20</v>
      </c>
      <c r="I55" t="s">
        <v>26</v>
      </c>
      <c r="N55" t="s">
        <v>199</v>
      </c>
      <c r="P55" t="s">
        <v>204</v>
      </c>
      <c r="Q55" t="s">
        <v>213</v>
      </c>
      <c r="R55" t="s">
        <v>20</v>
      </c>
      <c r="AA55" t="s">
        <v>266</v>
      </c>
      <c r="AB55" t="s">
        <v>20</v>
      </c>
      <c r="BF55" t="s">
        <v>87</v>
      </c>
    </row>
    <row r="56" spans="1:58" x14ac:dyDescent="0.3">
      <c r="A56" t="s">
        <v>110</v>
      </c>
      <c r="B56" s="5">
        <v>42067</v>
      </c>
      <c r="C56" t="s">
        <v>20</v>
      </c>
      <c r="D56" t="s">
        <v>12</v>
      </c>
      <c r="E56" t="s">
        <v>21</v>
      </c>
      <c r="F56" t="s">
        <v>111</v>
      </c>
      <c r="G56">
        <v>22</v>
      </c>
      <c r="H56">
        <v>30</v>
      </c>
      <c r="I56" t="s">
        <v>15</v>
      </c>
      <c r="N56" t="s">
        <v>203</v>
      </c>
      <c r="P56" t="s">
        <v>209</v>
      </c>
      <c r="Q56" t="s">
        <v>214</v>
      </c>
      <c r="R56" t="s">
        <v>20</v>
      </c>
      <c r="AA56" t="s">
        <v>269</v>
      </c>
      <c r="AB56" t="s">
        <v>20</v>
      </c>
      <c r="BF56" t="s">
        <v>22</v>
      </c>
    </row>
    <row r="57" spans="1:58" x14ac:dyDescent="0.3">
      <c r="A57" t="s">
        <v>112</v>
      </c>
      <c r="B57" s="5">
        <v>42067</v>
      </c>
      <c r="C57" t="s">
        <v>20</v>
      </c>
      <c r="D57" t="s">
        <v>12</v>
      </c>
      <c r="E57" t="s">
        <v>13</v>
      </c>
      <c r="F57" t="s">
        <v>113</v>
      </c>
      <c r="G57">
        <v>2.5</v>
      </c>
      <c r="H57">
        <v>40</v>
      </c>
      <c r="I57" t="s">
        <v>15</v>
      </c>
      <c r="N57" t="s">
        <v>204</v>
      </c>
      <c r="P57" t="s">
        <v>210</v>
      </c>
      <c r="Q57" t="s">
        <v>210</v>
      </c>
      <c r="R57" t="s">
        <v>20</v>
      </c>
      <c r="AA57" t="s">
        <v>271</v>
      </c>
      <c r="AB57" t="s">
        <v>20</v>
      </c>
      <c r="BF57" t="s">
        <v>43</v>
      </c>
    </row>
    <row r="58" spans="1:58" x14ac:dyDescent="0.3">
      <c r="A58" t="s">
        <v>114</v>
      </c>
      <c r="B58" s="5">
        <v>42067</v>
      </c>
      <c r="C58" t="s">
        <v>28</v>
      </c>
      <c r="D58" t="s">
        <v>12</v>
      </c>
      <c r="E58" t="s">
        <v>21</v>
      </c>
      <c r="F58" t="s">
        <v>22</v>
      </c>
      <c r="G58">
        <v>13.25</v>
      </c>
      <c r="H58">
        <v>15</v>
      </c>
      <c r="I58" t="s">
        <v>15</v>
      </c>
      <c r="N58" t="s">
        <v>209</v>
      </c>
      <c r="P58" t="s">
        <v>211</v>
      </c>
      <c r="Q58" t="s">
        <v>221</v>
      </c>
      <c r="R58" t="s">
        <v>20</v>
      </c>
      <c r="AA58" t="s">
        <v>280</v>
      </c>
      <c r="AB58" t="s">
        <v>20</v>
      </c>
      <c r="BF58" t="s">
        <v>111</v>
      </c>
    </row>
    <row r="59" spans="1:58" x14ac:dyDescent="0.3">
      <c r="A59" t="s">
        <v>115</v>
      </c>
      <c r="B59" s="5">
        <v>42067</v>
      </c>
      <c r="C59" t="s">
        <v>31</v>
      </c>
      <c r="D59" t="s">
        <v>85</v>
      </c>
      <c r="E59" t="s">
        <v>17</v>
      </c>
      <c r="F59" t="s">
        <v>70</v>
      </c>
      <c r="G59">
        <v>14</v>
      </c>
      <c r="H59">
        <v>15</v>
      </c>
      <c r="I59" t="s">
        <v>15</v>
      </c>
      <c r="N59" t="s">
        <v>210</v>
      </c>
      <c r="P59" t="s">
        <v>213</v>
      </c>
      <c r="Q59" t="s">
        <v>231</v>
      </c>
      <c r="R59" t="s">
        <v>20</v>
      </c>
      <c r="AA59" t="s">
        <v>295</v>
      </c>
      <c r="AB59" t="s">
        <v>20</v>
      </c>
      <c r="BF59" t="s">
        <v>113</v>
      </c>
    </row>
    <row r="60" spans="1:58" x14ac:dyDescent="0.3">
      <c r="A60" t="s">
        <v>116</v>
      </c>
      <c r="B60" s="5">
        <v>42067</v>
      </c>
      <c r="C60" t="s">
        <v>20</v>
      </c>
      <c r="D60" t="s">
        <v>85</v>
      </c>
      <c r="E60" t="s">
        <v>17</v>
      </c>
      <c r="F60" t="s">
        <v>79</v>
      </c>
      <c r="G60">
        <v>18</v>
      </c>
      <c r="H60">
        <v>10</v>
      </c>
      <c r="I60" t="s">
        <v>15</v>
      </c>
      <c r="N60" t="s">
        <v>211</v>
      </c>
      <c r="P60" t="s">
        <v>214</v>
      </c>
      <c r="Q60" t="s">
        <v>232</v>
      </c>
      <c r="R60" t="s">
        <v>20</v>
      </c>
      <c r="AA60" t="s">
        <v>298</v>
      </c>
      <c r="AB60" t="s">
        <v>20</v>
      </c>
      <c r="BF60" t="s">
        <v>22</v>
      </c>
    </row>
    <row r="61" spans="1:58" x14ac:dyDescent="0.3">
      <c r="A61" t="s">
        <v>117</v>
      </c>
      <c r="B61" s="5">
        <v>42067</v>
      </c>
      <c r="C61" t="s">
        <v>31</v>
      </c>
      <c r="D61" t="s">
        <v>85</v>
      </c>
      <c r="E61" t="s">
        <v>51</v>
      </c>
      <c r="F61" t="s">
        <v>118</v>
      </c>
      <c r="G61">
        <v>39</v>
      </c>
      <c r="H61">
        <v>12</v>
      </c>
      <c r="I61" t="s">
        <v>15</v>
      </c>
      <c r="N61" t="s">
        <v>213</v>
      </c>
      <c r="P61" t="s">
        <v>215</v>
      </c>
      <c r="Q61" t="s">
        <v>238</v>
      </c>
      <c r="R61" t="s">
        <v>20</v>
      </c>
      <c r="AA61" t="s">
        <v>301</v>
      </c>
      <c r="AB61" t="s">
        <v>20</v>
      </c>
      <c r="BF61" t="s">
        <v>70</v>
      </c>
    </row>
    <row r="62" spans="1:58" x14ac:dyDescent="0.3">
      <c r="A62" t="s">
        <v>119</v>
      </c>
      <c r="B62" s="5">
        <v>42068</v>
      </c>
      <c r="C62" t="s">
        <v>11</v>
      </c>
      <c r="D62" t="s">
        <v>24</v>
      </c>
      <c r="E62" t="s">
        <v>13</v>
      </c>
      <c r="F62" t="s">
        <v>14</v>
      </c>
      <c r="G62">
        <v>19.5</v>
      </c>
      <c r="H62">
        <v>80</v>
      </c>
      <c r="I62" t="s">
        <v>26</v>
      </c>
      <c r="N62" t="s">
        <v>214</v>
      </c>
      <c r="P62" t="s">
        <v>210</v>
      </c>
      <c r="Q62" t="s">
        <v>246</v>
      </c>
      <c r="R62" t="s">
        <v>20</v>
      </c>
      <c r="AA62" t="s">
        <v>302</v>
      </c>
      <c r="AB62" t="s">
        <v>20</v>
      </c>
      <c r="BF62" t="s">
        <v>79</v>
      </c>
    </row>
    <row r="63" spans="1:58" x14ac:dyDescent="0.3">
      <c r="A63" t="s">
        <v>120</v>
      </c>
      <c r="B63" s="5">
        <v>42068</v>
      </c>
      <c r="C63" t="s">
        <v>11</v>
      </c>
      <c r="D63" t="s">
        <v>24</v>
      </c>
      <c r="E63" t="s">
        <v>13</v>
      </c>
      <c r="F63" t="s">
        <v>121</v>
      </c>
      <c r="G63">
        <v>32</v>
      </c>
      <c r="H63">
        <v>6</v>
      </c>
      <c r="I63" t="s">
        <v>26</v>
      </c>
      <c r="N63" t="s">
        <v>215</v>
      </c>
      <c r="P63" t="s">
        <v>217</v>
      </c>
      <c r="Q63" t="s">
        <v>247</v>
      </c>
      <c r="R63" t="s">
        <v>20</v>
      </c>
      <c r="AA63" t="s">
        <v>306</v>
      </c>
      <c r="AB63" t="s">
        <v>20</v>
      </c>
      <c r="BF63" t="s">
        <v>118</v>
      </c>
    </row>
    <row r="64" spans="1:58" x14ac:dyDescent="0.3">
      <c r="A64" t="s">
        <v>122</v>
      </c>
      <c r="B64" s="5">
        <v>42068</v>
      </c>
      <c r="C64" t="s">
        <v>11</v>
      </c>
      <c r="D64" t="s">
        <v>24</v>
      </c>
      <c r="E64" t="s">
        <v>34</v>
      </c>
      <c r="F64" t="s">
        <v>94</v>
      </c>
      <c r="G64">
        <v>17.45</v>
      </c>
      <c r="H64">
        <v>6</v>
      </c>
      <c r="I64" t="s">
        <v>26</v>
      </c>
      <c r="N64" t="s">
        <v>210</v>
      </c>
      <c r="P64" t="s">
        <v>218</v>
      </c>
      <c r="Q64" t="s">
        <v>254</v>
      </c>
      <c r="R64" t="s">
        <v>20</v>
      </c>
      <c r="AA64" t="s">
        <v>308</v>
      </c>
      <c r="AB64" t="s">
        <v>20</v>
      </c>
      <c r="BF64" t="s">
        <v>14</v>
      </c>
    </row>
    <row r="65" spans="1:58" x14ac:dyDescent="0.3">
      <c r="A65" t="s">
        <v>123</v>
      </c>
      <c r="B65" s="5">
        <v>42068</v>
      </c>
      <c r="C65" t="s">
        <v>31</v>
      </c>
      <c r="D65" t="s">
        <v>12</v>
      </c>
      <c r="E65" t="s">
        <v>13</v>
      </c>
      <c r="F65" t="s">
        <v>124</v>
      </c>
      <c r="G65">
        <v>21.5</v>
      </c>
      <c r="H65">
        <v>25</v>
      </c>
      <c r="I65" t="s">
        <v>15</v>
      </c>
      <c r="N65" t="s">
        <v>217</v>
      </c>
      <c r="P65" t="s">
        <v>219</v>
      </c>
      <c r="Q65" t="s">
        <v>262</v>
      </c>
      <c r="R65" t="s">
        <v>20</v>
      </c>
      <c r="AA65" t="s">
        <v>310</v>
      </c>
      <c r="AB65" t="s">
        <v>20</v>
      </c>
      <c r="BF65" t="s">
        <v>121</v>
      </c>
    </row>
    <row r="66" spans="1:58" x14ac:dyDescent="0.3">
      <c r="A66" t="s">
        <v>125</v>
      </c>
      <c r="B66" s="5">
        <v>42071</v>
      </c>
      <c r="C66" t="s">
        <v>20</v>
      </c>
      <c r="D66" t="s">
        <v>85</v>
      </c>
      <c r="E66" t="s">
        <v>13</v>
      </c>
      <c r="F66" t="s">
        <v>41</v>
      </c>
      <c r="G66">
        <v>34</v>
      </c>
      <c r="H66">
        <v>10</v>
      </c>
      <c r="I66" t="s">
        <v>26</v>
      </c>
      <c r="N66" t="s">
        <v>218</v>
      </c>
      <c r="P66" t="s">
        <v>221</v>
      </c>
      <c r="Q66" t="s">
        <v>266</v>
      </c>
      <c r="R66" t="s">
        <v>20</v>
      </c>
      <c r="AA66" t="s">
        <v>313</v>
      </c>
      <c r="AB66" t="s">
        <v>20</v>
      </c>
      <c r="BF66" t="s">
        <v>94</v>
      </c>
    </row>
    <row r="67" spans="1:58" x14ac:dyDescent="0.3">
      <c r="A67" t="s">
        <v>126</v>
      </c>
      <c r="B67" s="5">
        <v>42071</v>
      </c>
      <c r="C67" t="s">
        <v>28</v>
      </c>
      <c r="D67" t="s">
        <v>85</v>
      </c>
      <c r="E67" t="s">
        <v>17</v>
      </c>
      <c r="F67" t="s">
        <v>54</v>
      </c>
      <c r="G67">
        <v>25.89</v>
      </c>
      <c r="H67">
        <v>1</v>
      </c>
      <c r="I67" t="s">
        <v>26</v>
      </c>
      <c r="N67" t="s">
        <v>219</v>
      </c>
      <c r="P67" t="s">
        <v>224</v>
      </c>
      <c r="Q67" t="s">
        <v>269</v>
      </c>
      <c r="R67" t="s">
        <v>20</v>
      </c>
      <c r="AA67" t="s">
        <v>314</v>
      </c>
      <c r="AB67" t="s">
        <v>20</v>
      </c>
      <c r="BF67" t="s">
        <v>124</v>
      </c>
    </row>
    <row r="68" spans="1:58" x14ac:dyDescent="0.3">
      <c r="A68" t="s">
        <v>127</v>
      </c>
      <c r="B68" s="5">
        <v>42072</v>
      </c>
      <c r="C68" t="s">
        <v>31</v>
      </c>
      <c r="D68" t="s">
        <v>12</v>
      </c>
      <c r="E68" t="s">
        <v>17</v>
      </c>
      <c r="F68" t="s">
        <v>128</v>
      </c>
      <c r="G68">
        <v>4.5</v>
      </c>
      <c r="H68">
        <v>35</v>
      </c>
      <c r="I68" t="s">
        <v>26</v>
      </c>
      <c r="K68" s="67"/>
      <c r="N68" t="s">
        <v>221</v>
      </c>
      <c r="P68" t="s">
        <v>226</v>
      </c>
      <c r="Q68" t="s">
        <v>271</v>
      </c>
      <c r="R68" t="s">
        <v>20</v>
      </c>
      <c r="AA68" t="s">
        <v>42</v>
      </c>
      <c r="AB68" t="s">
        <v>20</v>
      </c>
      <c r="BF68" t="s">
        <v>41</v>
      </c>
    </row>
    <row r="69" spans="1:58" x14ac:dyDescent="0.3">
      <c r="A69" t="s">
        <v>129</v>
      </c>
      <c r="B69" s="5">
        <v>42072</v>
      </c>
      <c r="C69" t="s">
        <v>20</v>
      </c>
      <c r="D69" t="s">
        <v>12</v>
      </c>
      <c r="E69" t="s">
        <v>51</v>
      </c>
      <c r="F69" t="s">
        <v>118</v>
      </c>
      <c r="G69">
        <v>39</v>
      </c>
      <c r="H69">
        <v>15</v>
      </c>
      <c r="I69" t="s">
        <v>26</v>
      </c>
      <c r="N69" t="s">
        <v>224</v>
      </c>
      <c r="P69" t="s">
        <v>227</v>
      </c>
      <c r="Q69" t="s">
        <v>280</v>
      </c>
      <c r="R69" t="s">
        <v>20</v>
      </c>
      <c r="AA69" t="s">
        <v>315</v>
      </c>
      <c r="AB69" t="s">
        <v>20</v>
      </c>
      <c r="BF69" t="s">
        <v>54</v>
      </c>
    </row>
    <row r="70" spans="1:58" x14ac:dyDescent="0.3">
      <c r="A70" t="s">
        <v>130</v>
      </c>
      <c r="B70" s="5">
        <v>42072</v>
      </c>
      <c r="C70" t="s">
        <v>20</v>
      </c>
      <c r="D70" t="s">
        <v>45</v>
      </c>
      <c r="E70" t="s">
        <v>34</v>
      </c>
      <c r="F70" t="s">
        <v>64</v>
      </c>
      <c r="G70">
        <v>16.25</v>
      </c>
      <c r="H70">
        <v>24</v>
      </c>
      <c r="I70" t="s">
        <v>26</v>
      </c>
      <c r="N70" t="s">
        <v>226</v>
      </c>
      <c r="P70" t="s">
        <v>229</v>
      </c>
      <c r="Q70" t="s">
        <v>295</v>
      </c>
      <c r="R70" t="s">
        <v>20</v>
      </c>
      <c r="AA70" t="s">
        <v>316</v>
      </c>
      <c r="AB70" t="s">
        <v>20</v>
      </c>
      <c r="BF70" t="s">
        <v>128</v>
      </c>
    </row>
    <row r="71" spans="1:58" x14ac:dyDescent="0.3">
      <c r="A71" t="s">
        <v>131</v>
      </c>
      <c r="B71" s="5">
        <v>42073</v>
      </c>
      <c r="C71" t="s">
        <v>11</v>
      </c>
      <c r="D71" t="s">
        <v>12</v>
      </c>
      <c r="E71" t="s">
        <v>13</v>
      </c>
      <c r="F71" t="s">
        <v>14</v>
      </c>
      <c r="G71">
        <v>7</v>
      </c>
      <c r="H71">
        <v>12</v>
      </c>
      <c r="I71" t="s">
        <v>15</v>
      </c>
      <c r="N71" t="s">
        <v>227</v>
      </c>
      <c r="P71" t="s">
        <v>230</v>
      </c>
      <c r="Q71" t="s">
        <v>298</v>
      </c>
      <c r="R71" t="s">
        <v>20</v>
      </c>
      <c r="AA71" t="s">
        <v>322</v>
      </c>
      <c r="AB71" t="s">
        <v>20</v>
      </c>
      <c r="BF71" t="s">
        <v>118</v>
      </c>
    </row>
    <row r="72" spans="1:58" x14ac:dyDescent="0.3">
      <c r="A72" t="s">
        <v>132</v>
      </c>
      <c r="B72" s="5">
        <v>42073</v>
      </c>
      <c r="C72" t="s">
        <v>11</v>
      </c>
      <c r="D72" t="s">
        <v>12</v>
      </c>
      <c r="E72" t="s">
        <v>51</v>
      </c>
      <c r="F72" t="s">
        <v>81</v>
      </c>
      <c r="G72">
        <v>19</v>
      </c>
      <c r="H72">
        <v>25</v>
      </c>
      <c r="I72" t="s">
        <v>15</v>
      </c>
      <c r="N72" t="s">
        <v>229</v>
      </c>
      <c r="P72" t="s">
        <v>232</v>
      </c>
      <c r="Q72" t="s">
        <v>301</v>
      </c>
      <c r="R72" t="s">
        <v>20</v>
      </c>
      <c r="AA72" t="s">
        <v>325</v>
      </c>
      <c r="AB72" t="s">
        <v>20</v>
      </c>
      <c r="BF72" t="s">
        <v>14</v>
      </c>
    </row>
    <row r="73" spans="1:58" x14ac:dyDescent="0.3">
      <c r="A73" t="s">
        <v>133</v>
      </c>
      <c r="B73" s="5">
        <v>42074</v>
      </c>
      <c r="C73" t="s">
        <v>20</v>
      </c>
      <c r="D73" t="s">
        <v>85</v>
      </c>
      <c r="E73" t="s">
        <v>17</v>
      </c>
      <c r="F73" t="s">
        <v>134</v>
      </c>
      <c r="G73">
        <v>18</v>
      </c>
      <c r="H73">
        <v>5</v>
      </c>
      <c r="I73" t="s">
        <v>15</v>
      </c>
      <c r="N73" t="s">
        <v>230</v>
      </c>
      <c r="P73" t="s">
        <v>233</v>
      </c>
      <c r="Q73" t="s">
        <v>302</v>
      </c>
      <c r="R73" t="s">
        <v>20</v>
      </c>
      <c r="AA73" t="s">
        <v>327</v>
      </c>
      <c r="AB73" t="s">
        <v>20</v>
      </c>
      <c r="BF73" t="s">
        <v>81</v>
      </c>
    </row>
    <row r="74" spans="1:58" x14ac:dyDescent="0.3">
      <c r="A74" t="s">
        <v>135</v>
      </c>
      <c r="B74" s="5">
        <v>42074</v>
      </c>
      <c r="C74" t="s">
        <v>20</v>
      </c>
      <c r="D74" t="s">
        <v>85</v>
      </c>
      <c r="E74" t="s">
        <v>34</v>
      </c>
      <c r="F74" t="s">
        <v>136</v>
      </c>
      <c r="G74">
        <v>9.5</v>
      </c>
      <c r="H74">
        <v>5</v>
      </c>
      <c r="I74" t="s">
        <v>15</v>
      </c>
      <c r="N74" t="s">
        <v>232</v>
      </c>
      <c r="P74" t="s">
        <v>235</v>
      </c>
      <c r="Q74" t="s">
        <v>306</v>
      </c>
      <c r="R74" t="s">
        <v>20</v>
      </c>
      <c r="AA74" t="s">
        <v>333</v>
      </c>
      <c r="AB74" t="s">
        <v>20</v>
      </c>
      <c r="BF74" t="s">
        <v>134</v>
      </c>
    </row>
    <row r="75" spans="1:58" x14ac:dyDescent="0.3">
      <c r="A75" t="s">
        <v>137</v>
      </c>
      <c r="B75" s="5">
        <v>42075</v>
      </c>
      <c r="C75" t="s">
        <v>28</v>
      </c>
      <c r="D75" t="s">
        <v>45</v>
      </c>
      <c r="E75" t="s">
        <v>51</v>
      </c>
      <c r="F75" t="s">
        <v>138</v>
      </c>
      <c r="G75">
        <v>32.799999999999997</v>
      </c>
      <c r="H75">
        <v>2</v>
      </c>
      <c r="I75" t="s">
        <v>26</v>
      </c>
      <c r="N75" t="s">
        <v>233</v>
      </c>
      <c r="P75" t="s">
        <v>236</v>
      </c>
      <c r="Q75" t="s">
        <v>308</v>
      </c>
      <c r="R75" t="s">
        <v>20</v>
      </c>
      <c r="AA75" t="s">
        <v>334</v>
      </c>
      <c r="AB75" t="s">
        <v>20</v>
      </c>
      <c r="BF75" t="s">
        <v>136</v>
      </c>
    </row>
    <row r="76" spans="1:58" x14ac:dyDescent="0.3">
      <c r="A76" t="s">
        <v>139</v>
      </c>
      <c r="B76" s="5">
        <v>42075</v>
      </c>
      <c r="C76" t="s">
        <v>11</v>
      </c>
      <c r="D76" t="s">
        <v>45</v>
      </c>
      <c r="E76" t="s">
        <v>21</v>
      </c>
      <c r="F76" t="s">
        <v>22</v>
      </c>
      <c r="G76">
        <v>28.5</v>
      </c>
      <c r="H76">
        <v>30</v>
      </c>
      <c r="I76" t="s">
        <v>26</v>
      </c>
      <c r="N76" t="s">
        <v>235</v>
      </c>
      <c r="P76" t="s">
        <v>237</v>
      </c>
      <c r="Q76" t="s">
        <v>310</v>
      </c>
      <c r="R76" t="s">
        <v>20</v>
      </c>
      <c r="AA76" t="s">
        <v>343</v>
      </c>
      <c r="AB76" t="s">
        <v>20</v>
      </c>
      <c r="BF76" t="s">
        <v>138</v>
      </c>
    </row>
    <row r="77" spans="1:58" x14ac:dyDescent="0.3">
      <c r="A77" t="s">
        <v>140</v>
      </c>
      <c r="B77" s="5">
        <v>42078</v>
      </c>
      <c r="C77" t="s">
        <v>11</v>
      </c>
      <c r="D77" t="s">
        <v>12</v>
      </c>
      <c r="E77" t="s">
        <v>17</v>
      </c>
      <c r="F77" t="s">
        <v>79</v>
      </c>
      <c r="G77">
        <v>18</v>
      </c>
      <c r="H77">
        <v>21</v>
      </c>
      <c r="I77" t="s">
        <v>26</v>
      </c>
      <c r="N77" t="s">
        <v>236</v>
      </c>
      <c r="P77" t="s">
        <v>238</v>
      </c>
      <c r="Q77" t="s">
        <v>313</v>
      </c>
      <c r="R77" t="s">
        <v>20</v>
      </c>
      <c r="AA77" t="s">
        <v>347</v>
      </c>
      <c r="AB77" t="s">
        <v>20</v>
      </c>
      <c r="BF77" t="s">
        <v>22</v>
      </c>
    </row>
    <row r="78" spans="1:58" x14ac:dyDescent="0.3">
      <c r="A78" t="s">
        <v>141</v>
      </c>
      <c r="B78" s="5">
        <v>42078</v>
      </c>
      <c r="C78" t="s">
        <v>31</v>
      </c>
      <c r="D78" t="s">
        <v>12</v>
      </c>
      <c r="E78" t="s">
        <v>34</v>
      </c>
      <c r="F78" t="s">
        <v>64</v>
      </c>
      <c r="G78">
        <v>9</v>
      </c>
      <c r="H78">
        <v>8</v>
      </c>
      <c r="I78" t="s">
        <v>26</v>
      </c>
      <c r="N78" t="s">
        <v>237</v>
      </c>
      <c r="P78" t="s">
        <v>239</v>
      </c>
      <c r="Q78" t="s">
        <v>314</v>
      </c>
      <c r="R78" t="s">
        <v>20</v>
      </c>
      <c r="AA78" t="s">
        <v>348</v>
      </c>
      <c r="AB78" t="s">
        <v>20</v>
      </c>
      <c r="BF78" t="s">
        <v>79</v>
      </c>
    </row>
    <row r="79" spans="1:58" x14ac:dyDescent="0.3">
      <c r="A79" t="s">
        <v>142</v>
      </c>
      <c r="B79" s="5">
        <v>42078</v>
      </c>
      <c r="C79" t="s">
        <v>31</v>
      </c>
      <c r="D79" t="s">
        <v>12</v>
      </c>
      <c r="E79" t="s">
        <v>51</v>
      </c>
      <c r="F79" t="s">
        <v>81</v>
      </c>
      <c r="G79">
        <v>62.5</v>
      </c>
      <c r="H79">
        <v>4</v>
      </c>
      <c r="I79" t="s">
        <v>26</v>
      </c>
      <c r="N79" t="s">
        <v>238</v>
      </c>
      <c r="P79" t="s">
        <v>240</v>
      </c>
      <c r="Q79" t="s">
        <v>42</v>
      </c>
      <c r="R79" t="s">
        <v>20</v>
      </c>
      <c r="AA79" t="s">
        <v>349</v>
      </c>
      <c r="AB79" t="s">
        <v>20</v>
      </c>
      <c r="BF79" t="s">
        <v>81</v>
      </c>
    </row>
    <row r="80" spans="1:58" x14ac:dyDescent="0.3">
      <c r="A80" t="s">
        <v>143</v>
      </c>
      <c r="B80" s="5">
        <v>42079</v>
      </c>
      <c r="C80" t="s">
        <v>11</v>
      </c>
      <c r="D80" t="s">
        <v>24</v>
      </c>
      <c r="E80" t="s">
        <v>17</v>
      </c>
      <c r="F80" t="s">
        <v>144</v>
      </c>
      <c r="G80">
        <v>14</v>
      </c>
      <c r="H80">
        <v>20</v>
      </c>
      <c r="I80" t="s">
        <v>26</v>
      </c>
      <c r="N80" t="s">
        <v>239</v>
      </c>
      <c r="P80" t="s">
        <v>248</v>
      </c>
      <c r="Q80" t="s">
        <v>315</v>
      </c>
      <c r="R80" t="s">
        <v>20</v>
      </c>
      <c r="AA80" t="s">
        <v>356</v>
      </c>
      <c r="AB80" t="s">
        <v>20</v>
      </c>
      <c r="BF80" t="s">
        <v>144</v>
      </c>
    </row>
    <row r="81" spans="1:58" x14ac:dyDescent="0.3">
      <c r="A81" t="s">
        <v>145</v>
      </c>
      <c r="B81" s="5">
        <v>42079</v>
      </c>
      <c r="C81" t="s">
        <v>28</v>
      </c>
      <c r="D81" t="s">
        <v>24</v>
      </c>
      <c r="E81" t="s">
        <v>13</v>
      </c>
      <c r="F81" t="s">
        <v>14</v>
      </c>
      <c r="G81">
        <v>45.6</v>
      </c>
      <c r="H81">
        <v>8</v>
      </c>
      <c r="I81" t="s">
        <v>26</v>
      </c>
      <c r="N81" t="s">
        <v>240</v>
      </c>
      <c r="P81" t="s">
        <v>249</v>
      </c>
      <c r="Q81" t="s">
        <v>316</v>
      </c>
      <c r="R81" t="s">
        <v>20</v>
      </c>
      <c r="AA81" t="s">
        <v>357</v>
      </c>
      <c r="AB81" t="s">
        <v>20</v>
      </c>
      <c r="BF81" t="s">
        <v>14</v>
      </c>
    </row>
    <row r="82" spans="1:58" x14ac:dyDescent="0.3">
      <c r="A82" t="s">
        <v>146</v>
      </c>
      <c r="B82" s="5">
        <v>42080</v>
      </c>
      <c r="C82" t="s">
        <v>11</v>
      </c>
      <c r="D82" t="s">
        <v>45</v>
      </c>
      <c r="E82" t="s">
        <v>21</v>
      </c>
      <c r="F82" t="s">
        <v>22</v>
      </c>
      <c r="G82">
        <v>21</v>
      </c>
      <c r="H82">
        <v>21</v>
      </c>
      <c r="I82" t="s">
        <v>26</v>
      </c>
      <c r="N82" t="s">
        <v>248</v>
      </c>
      <c r="P82" t="s">
        <v>253</v>
      </c>
      <c r="Q82" t="s">
        <v>322</v>
      </c>
      <c r="R82" t="s">
        <v>20</v>
      </c>
      <c r="AA82" t="s">
        <v>367</v>
      </c>
      <c r="AB82" t="s">
        <v>20</v>
      </c>
      <c r="BF82" t="s">
        <v>22</v>
      </c>
    </row>
    <row r="83" spans="1:58" x14ac:dyDescent="0.3">
      <c r="A83" t="s">
        <v>147</v>
      </c>
      <c r="B83" s="5">
        <v>42080</v>
      </c>
      <c r="C83" t="s">
        <v>31</v>
      </c>
      <c r="D83" t="s">
        <v>45</v>
      </c>
      <c r="E83" t="s">
        <v>21</v>
      </c>
      <c r="F83" t="s">
        <v>22</v>
      </c>
      <c r="G83">
        <v>6</v>
      </c>
      <c r="H83">
        <v>15</v>
      </c>
      <c r="I83" t="s">
        <v>26</v>
      </c>
      <c r="N83" t="s">
        <v>249</v>
      </c>
      <c r="P83" t="s">
        <v>254</v>
      </c>
      <c r="Q83" t="s">
        <v>325</v>
      </c>
      <c r="R83" t="s">
        <v>20</v>
      </c>
      <c r="AA83" t="s">
        <v>370</v>
      </c>
      <c r="AB83" t="s">
        <v>20</v>
      </c>
      <c r="BF83" t="s">
        <v>22</v>
      </c>
    </row>
    <row r="84" spans="1:58" x14ac:dyDescent="0.3">
      <c r="A84" t="s">
        <v>148</v>
      </c>
      <c r="B84" s="5">
        <v>42080</v>
      </c>
      <c r="C84" t="s">
        <v>31</v>
      </c>
      <c r="D84" t="s">
        <v>45</v>
      </c>
      <c r="E84" t="s">
        <v>51</v>
      </c>
      <c r="F84" t="s">
        <v>81</v>
      </c>
      <c r="G84">
        <v>12</v>
      </c>
      <c r="H84">
        <v>15</v>
      </c>
      <c r="I84" t="s">
        <v>26</v>
      </c>
      <c r="N84" t="s">
        <v>253</v>
      </c>
      <c r="P84" t="s">
        <v>255</v>
      </c>
      <c r="Q84" t="s">
        <v>327</v>
      </c>
      <c r="R84" t="s">
        <v>20</v>
      </c>
      <c r="AA84" t="s">
        <v>372</v>
      </c>
      <c r="AB84" t="s">
        <v>20</v>
      </c>
      <c r="BF84" t="s">
        <v>81</v>
      </c>
    </row>
    <row r="85" spans="1:58" x14ac:dyDescent="0.3">
      <c r="A85" t="s">
        <v>149</v>
      </c>
      <c r="B85" s="5">
        <v>42082</v>
      </c>
      <c r="C85" t="s">
        <v>31</v>
      </c>
      <c r="D85" t="s">
        <v>85</v>
      </c>
      <c r="E85" t="s">
        <v>51</v>
      </c>
      <c r="F85" t="s">
        <v>81</v>
      </c>
      <c r="G85">
        <v>24</v>
      </c>
      <c r="H85">
        <v>4</v>
      </c>
      <c r="I85" t="s">
        <v>26</v>
      </c>
      <c r="N85" t="s">
        <v>254</v>
      </c>
      <c r="P85" t="s">
        <v>256</v>
      </c>
      <c r="Q85" t="s">
        <v>333</v>
      </c>
      <c r="R85" t="s">
        <v>20</v>
      </c>
      <c r="AA85" t="s">
        <v>376</v>
      </c>
      <c r="AB85" t="s">
        <v>20</v>
      </c>
      <c r="BF85" t="s">
        <v>81</v>
      </c>
    </row>
    <row r="86" spans="1:58" x14ac:dyDescent="0.3">
      <c r="A86" t="s">
        <v>150</v>
      </c>
      <c r="B86" s="5">
        <v>42082</v>
      </c>
      <c r="C86" t="s">
        <v>11</v>
      </c>
      <c r="D86" t="s">
        <v>85</v>
      </c>
      <c r="E86" t="s">
        <v>34</v>
      </c>
      <c r="F86" t="s">
        <v>64</v>
      </c>
      <c r="G86">
        <v>53</v>
      </c>
      <c r="H86">
        <v>40</v>
      </c>
      <c r="I86" t="s">
        <v>26</v>
      </c>
      <c r="N86" t="s">
        <v>255</v>
      </c>
      <c r="P86" t="s">
        <v>257</v>
      </c>
      <c r="Q86" t="s">
        <v>334</v>
      </c>
      <c r="R86" t="s">
        <v>20</v>
      </c>
      <c r="AA86" t="s">
        <v>379</v>
      </c>
      <c r="AB86" t="s">
        <v>20</v>
      </c>
      <c r="BF86" t="s">
        <v>66</v>
      </c>
    </row>
    <row r="87" spans="1:58" x14ac:dyDescent="0.3">
      <c r="A87" t="s">
        <v>151</v>
      </c>
      <c r="B87" s="5">
        <v>42082</v>
      </c>
      <c r="C87" t="s">
        <v>31</v>
      </c>
      <c r="D87" t="s">
        <v>85</v>
      </c>
      <c r="E87" t="s">
        <v>34</v>
      </c>
      <c r="F87" t="s">
        <v>64</v>
      </c>
      <c r="G87">
        <v>16.25</v>
      </c>
      <c r="H87">
        <v>9</v>
      </c>
      <c r="I87" t="s">
        <v>26</v>
      </c>
      <c r="N87" t="s">
        <v>256</v>
      </c>
      <c r="P87" t="s">
        <v>258</v>
      </c>
      <c r="Q87" t="s">
        <v>343</v>
      </c>
      <c r="R87" t="s">
        <v>20</v>
      </c>
      <c r="AA87" t="s">
        <v>381</v>
      </c>
      <c r="AB87" t="s">
        <v>20</v>
      </c>
      <c r="BF87" t="s">
        <v>99</v>
      </c>
    </row>
    <row r="88" spans="1:58" x14ac:dyDescent="0.3">
      <c r="A88" t="s">
        <v>152</v>
      </c>
      <c r="B88" s="5">
        <v>42082</v>
      </c>
      <c r="C88" t="s">
        <v>28</v>
      </c>
      <c r="D88" t="s">
        <v>45</v>
      </c>
      <c r="E88" t="s">
        <v>13</v>
      </c>
      <c r="F88" t="s">
        <v>66</v>
      </c>
      <c r="G88">
        <v>55</v>
      </c>
      <c r="H88">
        <v>4</v>
      </c>
      <c r="I88" t="s">
        <v>26</v>
      </c>
      <c r="N88" t="s">
        <v>257</v>
      </c>
      <c r="P88" t="s">
        <v>259</v>
      </c>
      <c r="Q88" t="s">
        <v>347</v>
      </c>
      <c r="R88" t="s">
        <v>20</v>
      </c>
      <c r="AA88" t="s">
        <v>383</v>
      </c>
      <c r="AB88" t="s">
        <v>20</v>
      </c>
      <c r="BF88" t="s">
        <v>35</v>
      </c>
    </row>
    <row r="89" spans="1:58" x14ac:dyDescent="0.3">
      <c r="A89" t="s">
        <v>153</v>
      </c>
      <c r="B89" s="5">
        <v>42085</v>
      </c>
      <c r="C89" t="s">
        <v>11</v>
      </c>
      <c r="D89" t="s">
        <v>45</v>
      </c>
      <c r="E89" t="s">
        <v>13</v>
      </c>
      <c r="F89" t="s">
        <v>99</v>
      </c>
      <c r="G89">
        <v>12.5</v>
      </c>
      <c r="H89">
        <v>50</v>
      </c>
      <c r="I89" t="s">
        <v>26</v>
      </c>
      <c r="N89" t="s">
        <v>258</v>
      </c>
      <c r="P89" t="s">
        <v>260</v>
      </c>
      <c r="Q89" t="s">
        <v>348</v>
      </c>
      <c r="R89" t="s">
        <v>20</v>
      </c>
      <c r="AA89" t="s">
        <v>127</v>
      </c>
      <c r="AB89" t="s">
        <v>20</v>
      </c>
      <c r="BF89" t="s">
        <v>61</v>
      </c>
    </row>
    <row r="90" spans="1:58" x14ac:dyDescent="0.3">
      <c r="A90" t="s">
        <v>154</v>
      </c>
      <c r="B90" s="5">
        <v>42085</v>
      </c>
      <c r="C90" t="s">
        <v>11</v>
      </c>
      <c r="D90" t="s">
        <v>45</v>
      </c>
      <c r="E90" t="s">
        <v>34</v>
      </c>
      <c r="F90" t="s">
        <v>35</v>
      </c>
      <c r="G90">
        <v>81</v>
      </c>
      <c r="H90">
        <v>50</v>
      </c>
      <c r="I90" t="s">
        <v>26</v>
      </c>
      <c r="N90" t="s">
        <v>259</v>
      </c>
      <c r="P90" t="s">
        <v>261</v>
      </c>
      <c r="Q90" t="s">
        <v>349</v>
      </c>
      <c r="R90" t="s">
        <v>20</v>
      </c>
      <c r="AA90" t="s">
        <v>388</v>
      </c>
      <c r="AB90" t="s">
        <v>20</v>
      </c>
      <c r="BF90" t="s">
        <v>81</v>
      </c>
    </row>
    <row r="91" spans="1:58" x14ac:dyDescent="0.3">
      <c r="A91" t="s">
        <v>155</v>
      </c>
      <c r="B91" s="5">
        <v>42087</v>
      </c>
      <c r="C91" t="s">
        <v>20</v>
      </c>
      <c r="D91" t="s">
        <v>24</v>
      </c>
      <c r="E91" t="s">
        <v>21</v>
      </c>
      <c r="F91" t="s">
        <v>61</v>
      </c>
      <c r="G91">
        <v>21.35</v>
      </c>
      <c r="H91">
        <v>20</v>
      </c>
      <c r="I91" t="s">
        <v>26</v>
      </c>
      <c r="N91" t="s">
        <v>260</v>
      </c>
      <c r="P91" t="s">
        <v>262</v>
      </c>
      <c r="Q91" t="s">
        <v>356</v>
      </c>
      <c r="R91" t="s">
        <v>20</v>
      </c>
      <c r="AA91" t="s">
        <v>389</v>
      </c>
      <c r="AB91" t="s">
        <v>20</v>
      </c>
      <c r="BF91" t="s">
        <v>56</v>
      </c>
    </row>
    <row r="92" spans="1:58" x14ac:dyDescent="0.3">
      <c r="A92" t="s">
        <v>156</v>
      </c>
      <c r="B92" s="5">
        <v>42087</v>
      </c>
      <c r="C92" t="s">
        <v>11</v>
      </c>
      <c r="D92" t="s">
        <v>24</v>
      </c>
      <c r="E92" t="s">
        <v>51</v>
      </c>
      <c r="F92" t="s">
        <v>81</v>
      </c>
      <c r="G92">
        <v>30</v>
      </c>
      <c r="H92">
        <v>6</v>
      </c>
      <c r="I92" t="s">
        <v>26</v>
      </c>
      <c r="N92" t="s">
        <v>261</v>
      </c>
      <c r="P92" t="s">
        <v>278</v>
      </c>
      <c r="Q92" t="s">
        <v>357</v>
      </c>
      <c r="R92" t="s">
        <v>20</v>
      </c>
      <c r="AA92" t="s">
        <v>391</v>
      </c>
      <c r="AB92" t="s">
        <v>20</v>
      </c>
      <c r="BF92" t="s">
        <v>25</v>
      </c>
    </row>
    <row r="93" spans="1:58" x14ac:dyDescent="0.3">
      <c r="A93" t="s">
        <v>157</v>
      </c>
      <c r="B93" s="5">
        <v>42087</v>
      </c>
      <c r="C93" t="s">
        <v>20</v>
      </c>
      <c r="D93" t="s">
        <v>24</v>
      </c>
      <c r="E93" t="s">
        <v>13</v>
      </c>
      <c r="F93" t="s">
        <v>56</v>
      </c>
      <c r="G93">
        <v>34.799999999999997</v>
      </c>
      <c r="H93">
        <v>5</v>
      </c>
      <c r="I93" t="s">
        <v>26</v>
      </c>
      <c r="N93" t="s">
        <v>262</v>
      </c>
      <c r="P93" t="s">
        <v>279</v>
      </c>
      <c r="Q93" t="s">
        <v>367</v>
      </c>
      <c r="R93" t="s">
        <v>20</v>
      </c>
      <c r="AA93" t="s">
        <v>392</v>
      </c>
      <c r="AB93" t="s">
        <v>20</v>
      </c>
      <c r="BF93" t="s">
        <v>134</v>
      </c>
    </row>
    <row r="94" spans="1:58" x14ac:dyDescent="0.3">
      <c r="A94" t="s">
        <v>158</v>
      </c>
      <c r="B94" s="5">
        <v>42087</v>
      </c>
      <c r="C94" t="s">
        <v>11</v>
      </c>
      <c r="D94" t="s">
        <v>12</v>
      </c>
      <c r="E94" t="s">
        <v>17</v>
      </c>
      <c r="F94" t="s">
        <v>25</v>
      </c>
      <c r="G94">
        <v>7.75</v>
      </c>
      <c r="H94">
        <v>20</v>
      </c>
      <c r="I94" t="s">
        <v>26</v>
      </c>
      <c r="N94" t="s">
        <v>278</v>
      </c>
      <c r="P94" t="s">
        <v>280</v>
      </c>
      <c r="Q94" t="s">
        <v>370</v>
      </c>
      <c r="R94" t="s">
        <v>20</v>
      </c>
      <c r="AA94" t="s">
        <v>398</v>
      </c>
      <c r="AB94" t="s">
        <v>20</v>
      </c>
      <c r="BF94" t="s">
        <v>22</v>
      </c>
    </row>
    <row r="95" spans="1:58" x14ac:dyDescent="0.3">
      <c r="A95" t="s">
        <v>159</v>
      </c>
      <c r="B95" s="5">
        <v>42088</v>
      </c>
      <c r="C95" t="s">
        <v>11</v>
      </c>
      <c r="D95" t="s">
        <v>24</v>
      </c>
      <c r="E95" t="s">
        <v>17</v>
      </c>
      <c r="F95" t="s">
        <v>134</v>
      </c>
      <c r="G95">
        <v>18</v>
      </c>
      <c r="H95">
        <v>60</v>
      </c>
      <c r="I95" t="s">
        <v>15</v>
      </c>
      <c r="N95" t="s">
        <v>279</v>
      </c>
      <c r="P95" t="s">
        <v>281</v>
      </c>
      <c r="Q95" t="s">
        <v>372</v>
      </c>
      <c r="R95" t="s">
        <v>20</v>
      </c>
      <c r="AA95" t="s">
        <v>402</v>
      </c>
      <c r="AB95" t="s">
        <v>20</v>
      </c>
      <c r="BF95" t="s">
        <v>81</v>
      </c>
    </row>
    <row r="96" spans="1:58" x14ac:dyDescent="0.3">
      <c r="A96" t="s">
        <v>160</v>
      </c>
      <c r="B96" s="5">
        <v>42088</v>
      </c>
      <c r="C96" t="s">
        <v>20</v>
      </c>
      <c r="D96" t="s">
        <v>12</v>
      </c>
      <c r="E96" t="s">
        <v>21</v>
      </c>
      <c r="F96" t="s">
        <v>22</v>
      </c>
      <c r="G96">
        <v>7</v>
      </c>
      <c r="H96">
        <v>6</v>
      </c>
      <c r="I96" t="s">
        <v>15</v>
      </c>
      <c r="N96" t="s">
        <v>280</v>
      </c>
      <c r="P96" t="s">
        <v>291</v>
      </c>
      <c r="Q96" t="s">
        <v>376</v>
      </c>
      <c r="R96" t="s">
        <v>20</v>
      </c>
      <c r="AA96" t="s">
        <v>416</v>
      </c>
      <c r="AB96" t="s">
        <v>20</v>
      </c>
      <c r="BF96" t="s">
        <v>22</v>
      </c>
    </row>
    <row r="97" spans="1:58" x14ac:dyDescent="0.3">
      <c r="A97" t="s">
        <v>161</v>
      </c>
      <c r="B97" s="5">
        <v>42092</v>
      </c>
      <c r="C97" t="s">
        <v>11</v>
      </c>
      <c r="D97" t="s">
        <v>12</v>
      </c>
      <c r="E97" t="s">
        <v>51</v>
      </c>
      <c r="F97" t="s">
        <v>81</v>
      </c>
      <c r="G97">
        <v>12</v>
      </c>
      <c r="H97">
        <v>9</v>
      </c>
      <c r="I97" t="s">
        <v>26</v>
      </c>
      <c r="N97" t="s">
        <v>281</v>
      </c>
      <c r="P97" t="s">
        <v>292</v>
      </c>
      <c r="Q97" t="s">
        <v>379</v>
      </c>
      <c r="R97" t="s">
        <v>20</v>
      </c>
      <c r="AA97" t="s">
        <v>422</v>
      </c>
      <c r="AB97" t="s">
        <v>20</v>
      </c>
      <c r="BF97" t="s">
        <v>32</v>
      </c>
    </row>
    <row r="98" spans="1:58" x14ac:dyDescent="0.3">
      <c r="A98" t="s">
        <v>162</v>
      </c>
      <c r="B98" s="5">
        <v>42093</v>
      </c>
      <c r="C98" t="s">
        <v>11</v>
      </c>
      <c r="D98" t="s">
        <v>85</v>
      </c>
      <c r="E98" t="s">
        <v>21</v>
      </c>
      <c r="F98" t="s">
        <v>22</v>
      </c>
      <c r="G98">
        <v>7</v>
      </c>
      <c r="H98">
        <v>40</v>
      </c>
      <c r="I98" t="s">
        <v>15</v>
      </c>
      <c r="N98" t="s">
        <v>291</v>
      </c>
      <c r="P98" t="s">
        <v>293</v>
      </c>
      <c r="Q98" t="s">
        <v>381</v>
      </c>
      <c r="R98" t="s">
        <v>20</v>
      </c>
      <c r="AA98" t="s">
        <v>127</v>
      </c>
      <c r="AB98" t="s">
        <v>20</v>
      </c>
      <c r="BF98" t="s">
        <v>134</v>
      </c>
    </row>
    <row r="99" spans="1:58" x14ac:dyDescent="0.3">
      <c r="A99" t="s">
        <v>163</v>
      </c>
      <c r="B99" s="5">
        <v>42096</v>
      </c>
      <c r="C99" t="s">
        <v>28</v>
      </c>
      <c r="D99" t="s">
        <v>85</v>
      </c>
      <c r="E99" t="s">
        <v>17</v>
      </c>
      <c r="F99" t="s">
        <v>32</v>
      </c>
      <c r="G99">
        <v>263.5</v>
      </c>
      <c r="H99">
        <v>60</v>
      </c>
      <c r="I99" t="s">
        <v>26</v>
      </c>
      <c r="N99" t="s">
        <v>292</v>
      </c>
      <c r="P99" t="s">
        <v>294</v>
      </c>
      <c r="Q99" t="s">
        <v>383</v>
      </c>
      <c r="R99" t="s">
        <v>20</v>
      </c>
      <c r="AA99" t="s">
        <v>426</v>
      </c>
      <c r="AB99" t="s">
        <v>20</v>
      </c>
      <c r="BF99" t="s">
        <v>97</v>
      </c>
    </row>
    <row r="100" spans="1:58" x14ac:dyDescent="0.3">
      <c r="A100" t="s">
        <v>164</v>
      </c>
      <c r="B100" s="5">
        <v>42099</v>
      </c>
      <c r="C100" t="s">
        <v>28</v>
      </c>
      <c r="D100" t="s">
        <v>24</v>
      </c>
      <c r="E100" t="s">
        <v>17</v>
      </c>
      <c r="F100" t="s">
        <v>134</v>
      </c>
      <c r="G100">
        <v>18</v>
      </c>
      <c r="H100">
        <v>10</v>
      </c>
      <c r="I100" t="s">
        <v>26</v>
      </c>
      <c r="N100" t="s">
        <v>293</v>
      </c>
      <c r="P100" t="s">
        <v>297</v>
      </c>
      <c r="Q100" t="s">
        <v>127</v>
      </c>
      <c r="R100" t="s">
        <v>20</v>
      </c>
      <c r="AA100" t="s">
        <v>427</v>
      </c>
      <c r="AB100" t="s">
        <v>20</v>
      </c>
      <c r="BF100" t="s">
        <v>14</v>
      </c>
    </row>
    <row r="101" spans="1:58" x14ac:dyDescent="0.3">
      <c r="A101" t="s">
        <v>165</v>
      </c>
      <c r="B101" s="5">
        <v>42099</v>
      </c>
      <c r="C101" t="s">
        <v>20</v>
      </c>
      <c r="D101" t="s">
        <v>24</v>
      </c>
      <c r="E101" t="s">
        <v>21</v>
      </c>
      <c r="F101" t="s">
        <v>97</v>
      </c>
      <c r="G101">
        <v>13</v>
      </c>
      <c r="H101">
        <v>15</v>
      </c>
      <c r="I101" t="s">
        <v>26</v>
      </c>
      <c r="N101" t="s">
        <v>294</v>
      </c>
      <c r="P101" t="s">
        <v>298</v>
      </c>
      <c r="Q101" t="s">
        <v>388</v>
      </c>
      <c r="R101" t="s">
        <v>20</v>
      </c>
      <c r="AA101" t="s">
        <v>429</v>
      </c>
      <c r="AB101" t="s">
        <v>20</v>
      </c>
      <c r="BF101" t="s">
        <v>35</v>
      </c>
    </row>
    <row r="102" spans="1:58" x14ac:dyDescent="0.3">
      <c r="A102" t="s">
        <v>166</v>
      </c>
      <c r="B102" s="5">
        <v>42099</v>
      </c>
      <c r="C102" t="s">
        <v>11</v>
      </c>
      <c r="D102" t="s">
        <v>24</v>
      </c>
      <c r="E102" t="s">
        <v>13</v>
      </c>
      <c r="F102" t="s">
        <v>14</v>
      </c>
      <c r="G102">
        <v>21</v>
      </c>
      <c r="H102">
        <v>30</v>
      </c>
      <c r="I102" t="s">
        <v>26</v>
      </c>
      <c r="N102" t="s">
        <v>297</v>
      </c>
      <c r="P102" t="s">
        <v>300</v>
      </c>
      <c r="Q102" t="s">
        <v>389</v>
      </c>
      <c r="R102" t="s">
        <v>20</v>
      </c>
      <c r="AA102" t="s">
        <v>436</v>
      </c>
      <c r="AB102" t="s">
        <v>20</v>
      </c>
      <c r="BF102" t="s">
        <v>39</v>
      </c>
    </row>
    <row r="103" spans="1:58" x14ac:dyDescent="0.3">
      <c r="A103" t="s">
        <v>167</v>
      </c>
      <c r="B103" s="5">
        <v>42099</v>
      </c>
      <c r="C103" t="s">
        <v>20</v>
      </c>
      <c r="D103" t="s">
        <v>24</v>
      </c>
      <c r="E103" t="s">
        <v>34</v>
      </c>
      <c r="F103" t="s">
        <v>35</v>
      </c>
      <c r="G103">
        <v>81</v>
      </c>
      <c r="H103">
        <v>15</v>
      </c>
      <c r="I103" t="s">
        <v>26</v>
      </c>
      <c r="N103" t="s">
        <v>298</v>
      </c>
      <c r="P103" t="s">
        <v>304</v>
      </c>
      <c r="Q103" t="s">
        <v>391</v>
      </c>
      <c r="R103" t="s">
        <v>20</v>
      </c>
      <c r="AA103" t="s">
        <v>437</v>
      </c>
      <c r="AB103" t="s">
        <v>20</v>
      </c>
      <c r="BF103" t="s">
        <v>14</v>
      </c>
    </row>
    <row r="104" spans="1:58" x14ac:dyDescent="0.3">
      <c r="A104" t="s">
        <v>168</v>
      </c>
      <c r="B104" s="5">
        <v>42100</v>
      </c>
      <c r="C104" t="s">
        <v>28</v>
      </c>
      <c r="D104" t="s">
        <v>12</v>
      </c>
      <c r="E104" t="s">
        <v>21</v>
      </c>
      <c r="F104" t="s">
        <v>39</v>
      </c>
      <c r="G104">
        <v>25</v>
      </c>
      <c r="H104">
        <v>40</v>
      </c>
      <c r="I104" t="s">
        <v>15</v>
      </c>
      <c r="N104" t="s">
        <v>300</v>
      </c>
      <c r="P104" t="s">
        <v>305</v>
      </c>
      <c r="Q104" t="s">
        <v>392</v>
      </c>
      <c r="R104" t="s">
        <v>20</v>
      </c>
      <c r="AA104" t="s">
        <v>127</v>
      </c>
      <c r="AB104" t="s">
        <v>20</v>
      </c>
      <c r="BF104" t="s">
        <v>14</v>
      </c>
    </row>
    <row r="105" spans="1:58" x14ac:dyDescent="0.3">
      <c r="A105" t="s">
        <v>169</v>
      </c>
      <c r="B105" s="5">
        <v>42100</v>
      </c>
      <c r="C105" t="s">
        <v>11</v>
      </c>
      <c r="D105" t="s">
        <v>12</v>
      </c>
      <c r="E105" t="s">
        <v>13</v>
      </c>
      <c r="F105" t="s">
        <v>14</v>
      </c>
      <c r="G105">
        <v>21</v>
      </c>
      <c r="H105">
        <v>15</v>
      </c>
      <c r="I105" t="s">
        <v>15</v>
      </c>
      <c r="N105" t="s">
        <v>304</v>
      </c>
      <c r="P105" t="s">
        <v>312</v>
      </c>
      <c r="Q105" t="s">
        <v>398</v>
      </c>
      <c r="R105" t="s">
        <v>20</v>
      </c>
      <c r="AA105" t="s">
        <v>442</v>
      </c>
      <c r="AB105" t="s">
        <v>20</v>
      </c>
      <c r="BF105" t="s">
        <v>29</v>
      </c>
    </row>
    <row r="106" spans="1:58" x14ac:dyDescent="0.3">
      <c r="A106" t="s">
        <v>170</v>
      </c>
      <c r="B106" s="5">
        <v>42100</v>
      </c>
      <c r="C106" t="s">
        <v>11</v>
      </c>
      <c r="D106" t="s">
        <v>12</v>
      </c>
      <c r="E106" t="s">
        <v>34</v>
      </c>
      <c r="F106" t="s">
        <v>64</v>
      </c>
      <c r="G106">
        <v>9.65</v>
      </c>
      <c r="H106">
        <v>4</v>
      </c>
      <c r="I106" t="s">
        <v>15</v>
      </c>
      <c r="N106" t="s">
        <v>305</v>
      </c>
      <c r="P106" t="s">
        <v>313</v>
      </c>
      <c r="Q106" t="s">
        <v>402</v>
      </c>
      <c r="R106" t="s">
        <v>20</v>
      </c>
      <c r="AA106" t="s">
        <v>446</v>
      </c>
      <c r="AB106" t="s">
        <v>20</v>
      </c>
      <c r="BF106" t="s">
        <v>56</v>
      </c>
    </row>
    <row r="107" spans="1:58" x14ac:dyDescent="0.3">
      <c r="A107" t="s">
        <v>171</v>
      </c>
      <c r="B107" s="5">
        <v>42100</v>
      </c>
      <c r="C107" t="s">
        <v>11</v>
      </c>
      <c r="D107" t="s">
        <v>45</v>
      </c>
      <c r="E107" t="s">
        <v>13</v>
      </c>
      <c r="F107" t="s">
        <v>14</v>
      </c>
      <c r="G107">
        <v>30</v>
      </c>
      <c r="H107">
        <v>60</v>
      </c>
      <c r="I107" t="s">
        <v>15</v>
      </c>
      <c r="N107" t="s">
        <v>312</v>
      </c>
      <c r="P107" t="s">
        <v>314</v>
      </c>
      <c r="Q107" t="s">
        <v>416</v>
      </c>
      <c r="R107" t="s">
        <v>20</v>
      </c>
      <c r="AA107" t="s">
        <v>448</v>
      </c>
      <c r="AB107" t="s">
        <v>20</v>
      </c>
      <c r="BF107" t="s">
        <v>128</v>
      </c>
    </row>
    <row r="108" spans="1:58" x14ac:dyDescent="0.3">
      <c r="A108" t="s">
        <v>172</v>
      </c>
      <c r="B108" s="5">
        <v>42100</v>
      </c>
      <c r="C108" t="s">
        <v>28</v>
      </c>
      <c r="D108" t="s">
        <v>45</v>
      </c>
      <c r="E108" t="s">
        <v>17</v>
      </c>
      <c r="F108" t="s">
        <v>29</v>
      </c>
      <c r="G108">
        <v>46</v>
      </c>
      <c r="H108">
        <v>6</v>
      </c>
      <c r="I108" t="s">
        <v>15</v>
      </c>
      <c r="N108" t="s">
        <v>313</v>
      </c>
      <c r="P108" t="s">
        <v>42</v>
      </c>
      <c r="Q108" t="s">
        <v>422</v>
      </c>
      <c r="R108" t="s">
        <v>20</v>
      </c>
      <c r="AA108" t="s">
        <v>452</v>
      </c>
      <c r="AB108" t="s">
        <v>20</v>
      </c>
      <c r="BF108" t="s">
        <v>41</v>
      </c>
    </row>
    <row r="109" spans="1:58" x14ac:dyDescent="0.3">
      <c r="A109" t="s">
        <v>173</v>
      </c>
      <c r="B109" s="5">
        <v>42100</v>
      </c>
      <c r="C109" t="s">
        <v>20</v>
      </c>
      <c r="D109" t="s">
        <v>45</v>
      </c>
      <c r="E109" t="s">
        <v>13</v>
      </c>
      <c r="F109" t="s">
        <v>56</v>
      </c>
      <c r="G109">
        <v>34.799999999999997</v>
      </c>
      <c r="H109">
        <v>20</v>
      </c>
      <c r="I109" t="s">
        <v>15</v>
      </c>
      <c r="N109" t="s">
        <v>314</v>
      </c>
      <c r="P109" t="s">
        <v>317</v>
      </c>
      <c r="Q109" t="s">
        <v>127</v>
      </c>
      <c r="R109" t="s">
        <v>20</v>
      </c>
      <c r="AA109" t="s">
        <v>458</v>
      </c>
      <c r="AB109" t="s">
        <v>20</v>
      </c>
      <c r="BF109" t="s">
        <v>14</v>
      </c>
    </row>
    <row r="110" spans="1:58" x14ac:dyDescent="0.3">
      <c r="A110" t="s">
        <v>174</v>
      </c>
      <c r="B110" s="5">
        <v>42108</v>
      </c>
      <c r="C110" t="s">
        <v>31</v>
      </c>
      <c r="D110" t="s">
        <v>85</v>
      </c>
      <c r="E110" t="s">
        <v>17</v>
      </c>
      <c r="F110" t="s">
        <v>128</v>
      </c>
      <c r="G110">
        <v>4.5</v>
      </c>
      <c r="H110">
        <v>12</v>
      </c>
      <c r="I110" t="s">
        <v>15</v>
      </c>
      <c r="N110" t="s">
        <v>42</v>
      </c>
      <c r="P110" t="s">
        <v>318</v>
      </c>
      <c r="Q110" t="s">
        <v>426</v>
      </c>
      <c r="R110" t="s">
        <v>20</v>
      </c>
      <c r="AA110" t="s">
        <v>460</v>
      </c>
      <c r="AB110" t="s">
        <v>20</v>
      </c>
      <c r="BF110" t="s">
        <v>54</v>
      </c>
    </row>
    <row r="111" spans="1:58" x14ac:dyDescent="0.3">
      <c r="A111" t="s">
        <v>175</v>
      </c>
      <c r="B111" s="5">
        <v>42108</v>
      </c>
      <c r="C111" t="s">
        <v>20</v>
      </c>
      <c r="D111" t="s">
        <v>85</v>
      </c>
      <c r="E111" t="s">
        <v>13</v>
      </c>
      <c r="F111" t="s">
        <v>41</v>
      </c>
      <c r="G111">
        <v>34</v>
      </c>
      <c r="H111">
        <v>9</v>
      </c>
      <c r="I111" t="s">
        <v>15</v>
      </c>
      <c r="N111" t="s">
        <v>317</v>
      </c>
      <c r="P111" t="s">
        <v>319</v>
      </c>
      <c r="Q111" t="s">
        <v>427</v>
      </c>
      <c r="R111" t="s">
        <v>20</v>
      </c>
      <c r="AA111" t="s">
        <v>469</v>
      </c>
      <c r="AB111" t="s">
        <v>20</v>
      </c>
      <c r="BF111" t="s">
        <v>14</v>
      </c>
    </row>
    <row r="112" spans="1:58" x14ac:dyDescent="0.3">
      <c r="A112" t="s">
        <v>176</v>
      </c>
      <c r="B112" s="5">
        <v>42108</v>
      </c>
      <c r="C112" t="s">
        <v>31</v>
      </c>
      <c r="D112" t="s">
        <v>85</v>
      </c>
      <c r="E112" t="s">
        <v>13</v>
      </c>
      <c r="F112" t="s">
        <v>14</v>
      </c>
      <c r="G112">
        <v>19</v>
      </c>
      <c r="H112">
        <v>18</v>
      </c>
      <c r="I112" t="s">
        <v>15</v>
      </c>
      <c r="N112" t="s">
        <v>318</v>
      </c>
      <c r="P112" t="s">
        <v>320</v>
      </c>
      <c r="Q112" t="s">
        <v>429</v>
      </c>
      <c r="R112" t="s">
        <v>20</v>
      </c>
      <c r="AA112" t="s">
        <v>470</v>
      </c>
      <c r="AB112" t="s">
        <v>20</v>
      </c>
      <c r="BF112" t="s">
        <v>43</v>
      </c>
    </row>
    <row r="113" spans="1:58" x14ac:dyDescent="0.3">
      <c r="A113" t="s">
        <v>177</v>
      </c>
      <c r="B113" s="5">
        <v>42109</v>
      </c>
      <c r="C113" t="s">
        <v>20</v>
      </c>
      <c r="D113" t="s">
        <v>85</v>
      </c>
      <c r="E113" t="s">
        <v>17</v>
      </c>
      <c r="F113" t="s">
        <v>54</v>
      </c>
      <c r="G113">
        <v>9</v>
      </c>
      <c r="H113">
        <v>10</v>
      </c>
      <c r="I113" t="s">
        <v>15</v>
      </c>
      <c r="N113" t="s">
        <v>319</v>
      </c>
      <c r="P113" t="s">
        <v>321</v>
      </c>
      <c r="Q113" t="s">
        <v>436</v>
      </c>
      <c r="R113" t="s">
        <v>20</v>
      </c>
      <c r="AA113" t="s">
        <v>474</v>
      </c>
      <c r="AB113" t="s">
        <v>20</v>
      </c>
      <c r="BF113" t="s">
        <v>99</v>
      </c>
    </row>
    <row r="114" spans="1:58" x14ac:dyDescent="0.3">
      <c r="A114" t="s">
        <v>178</v>
      </c>
      <c r="B114" s="5">
        <v>42109</v>
      </c>
      <c r="C114" t="s">
        <v>31</v>
      </c>
      <c r="D114" t="s">
        <v>85</v>
      </c>
      <c r="E114" t="s">
        <v>34</v>
      </c>
      <c r="F114" t="s">
        <v>64</v>
      </c>
      <c r="G114">
        <v>14</v>
      </c>
      <c r="H114">
        <v>4</v>
      </c>
      <c r="I114" t="s">
        <v>15</v>
      </c>
      <c r="N114" t="s">
        <v>320</v>
      </c>
      <c r="P114" t="s">
        <v>322</v>
      </c>
      <c r="Q114" t="s">
        <v>437</v>
      </c>
      <c r="R114" t="s">
        <v>20</v>
      </c>
      <c r="AA114" t="s">
        <v>477</v>
      </c>
      <c r="AB114" t="s">
        <v>20</v>
      </c>
      <c r="BF114" t="s">
        <v>22</v>
      </c>
    </row>
    <row r="115" spans="1:58" x14ac:dyDescent="0.3">
      <c r="A115" t="s">
        <v>179</v>
      </c>
      <c r="B115" s="5">
        <v>42109</v>
      </c>
      <c r="C115" t="s">
        <v>20</v>
      </c>
      <c r="D115" t="s">
        <v>85</v>
      </c>
      <c r="E115" t="s">
        <v>13</v>
      </c>
      <c r="F115" t="s">
        <v>14</v>
      </c>
      <c r="G115">
        <v>9.5</v>
      </c>
      <c r="H115">
        <v>20</v>
      </c>
      <c r="I115" t="s">
        <v>15</v>
      </c>
      <c r="N115" t="s">
        <v>321</v>
      </c>
      <c r="P115" t="s">
        <v>323</v>
      </c>
      <c r="Q115" t="s">
        <v>127</v>
      </c>
      <c r="R115" t="s">
        <v>20</v>
      </c>
      <c r="AA115" t="s">
        <v>486</v>
      </c>
      <c r="AB115" t="s">
        <v>20</v>
      </c>
      <c r="BF115" t="s">
        <v>22</v>
      </c>
    </row>
    <row r="116" spans="1:58" x14ac:dyDescent="0.3">
      <c r="A116" t="s">
        <v>180</v>
      </c>
      <c r="B116" s="5">
        <v>42109</v>
      </c>
      <c r="C116" t="s">
        <v>28</v>
      </c>
      <c r="D116" t="s">
        <v>85</v>
      </c>
      <c r="E116" t="s">
        <v>34</v>
      </c>
      <c r="F116" t="s">
        <v>43</v>
      </c>
      <c r="G116">
        <v>12.5</v>
      </c>
      <c r="H116">
        <v>2</v>
      </c>
      <c r="I116" t="s">
        <v>15</v>
      </c>
      <c r="N116" t="s">
        <v>322</v>
      </c>
      <c r="P116" t="s">
        <v>324</v>
      </c>
      <c r="Q116" t="s">
        <v>442</v>
      </c>
      <c r="R116" t="s">
        <v>20</v>
      </c>
      <c r="AA116" t="s">
        <v>489</v>
      </c>
      <c r="AB116" t="s">
        <v>20</v>
      </c>
      <c r="BF116" t="s">
        <v>75</v>
      </c>
    </row>
    <row r="117" spans="1:58" x14ac:dyDescent="0.3">
      <c r="A117" t="s">
        <v>181</v>
      </c>
      <c r="B117" s="5">
        <v>42110</v>
      </c>
      <c r="C117" t="s">
        <v>20</v>
      </c>
      <c r="D117" t="s">
        <v>45</v>
      </c>
      <c r="E117" t="s">
        <v>13</v>
      </c>
      <c r="F117" t="s">
        <v>99</v>
      </c>
      <c r="G117">
        <v>12.5</v>
      </c>
      <c r="H117">
        <v>15</v>
      </c>
      <c r="I117" t="s">
        <v>26</v>
      </c>
      <c r="N117" t="s">
        <v>323</v>
      </c>
      <c r="P117" t="s">
        <v>325</v>
      </c>
      <c r="Q117" t="s">
        <v>446</v>
      </c>
      <c r="R117" t="s">
        <v>20</v>
      </c>
      <c r="AA117" t="s">
        <v>491</v>
      </c>
      <c r="AB117" t="s">
        <v>20</v>
      </c>
      <c r="BF117" t="s">
        <v>186</v>
      </c>
    </row>
    <row r="118" spans="1:58" x14ac:dyDescent="0.3">
      <c r="A118" t="s">
        <v>182</v>
      </c>
      <c r="B118" s="5">
        <v>42110</v>
      </c>
      <c r="C118" t="s">
        <v>20</v>
      </c>
      <c r="D118" t="s">
        <v>45</v>
      </c>
      <c r="E118" t="s">
        <v>21</v>
      </c>
      <c r="F118" t="s">
        <v>22</v>
      </c>
      <c r="G118">
        <v>19</v>
      </c>
      <c r="H118">
        <v>16</v>
      </c>
      <c r="I118" t="s">
        <v>26</v>
      </c>
      <c r="N118" t="s">
        <v>324</v>
      </c>
      <c r="P118" t="s">
        <v>326</v>
      </c>
      <c r="Q118" t="s">
        <v>448</v>
      </c>
      <c r="R118" t="s">
        <v>20</v>
      </c>
      <c r="AA118" t="s">
        <v>496</v>
      </c>
      <c r="AB118" t="s">
        <v>20</v>
      </c>
      <c r="BF118" t="s">
        <v>29</v>
      </c>
    </row>
    <row r="119" spans="1:58" x14ac:dyDescent="0.3">
      <c r="A119" t="s">
        <v>183</v>
      </c>
      <c r="B119" s="5">
        <v>42113</v>
      </c>
      <c r="C119" t="s">
        <v>20</v>
      </c>
      <c r="D119" t="s">
        <v>24</v>
      </c>
      <c r="E119" t="s">
        <v>21</v>
      </c>
      <c r="F119" t="s">
        <v>22</v>
      </c>
      <c r="G119">
        <v>12</v>
      </c>
      <c r="H119">
        <v>3</v>
      </c>
      <c r="I119" t="s">
        <v>26</v>
      </c>
      <c r="N119" t="s">
        <v>325</v>
      </c>
      <c r="P119" t="s">
        <v>327</v>
      </c>
      <c r="Q119" t="s">
        <v>452</v>
      </c>
      <c r="R119" t="s">
        <v>20</v>
      </c>
      <c r="AA119" t="s">
        <v>497</v>
      </c>
      <c r="AB119" t="s">
        <v>20</v>
      </c>
      <c r="BF119" t="s">
        <v>14</v>
      </c>
    </row>
    <row r="120" spans="1:58" x14ac:dyDescent="0.3">
      <c r="A120" t="s">
        <v>184</v>
      </c>
      <c r="B120" s="5">
        <v>42113</v>
      </c>
      <c r="C120" t="s">
        <v>31</v>
      </c>
      <c r="D120" t="s">
        <v>24</v>
      </c>
      <c r="E120" t="s">
        <v>34</v>
      </c>
      <c r="F120" t="s">
        <v>75</v>
      </c>
      <c r="G120">
        <v>20</v>
      </c>
      <c r="H120">
        <v>2</v>
      </c>
      <c r="I120" t="s">
        <v>26</v>
      </c>
      <c r="N120" t="s">
        <v>326</v>
      </c>
      <c r="P120" t="s">
        <v>333</v>
      </c>
      <c r="Q120" t="s">
        <v>458</v>
      </c>
      <c r="R120" t="s">
        <v>20</v>
      </c>
      <c r="AA120" t="s">
        <v>498</v>
      </c>
      <c r="AB120" t="s">
        <v>20</v>
      </c>
      <c r="BF120" t="s">
        <v>87</v>
      </c>
    </row>
    <row r="121" spans="1:58" x14ac:dyDescent="0.3">
      <c r="A121" t="s">
        <v>185</v>
      </c>
      <c r="B121" s="5">
        <v>42114</v>
      </c>
      <c r="C121" t="s">
        <v>11</v>
      </c>
      <c r="D121" t="s">
        <v>12</v>
      </c>
      <c r="E121" t="s">
        <v>13</v>
      </c>
      <c r="F121" t="s">
        <v>186</v>
      </c>
      <c r="G121">
        <v>36</v>
      </c>
      <c r="H121">
        <v>30</v>
      </c>
      <c r="I121" t="s">
        <v>26</v>
      </c>
      <c r="N121" t="s">
        <v>327</v>
      </c>
      <c r="P121" t="s">
        <v>334</v>
      </c>
      <c r="Q121" t="s">
        <v>460</v>
      </c>
      <c r="R121" t="s">
        <v>20</v>
      </c>
      <c r="AA121" t="s">
        <v>499</v>
      </c>
      <c r="AB121" t="s">
        <v>20</v>
      </c>
      <c r="BF121" t="s">
        <v>124</v>
      </c>
    </row>
    <row r="122" spans="1:58" x14ac:dyDescent="0.3">
      <c r="A122" t="s">
        <v>187</v>
      </c>
      <c r="B122" s="5">
        <v>42114</v>
      </c>
      <c r="C122" t="s">
        <v>20</v>
      </c>
      <c r="D122" t="s">
        <v>12</v>
      </c>
      <c r="E122" t="s">
        <v>34</v>
      </c>
      <c r="F122" t="s">
        <v>188</v>
      </c>
      <c r="G122">
        <v>9.1999999999999993</v>
      </c>
      <c r="H122">
        <v>35</v>
      </c>
      <c r="I122" t="s">
        <v>26</v>
      </c>
      <c r="N122" t="s">
        <v>333</v>
      </c>
      <c r="P122" t="s">
        <v>335</v>
      </c>
      <c r="Q122" t="s">
        <v>469</v>
      </c>
      <c r="R122" t="s">
        <v>20</v>
      </c>
      <c r="AA122" t="s">
        <v>500</v>
      </c>
      <c r="AB122" t="s">
        <v>20</v>
      </c>
      <c r="BF122" t="s">
        <v>113</v>
      </c>
    </row>
    <row r="123" spans="1:58" x14ac:dyDescent="0.3">
      <c r="A123" t="s">
        <v>189</v>
      </c>
      <c r="B123" s="5">
        <v>42114</v>
      </c>
      <c r="C123" t="s">
        <v>28</v>
      </c>
      <c r="D123" t="s">
        <v>45</v>
      </c>
      <c r="E123" t="s">
        <v>17</v>
      </c>
      <c r="F123" t="s">
        <v>29</v>
      </c>
      <c r="G123">
        <v>46</v>
      </c>
      <c r="H123">
        <v>30</v>
      </c>
      <c r="I123" t="s">
        <v>26</v>
      </c>
      <c r="N123" t="s">
        <v>334</v>
      </c>
      <c r="P123" t="s">
        <v>342</v>
      </c>
      <c r="Q123" t="s">
        <v>470</v>
      </c>
      <c r="R123" t="s">
        <v>20</v>
      </c>
      <c r="AA123" t="s">
        <v>505</v>
      </c>
      <c r="AB123" t="s">
        <v>20</v>
      </c>
      <c r="BF123" t="s">
        <v>77</v>
      </c>
    </row>
    <row r="124" spans="1:58" x14ac:dyDescent="0.3">
      <c r="A124" t="s">
        <v>190</v>
      </c>
      <c r="B124" s="5">
        <v>42114</v>
      </c>
      <c r="C124" t="s">
        <v>11</v>
      </c>
      <c r="D124" t="s">
        <v>45</v>
      </c>
      <c r="E124" t="s">
        <v>13</v>
      </c>
      <c r="F124" t="s">
        <v>14</v>
      </c>
      <c r="G124">
        <v>30</v>
      </c>
      <c r="H124">
        <v>4</v>
      </c>
      <c r="I124" t="s">
        <v>26</v>
      </c>
      <c r="N124" t="s">
        <v>335</v>
      </c>
      <c r="P124" t="s">
        <v>343</v>
      </c>
      <c r="Q124" t="s">
        <v>474</v>
      </c>
      <c r="R124" t="s">
        <v>20</v>
      </c>
      <c r="AA124" t="s">
        <v>508</v>
      </c>
      <c r="AB124" t="s">
        <v>20</v>
      </c>
      <c r="BF124" t="s">
        <v>54</v>
      </c>
    </row>
    <row r="125" spans="1:58" x14ac:dyDescent="0.3">
      <c r="A125" t="s">
        <v>191</v>
      </c>
      <c r="B125" s="5">
        <v>42115</v>
      </c>
      <c r="C125" t="s">
        <v>28</v>
      </c>
      <c r="D125" t="s">
        <v>45</v>
      </c>
      <c r="E125" t="s">
        <v>21</v>
      </c>
      <c r="F125" t="s">
        <v>87</v>
      </c>
      <c r="G125">
        <v>21.05</v>
      </c>
      <c r="H125">
        <v>21</v>
      </c>
      <c r="I125" t="s">
        <v>15</v>
      </c>
      <c r="N125" t="s">
        <v>342</v>
      </c>
      <c r="P125" t="s">
        <v>350</v>
      </c>
      <c r="Q125" t="s">
        <v>477</v>
      </c>
      <c r="R125" t="s">
        <v>20</v>
      </c>
      <c r="AA125" t="s">
        <v>510</v>
      </c>
      <c r="AB125" t="s">
        <v>20</v>
      </c>
      <c r="BF125" t="s">
        <v>197</v>
      </c>
    </row>
    <row r="126" spans="1:58" x14ac:dyDescent="0.3">
      <c r="A126" t="s">
        <v>192</v>
      </c>
      <c r="B126" s="5">
        <v>42115</v>
      </c>
      <c r="C126" t="s">
        <v>11</v>
      </c>
      <c r="D126" t="s">
        <v>45</v>
      </c>
      <c r="E126" t="s">
        <v>13</v>
      </c>
      <c r="F126" t="s">
        <v>124</v>
      </c>
      <c r="G126">
        <v>21.5</v>
      </c>
      <c r="H126">
        <v>50</v>
      </c>
      <c r="I126" t="s">
        <v>15</v>
      </c>
      <c r="N126" t="s">
        <v>343</v>
      </c>
      <c r="P126" t="s">
        <v>351</v>
      </c>
      <c r="Q126" t="s">
        <v>486</v>
      </c>
      <c r="R126" t="s">
        <v>20</v>
      </c>
      <c r="AA126" t="s">
        <v>516</v>
      </c>
      <c r="AB126" t="s">
        <v>20</v>
      </c>
      <c r="BF126" t="s">
        <v>22</v>
      </c>
    </row>
    <row r="127" spans="1:58" x14ac:dyDescent="0.3">
      <c r="A127" t="s">
        <v>193</v>
      </c>
      <c r="B127" s="5">
        <v>42115</v>
      </c>
      <c r="C127" t="s">
        <v>31</v>
      </c>
      <c r="D127" t="s">
        <v>45</v>
      </c>
      <c r="E127" t="s">
        <v>13</v>
      </c>
      <c r="F127" t="s">
        <v>113</v>
      </c>
      <c r="G127">
        <v>2.5</v>
      </c>
      <c r="H127">
        <v>30</v>
      </c>
      <c r="I127" t="s">
        <v>15</v>
      </c>
      <c r="N127" t="s">
        <v>350</v>
      </c>
      <c r="P127" t="s">
        <v>355</v>
      </c>
      <c r="Q127" t="s">
        <v>489</v>
      </c>
      <c r="R127" t="s">
        <v>20</v>
      </c>
      <c r="AA127" t="s">
        <v>334</v>
      </c>
      <c r="AB127" t="s">
        <v>20</v>
      </c>
      <c r="BF127" t="s">
        <v>200</v>
      </c>
    </row>
    <row r="128" spans="1:58" x14ac:dyDescent="0.3">
      <c r="A128" t="s">
        <v>194</v>
      </c>
      <c r="B128" s="5">
        <v>42115</v>
      </c>
      <c r="C128" t="s">
        <v>31</v>
      </c>
      <c r="D128" t="s">
        <v>45</v>
      </c>
      <c r="E128" t="s">
        <v>34</v>
      </c>
      <c r="F128" t="s">
        <v>77</v>
      </c>
      <c r="G128">
        <v>31.23</v>
      </c>
      <c r="H128">
        <v>12</v>
      </c>
      <c r="I128" t="s">
        <v>15</v>
      </c>
      <c r="N128" t="s">
        <v>351</v>
      </c>
      <c r="P128" t="s">
        <v>356</v>
      </c>
      <c r="Q128" t="s">
        <v>491</v>
      </c>
      <c r="R128" t="s">
        <v>20</v>
      </c>
      <c r="AA128" t="s">
        <v>521</v>
      </c>
      <c r="AB128" t="s">
        <v>20</v>
      </c>
      <c r="BF128" t="s">
        <v>79</v>
      </c>
    </row>
    <row r="129" spans="1:58" x14ac:dyDescent="0.3">
      <c r="A129" t="s">
        <v>195</v>
      </c>
      <c r="B129" s="5">
        <v>42121</v>
      </c>
      <c r="C129" t="s">
        <v>31</v>
      </c>
      <c r="D129" t="s">
        <v>85</v>
      </c>
      <c r="E129" t="s">
        <v>17</v>
      </c>
      <c r="F129" t="s">
        <v>54</v>
      </c>
      <c r="G129">
        <v>15</v>
      </c>
      <c r="H129">
        <v>4</v>
      </c>
      <c r="I129" t="s">
        <v>15</v>
      </c>
      <c r="N129" t="s">
        <v>355</v>
      </c>
      <c r="P129" t="s">
        <v>357</v>
      </c>
      <c r="Q129" t="s">
        <v>496</v>
      </c>
      <c r="R129" t="s">
        <v>20</v>
      </c>
      <c r="AA129" t="s">
        <v>525</v>
      </c>
      <c r="AB129" t="s">
        <v>20</v>
      </c>
      <c r="BF129" t="s">
        <v>61</v>
      </c>
    </row>
    <row r="130" spans="1:58" x14ac:dyDescent="0.3">
      <c r="A130" t="s">
        <v>196</v>
      </c>
      <c r="B130" s="5">
        <v>42122</v>
      </c>
      <c r="C130" t="s">
        <v>28</v>
      </c>
      <c r="D130" t="s">
        <v>12</v>
      </c>
      <c r="E130" t="s">
        <v>21</v>
      </c>
      <c r="F130" t="s">
        <v>197</v>
      </c>
      <c r="G130">
        <v>19.45</v>
      </c>
      <c r="H130">
        <v>15</v>
      </c>
      <c r="I130" t="s">
        <v>15</v>
      </c>
      <c r="N130" t="s">
        <v>356</v>
      </c>
      <c r="P130" t="s">
        <v>358</v>
      </c>
      <c r="Q130" t="s">
        <v>497</v>
      </c>
      <c r="R130" t="s">
        <v>20</v>
      </c>
      <c r="AA130" t="s">
        <v>526</v>
      </c>
      <c r="AB130" t="s">
        <v>20</v>
      </c>
      <c r="BF130" t="s">
        <v>29</v>
      </c>
    </row>
    <row r="131" spans="1:58" x14ac:dyDescent="0.3">
      <c r="A131" t="s">
        <v>198</v>
      </c>
      <c r="B131" s="5">
        <v>42122</v>
      </c>
      <c r="C131" t="s">
        <v>20</v>
      </c>
      <c r="D131" t="s">
        <v>12</v>
      </c>
      <c r="E131" t="s">
        <v>21</v>
      </c>
      <c r="F131" t="s">
        <v>22</v>
      </c>
      <c r="G131">
        <v>28.5</v>
      </c>
      <c r="H131">
        <v>4</v>
      </c>
      <c r="I131" t="s">
        <v>15</v>
      </c>
      <c r="N131" t="s">
        <v>357</v>
      </c>
      <c r="P131" t="s">
        <v>359</v>
      </c>
      <c r="Q131" t="s">
        <v>498</v>
      </c>
      <c r="R131" t="s">
        <v>20</v>
      </c>
      <c r="AA131" t="s">
        <v>527</v>
      </c>
      <c r="AB131" t="s">
        <v>20</v>
      </c>
      <c r="BF131" t="s">
        <v>22</v>
      </c>
    </row>
    <row r="132" spans="1:58" x14ac:dyDescent="0.3">
      <c r="A132" t="s">
        <v>199</v>
      </c>
      <c r="B132" s="5">
        <v>42124</v>
      </c>
      <c r="C132" t="s">
        <v>31</v>
      </c>
      <c r="D132" t="s">
        <v>12</v>
      </c>
      <c r="E132" t="s">
        <v>13</v>
      </c>
      <c r="F132" t="s">
        <v>200</v>
      </c>
      <c r="G132">
        <v>38</v>
      </c>
      <c r="H132">
        <v>4</v>
      </c>
      <c r="I132" t="s">
        <v>15</v>
      </c>
      <c r="N132" t="s">
        <v>358</v>
      </c>
      <c r="P132" t="s">
        <v>360</v>
      </c>
      <c r="Q132" t="s">
        <v>499</v>
      </c>
      <c r="R132" t="s">
        <v>20</v>
      </c>
      <c r="AA132" t="s">
        <v>533</v>
      </c>
      <c r="AB132" t="s">
        <v>20</v>
      </c>
      <c r="BF132" t="s">
        <v>70</v>
      </c>
    </row>
    <row r="133" spans="1:58" x14ac:dyDescent="0.3">
      <c r="A133" t="s">
        <v>201</v>
      </c>
      <c r="B133" s="5">
        <v>42124</v>
      </c>
      <c r="C133" t="s">
        <v>28</v>
      </c>
      <c r="D133" t="s">
        <v>45</v>
      </c>
      <c r="E133" t="s">
        <v>17</v>
      </c>
      <c r="F133" t="s">
        <v>79</v>
      </c>
      <c r="G133">
        <v>18</v>
      </c>
      <c r="H133">
        <v>25</v>
      </c>
      <c r="I133" t="s">
        <v>26</v>
      </c>
      <c r="N133" t="s">
        <v>359</v>
      </c>
      <c r="P133" t="s">
        <v>361</v>
      </c>
      <c r="Q133" t="s">
        <v>500</v>
      </c>
      <c r="R133" t="s">
        <v>20</v>
      </c>
      <c r="AA133" t="s">
        <v>534</v>
      </c>
      <c r="AB133" t="s">
        <v>20</v>
      </c>
      <c r="BF133" t="s">
        <v>81</v>
      </c>
    </row>
    <row r="134" spans="1:58" x14ac:dyDescent="0.3">
      <c r="A134" t="s">
        <v>202</v>
      </c>
      <c r="B134" s="5">
        <v>42124</v>
      </c>
      <c r="C134" t="s">
        <v>31</v>
      </c>
      <c r="D134" t="s">
        <v>45</v>
      </c>
      <c r="E134" t="s">
        <v>21</v>
      </c>
      <c r="F134" t="s">
        <v>61</v>
      </c>
      <c r="G134">
        <v>21.35</v>
      </c>
      <c r="H134">
        <v>30</v>
      </c>
      <c r="I134" t="s">
        <v>26</v>
      </c>
      <c r="N134" t="s">
        <v>360</v>
      </c>
      <c r="P134" t="s">
        <v>362</v>
      </c>
      <c r="Q134" t="s">
        <v>505</v>
      </c>
      <c r="R134" t="s">
        <v>20</v>
      </c>
      <c r="AA134" t="s">
        <v>543</v>
      </c>
      <c r="AB134" t="s">
        <v>20</v>
      </c>
      <c r="BF134" t="s">
        <v>22</v>
      </c>
    </row>
    <row r="135" spans="1:58" x14ac:dyDescent="0.3">
      <c r="A135" t="s">
        <v>203</v>
      </c>
      <c r="B135" s="5">
        <v>42127</v>
      </c>
      <c r="C135" t="s">
        <v>11</v>
      </c>
      <c r="D135" t="s">
        <v>12</v>
      </c>
      <c r="E135" t="s">
        <v>17</v>
      </c>
      <c r="F135" t="s">
        <v>29</v>
      </c>
      <c r="G135">
        <v>46</v>
      </c>
      <c r="H135">
        <v>30</v>
      </c>
      <c r="I135" t="s">
        <v>15</v>
      </c>
      <c r="N135" t="s">
        <v>361</v>
      </c>
      <c r="P135" t="s">
        <v>127</v>
      </c>
      <c r="Q135" t="s">
        <v>508</v>
      </c>
      <c r="R135" t="s">
        <v>20</v>
      </c>
      <c r="AA135" t="s">
        <v>546</v>
      </c>
      <c r="AB135" t="s">
        <v>20</v>
      </c>
      <c r="BF135" t="s">
        <v>41</v>
      </c>
    </row>
    <row r="136" spans="1:58" x14ac:dyDescent="0.3">
      <c r="A136" t="s">
        <v>204</v>
      </c>
      <c r="B136" s="5">
        <v>42127</v>
      </c>
      <c r="C136" t="s">
        <v>11</v>
      </c>
      <c r="D136" t="s">
        <v>12</v>
      </c>
      <c r="E136" t="s">
        <v>21</v>
      </c>
      <c r="F136" t="s">
        <v>22</v>
      </c>
      <c r="G136">
        <v>28.5</v>
      </c>
      <c r="H136">
        <v>10</v>
      </c>
      <c r="I136" t="s">
        <v>15</v>
      </c>
      <c r="N136" t="s">
        <v>362</v>
      </c>
      <c r="P136" t="s">
        <v>384</v>
      </c>
      <c r="Q136" t="s">
        <v>510</v>
      </c>
      <c r="R136" t="s">
        <v>20</v>
      </c>
      <c r="AA136" t="s">
        <v>548</v>
      </c>
      <c r="AB136" t="s">
        <v>20</v>
      </c>
      <c r="BF136" t="s">
        <v>118</v>
      </c>
    </row>
    <row r="137" spans="1:58" x14ac:dyDescent="0.3">
      <c r="A137" t="s">
        <v>205</v>
      </c>
      <c r="B137" s="5">
        <v>42128</v>
      </c>
      <c r="C137" t="s">
        <v>11</v>
      </c>
      <c r="D137" t="s">
        <v>24</v>
      </c>
      <c r="E137" t="s">
        <v>17</v>
      </c>
      <c r="F137" t="s">
        <v>70</v>
      </c>
      <c r="G137">
        <v>14</v>
      </c>
      <c r="H137">
        <v>20</v>
      </c>
      <c r="I137" t="s">
        <v>15</v>
      </c>
      <c r="N137" t="s">
        <v>127</v>
      </c>
      <c r="P137" t="s">
        <v>396</v>
      </c>
      <c r="Q137" t="s">
        <v>516</v>
      </c>
      <c r="R137" t="s">
        <v>20</v>
      </c>
      <c r="AA137" t="s">
        <v>551</v>
      </c>
      <c r="AB137" t="s">
        <v>20</v>
      </c>
      <c r="BF137" t="s">
        <v>41</v>
      </c>
    </row>
    <row r="138" spans="1:58" x14ac:dyDescent="0.3">
      <c r="A138" t="s">
        <v>206</v>
      </c>
      <c r="B138" s="5">
        <v>42128</v>
      </c>
      <c r="C138" t="s">
        <v>31</v>
      </c>
      <c r="D138" t="s">
        <v>45</v>
      </c>
      <c r="E138" t="s">
        <v>51</v>
      </c>
      <c r="F138" t="s">
        <v>81</v>
      </c>
      <c r="G138">
        <v>24</v>
      </c>
      <c r="H138">
        <v>35</v>
      </c>
      <c r="I138" t="s">
        <v>26</v>
      </c>
      <c r="N138" t="s">
        <v>384</v>
      </c>
      <c r="P138" t="s">
        <v>397</v>
      </c>
      <c r="Q138" t="s">
        <v>334</v>
      </c>
      <c r="R138" t="s">
        <v>20</v>
      </c>
      <c r="AA138" t="s">
        <v>379</v>
      </c>
      <c r="AB138" t="s">
        <v>20</v>
      </c>
      <c r="BF138" t="s">
        <v>81</v>
      </c>
    </row>
    <row r="139" spans="1:58" x14ac:dyDescent="0.3">
      <c r="A139" t="s">
        <v>207</v>
      </c>
      <c r="B139" s="5">
        <v>42128</v>
      </c>
      <c r="C139" t="s">
        <v>20</v>
      </c>
      <c r="D139" t="s">
        <v>45</v>
      </c>
      <c r="E139" t="s">
        <v>21</v>
      </c>
      <c r="F139" t="s">
        <v>22</v>
      </c>
      <c r="G139">
        <v>30</v>
      </c>
      <c r="H139">
        <v>40</v>
      </c>
      <c r="I139" t="s">
        <v>26</v>
      </c>
      <c r="N139" t="s">
        <v>396</v>
      </c>
      <c r="P139" t="s">
        <v>401</v>
      </c>
      <c r="Q139" t="s">
        <v>521</v>
      </c>
      <c r="R139" t="s">
        <v>20</v>
      </c>
      <c r="AA139" t="s">
        <v>554</v>
      </c>
      <c r="AB139" t="s">
        <v>20</v>
      </c>
      <c r="BF139" t="s">
        <v>54</v>
      </c>
    </row>
    <row r="140" spans="1:58" x14ac:dyDescent="0.3">
      <c r="A140" t="s">
        <v>208</v>
      </c>
      <c r="B140" s="5">
        <v>42128</v>
      </c>
      <c r="C140" t="s">
        <v>20</v>
      </c>
      <c r="D140" t="s">
        <v>45</v>
      </c>
      <c r="E140" t="s">
        <v>13</v>
      </c>
      <c r="F140" t="s">
        <v>41</v>
      </c>
      <c r="G140">
        <v>34</v>
      </c>
      <c r="H140">
        <v>50</v>
      </c>
      <c r="I140" t="s">
        <v>26</v>
      </c>
      <c r="N140" t="s">
        <v>397</v>
      </c>
      <c r="P140" t="s">
        <v>402</v>
      </c>
      <c r="Q140" t="s">
        <v>525</v>
      </c>
      <c r="R140" t="s">
        <v>20</v>
      </c>
      <c r="AA140" t="s">
        <v>555</v>
      </c>
      <c r="AB140" t="s">
        <v>20</v>
      </c>
      <c r="BF140" t="s">
        <v>29</v>
      </c>
    </row>
    <row r="141" spans="1:58" x14ac:dyDescent="0.3">
      <c r="A141" t="s">
        <v>209</v>
      </c>
      <c r="B141" s="5">
        <v>42129</v>
      </c>
      <c r="C141" t="s">
        <v>11</v>
      </c>
      <c r="D141" t="s">
        <v>12</v>
      </c>
      <c r="E141" t="s">
        <v>51</v>
      </c>
      <c r="F141" t="s">
        <v>118</v>
      </c>
      <c r="G141">
        <v>39</v>
      </c>
      <c r="H141">
        <v>12</v>
      </c>
      <c r="I141" t="s">
        <v>26</v>
      </c>
      <c r="N141" t="s">
        <v>401</v>
      </c>
      <c r="P141" t="s">
        <v>403</v>
      </c>
      <c r="Q141" t="s">
        <v>526</v>
      </c>
      <c r="R141" t="s">
        <v>20</v>
      </c>
      <c r="AA141" t="s">
        <v>556</v>
      </c>
      <c r="AB141" t="s">
        <v>20</v>
      </c>
      <c r="BF141" t="s">
        <v>97</v>
      </c>
    </row>
    <row r="142" spans="1:58" x14ac:dyDescent="0.3">
      <c r="A142" t="s">
        <v>210</v>
      </c>
      <c r="B142" s="5">
        <v>42129</v>
      </c>
      <c r="C142" t="s">
        <v>20</v>
      </c>
      <c r="D142" t="s">
        <v>12</v>
      </c>
      <c r="E142" t="s">
        <v>13</v>
      </c>
      <c r="F142" t="s">
        <v>41</v>
      </c>
      <c r="G142">
        <v>34</v>
      </c>
      <c r="H142">
        <v>35</v>
      </c>
      <c r="I142" t="s">
        <v>26</v>
      </c>
      <c r="N142" t="s">
        <v>402</v>
      </c>
      <c r="P142" t="s">
        <v>404</v>
      </c>
      <c r="Q142" t="s">
        <v>527</v>
      </c>
      <c r="R142" t="s">
        <v>20</v>
      </c>
      <c r="AA142" t="s">
        <v>561</v>
      </c>
      <c r="AB142" t="s">
        <v>20</v>
      </c>
      <c r="BF142" t="s">
        <v>81</v>
      </c>
    </row>
    <row r="143" spans="1:58" x14ac:dyDescent="0.3">
      <c r="A143" t="s">
        <v>211</v>
      </c>
      <c r="B143" s="5">
        <v>42129</v>
      </c>
      <c r="C143" t="s">
        <v>11</v>
      </c>
      <c r="D143" t="s">
        <v>12</v>
      </c>
      <c r="E143" t="s">
        <v>51</v>
      </c>
      <c r="F143" t="s">
        <v>81</v>
      </c>
      <c r="G143">
        <v>6</v>
      </c>
      <c r="H143">
        <v>30</v>
      </c>
      <c r="I143" t="s">
        <v>26</v>
      </c>
      <c r="N143" t="s">
        <v>403</v>
      </c>
      <c r="P143" t="s">
        <v>406</v>
      </c>
      <c r="Q143" t="s">
        <v>533</v>
      </c>
      <c r="R143" t="s">
        <v>20</v>
      </c>
      <c r="AA143" t="s">
        <v>562</v>
      </c>
      <c r="AB143" t="s">
        <v>20</v>
      </c>
      <c r="BF143" t="s">
        <v>113</v>
      </c>
    </row>
    <row r="144" spans="1:58" x14ac:dyDescent="0.3">
      <c r="A144" t="s">
        <v>212</v>
      </c>
      <c r="B144" s="5">
        <v>42129</v>
      </c>
      <c r="C144" t="s">
        <v>11</v>
      </c>
      <c r="D144" t="s">
        <v>45</v>
      </c>
      <c r="E144" t="s">
        <v>17</v>
      </c>
      <c r="F144" t="s">
        <v>54</v>
      </c>
      <c r="G144">
        <v>15</v>
      </c>
      <c r="H144">
        <v>3</v>
      </c>
      <c r="I144" t="s">
        <v>26</v>
      </c>
      <c r="N144" t="s">
        <v>404</v>
      </c>
      <c r="P144" t="s">
        <v>407</v>
      </c>
      <c r="Q144" t="s">
        <v>534</v>
      </c>
      <c r="R144" t="s">
        <v>20</v>
      </c>
      <c r="AA144" t="s">
        <v>564</v>
      </c>
      <c r="AB144" t="s">
        <v>20</v>
      </c>
      <c r="BF144" t="s">
        <v>18</v>
      </c>
    </row>
    <row r="145" spans="1:58" x14ac:dyDescent="0.3">
      <c r="A145" t="s">
        <v>213</v>
      </c>
      <c r="B145" s="5">
        <v>42134</v>
      </c>
      <c r="C145" t="s">
        <v>20</v>
      </c>
      <c r="D145" t="s">
        <v>12</v>
      </c>
      <c r="E145" t="s">
        <v>17</v>
      </c>
      <c r="F145" t="s">
        <v>29</v>
      </c>
      <c r="G145">
        <v>46</v>
      </c>
      <c r="H145">
        <v>36</v>
      </c>
      <c r="I145" t="s">
        <v>26</v>
      </c>
      <c r="N145" t="s">
        <v>406</v>
      </c>
      <c r="P145" t="s">
        <v>408</v>
      </c>
      <c r="Q145" t="s">
        <v>543</v>
      </c>
      <c r="R145" t="s">
        <v>20</v>
      </c>
      <c r="AA145" t="s">
        <v>565</v>
      </c>
      <c r="AB145" t="s">
        <v>20</v>
      </c>
      <c r="BF145" t="s">
        <v>59</v>
      </c>
    </row>
    <row r="146" spans="1:58" x14ac:dyDescent="0.3">
      <c r="A146" t="s">
        <v>214</v>
      </c>
      <c r="B146" s="5">
        <v>42134</v>
      </c>
      <c r="C146" t="s">
        <v>20</v>
      </c>
      <c r="D146" t="s">
        <v>12</v>
      </c>
      <c r="E146" t="s">
        <v>21</v>
      </c>
      <c r="F146" t="s">
        <v>97</v>
      </c>
      <c r="G146">
        <v>13</v>
      </c>
      <c r="H146">
        <v>28</v>
      </c>
      <c r="I146" t="s">
        <v>26</v>
      </c>
      <c r="N146" t="s">
        <v>407</v>
      </c>
      <c r="P146" t="s">
        <v>413</v>
      </c>
      <c r="Q146" t="s">
        <v>546</v>
      </c>
      <c r="R146" t="s">
        <v>20</v>
      </c>
      <c r="AA146" t="s">
        <v>570</v>
      </c>
      <c r="AB146" t="s">
        <v>20</v>
      </c>
      <c r="BF146" t="s">
        <v>124</v>
      </c>
    </row>
    <row r="147" spans="1:58" x14ac:dyDescent="0.3">
      <c r="A147" t="s">
        <v>215</v>
      </c>
      <c r="B147" s="5">
        <v>42134</v>
      </c>
      <c r="C147" t="s">
        <v>11</v>
      </c>
      <c r="D147" t="s">
        <v>12</v>
      </c>
      <c r="E147" t="s">
        <v>51</v>
      </c>
      <c r="F147" t="s">
        <v>81</v>
      </c>
      <c r="G147">
        <v>45.6</v>
      </c>
      <c r="H147">
        <v>8</v>
      </c>
      <c r="I147" t="s">
        <v>26</v>
      </c>
      <c r="N147" t="s">
        <v>408</v>
      </c>
      <c r="P147" t="s">
        <v>414</v>
      </c>
      <c r="Q147" t="s">
        <v>548</v>
      </c>
      <c r="R147" t="s">
        <v>20</v>
      </c>
      <c r="AA147" t="s">
        <v>402</v>
      </c>
      <c r="AB147" t="s">
        <v>20</v>
      </c>
      <c r="BF147" t="s">
        <v>77</v>
      </c>
    </row>
    <row r="148" spans="1:58" x14ac:dyDescent="0.3">
      <c r="A148" t="s">
        <v>216</v>
      </c>
      <c r="B148" s="5">
        <v>42189</v>
      </c>
      <c r="C148" t="s">
        <v>31</v>
      </c>
      <c r="D148" t="s">
        <v>24</v>
      </c>
      <c r="E148" t="s">
        <v>13</v>
      </c>
      <c r="F148" t="s">
        <v>113</v>
      </c>
      <c r="G148">
        <v>2.5</v>
      </c>
      <c r="H148">
        <v>10</v>
      </c>
      <c r="I148" t="s">
        <v>15</v>
      </c>
      <c r="N148" t="s">
        <v>413</v>
      </c>
      <c r="P148" t="s">
        <v>417</v>
      </c>
      <c r="Q148" t="s">
        <v>551</v>
      </c>
      <c r="R148" t="s">
        <v>20</v>
      </c>
      <c r="AA148" t="s">
        <v>585</v>
      </c>
      <c r="AB148" t="s">
        <v>20</v>
      </c>
      <c r="BF148" t="s">
        <v>77</v>
      </c>
    </row>
    <row r="149" spans="1:58" x14ac:dyDescent="0.3">
      <c r="A149" t="s">
        <v>210</v>
      </c>
      <c r="B149" s="5">
        <v>42215</v>
      </c>
      <c r="C149" t="s">
        <v>20</v>
      </c>
      <c r="D149" t="s">
        <v>12</v>
      </c>
      <c r="E149" t="s">
        <v>17</v>
      </c>
      <c r="F149" t="s">
        <v>18</v>
      </c>
      <c r="G149">
        <v>19</v>
      </c>
      <c r="H149">
        <v>10</v>
      </c>
      <c r="I149" t="s">
        <v>15</v>
      </c>
      <c r="N149" t="s">
        <v>414</v>
      </c>
      <c r="P149" t="s">
        <v>418</v>
      </c>
      <c r="Q149" t="s">
        <v>379</v>
      </c>
      <c r="R149" t="s">
        <v>20</v>
      </c>
      <c r="AA149" t="s">
        <v>422</v>
      </c>
      <c r="AB149" t="s">
        <v>20</v>
      </c>
      <c r="BF149" t="s">
        <v>111</v>
      </c>
    </row>
    <row r="150" spans="1:58" x14ac:dyDescent="0.3">
      <c r="A150" t="s">
        <v>217</v>
      </c>
      <c r="B150" s="5">
        <v>42212</v>
      </c>
      <c r="C150" t="s">
        <v>11</v>
      </c>
      <c r="D150" t="s">
        <v>12</v>
      </c>
      <c r="E150" t="s">
        <v>51</v>
      </c>
      <c r="F150" t="s">
        <v>59</v>
      </c>
      <c r="G150">
        <v>97</v>
      </c>
      <c r="H150">
        <v>20</v>
      </c>
      <c r="I150" t="s">
        <v>15</v>
      </c>
      <c r="N150" t="s">
        <v>417</v>
      </c>
      <c r="P150" t="s">
        <v>419</v>
      </c>
      <c r="Q150" t="s">
        <v>554</v>
      </c>
      <c r="R150" t="s">
        <v>20</v>
      </c>
      <c r="AA150" t="s">
        <v>591</v>
      </c>
      <c r="AB150" t="s">
        <v>20</v>
      </c>
      <c r="BF150" t="s">
        <v>41</v>
      </c>
    </row>
    <row r="151" spans="1:58" x14ac:dyDescent="0.3">
      <c r="A151" t="s">
        <v>218</v>
      </c>
      <c r="B151" s="5">
        <v>42220</v>
      </c>
      <c r="C151" t="s">
        <v>31</v>
      </c>
      <c r="D151" t="s">
        <v>12</v>
      </c>
      <c r="E151" t="s">
        <v>34</v>
      </c>
      <c r="F151" t="s">
        <v>64</v>
      </c>
      <c r="G151">
        <v>9.65</v>
      </c>
      <c r="H151">
        <v>4</v>
      </c>
      <c r="I151" t="s">
        <v>26</v>
      </c>
      <c r="N151" t="s">
        <v>418</v>
      </c>
      <c r="P151" t="s">
        <v>420</v>
      </c>
      <c r="Q151" t="s">
        <v>555</v>
      </c>
      <c r="R151" t="s">
        <v>20</v>
      </c>
      <c r="AA151" t="s">
        <v>592</v>
      </c>
      <c r="AB151" t="s">
        <v>20</v>
      </c>
      <c r="BF151" t="s">
        <v>14</v>
      </c>
    </row>
    <row r="152" spans="1:58" x14ac:dyDescent="0.3">
      <c r="A152" t="s">
        <v>219</v>
      </c>
      <c r="B152" s="5">
        <v>42210</v>
      </c>
      <c r="C152" t="s">
        <v>11</v>
      </c>
      <c r="D152" t="s">
        <v>12</v>
      </c>
      <c r="E152" t="s">
        <v>13</v>
      </c>
      <c r="F152" t="s">
        <v>124</v>
      </c>
      <c r="G152">
        <v>21.5</v>
      </c>
      <c r="H152">
        <v>9</v>
      </c>
      <c r="I152" t="s">
        <v>15</v>
      </c>
      <c r="N152" t="s">
        <v>419</v>
      </c>
      <c r="P152" t="s">
        <v>421</v>
      </c>
      <c r="Q152" t="s">
        <v>556</v>
      </c>
      <c r="R152" t="s">
        <v>20</v>
      </c>
      <c r="AA152" t="s">
        <v>593</v>
      </c>
      <c r="AB152" t="s">
        <v>20</v>
      </c>
      <c r="BF152" t="s">
        <v>77</v>
      </c>
    </row>
    <row r="153" spans="1:58" x14ac:dyDescent="0.3">
      <c r="A153" t="s">
        <v>220</v>
      </c>
      <c r="B153" s="5">
        <v>42215</v>
      </c>
      <c r="C153" t="s">
        <v>28</v>
      </c>
      <c r="D153" t="s">
        <v>24</v>
      </c>
      <c r="E153" t="s">
        <v>34</v>
      </c>
      <c r="F153" t="s">
        <v>64</v>
      </c>
      <c r="G153">
        <v>53</v>
      </c>
      <c r="H153">
        <v>7</v>
      </c>
      <c r="I153" t="s">
        <v>26</v>
      </c>
      <c r="N153" t="s">
        <v>420</v>
      </c>
      <c r="P153" t="s">
        <v>422</v>
      </c>
      <c r="Q153" t="s">
        <v>561</v>
      </c>
      <c r="R153" t="s">
        <v>20</v>
      </c>
      <c r="AA153" t="s">
        <v>595</v>
      </c>
      <c r="AB153" t="s">
        <v>20</v>
      </c>
      <c r="BF153" t="s">
        <v>41</v>
      </c>
    </row>
    <row r="154" spans="1:58" x14ac:dyDescent="0.3">
      <c r="A154" t="s">
        <v>221</v>
      </c>
      <c r="B154" s="5">
        <v>42217</v>
      </c>
      <c r="C154" t="s">
        <v>20</v>
      </c>
      <c r="D154" t="s">
        <v>12</v>
      </c>
      <c r="E154" t="s">
        <v>34</v>
      </c>
      <c r="F154" t="s">
        <v>77</v>
      </c>
      <c r="G154">
        <v>31.23</v>
      </c>
      <c r="H154">
        <v>30</v>
      </c>
      <c r="I154" t="s">
        <v>26</v>
      </c>
      <c r="N154" t="s">
        <v>421</v>
      </c>
      <c r="P154" t="s">
        <v>424</v>
      </c>
      <c r="Q154" t="s">
        <v>562</v>
      </c>
      <c r="R154" t="s">
        <v>20</v>
      </c>
      <c r="AA154" t="s">
        <v>602</v>
      </c>
      <c r="AB154" t="s">
        <v>20</v>
      </c>
      <c r="BF154" t="s">
        <v>25</v>
      </c>
    </row>
    <row r="155" spans="1:58" x14ac:dyDescent="0.3">
      <c r="A155" t="s">
        <v>222</v>
      </c>
      <c r="B155" s="5">
        <v>42208</v>
      </c>
      <c r="C155" t="s">
        <v>11</v>
      </c>
      <c r="D155" t="s">
        <v>24</v>
      </c>
      <c r="E155" t="s">
        <v>34</v>
      </c>
      <c r="F155" t="s">
        <v>77</v>
      </c>
      <c r="G155">
        <v>31.23</v>
      </c>
      <c r="H155">
        <v>6</v>
      </c>
      <c r="I155" t="s">
        <v>26</v>
      </c>
      <c r="N155" t="s">
        <v>422</v>
      </c>
      <c r="P155" t="s">
        <v>425</v>
      </c>
      <c r="Q155" t="s">
        <v>564</v>
      </c>
      <c r="R155" t="s">
        <v>20</v>
      </c>
      <c r="AA155" t="s">
        <v>603</v>
      </c>
      <c r="AB155" t="s">
        <v>20</v>
      </c>
      <c r="BF155" t="s">
        <v>79</v>
      </c>
    </row>
    <row r="156" spans="1:58" x14ac:dyDescent="0.3">
      <c r="A156" t="s">
        <v>223</v>
      </c>
      <c r="B156" s="5">
        <v>42194</v>
      </c>
      <c r="C156" t="s">
        <v>28</v>
      </c>
      <c r="D156" t="s">
        <v>45</v>
      </c>
      <c r="E156" t="s">
        <v>21</v>
      </c>
      <c r="F156" t="s">
        <v>111</v>
      </c>
      <c r="G156">
        <v>22</v>
      </c>
      <c r="H156">
        <v>25</v>
      </c>
      <c r="I156" t="s">
        <v>15</v>
      </c>
      <c r="N156" t="s">
        <v>424</v>
      </c>
      <c r="P156" t="s">
        <v>127</v>
      </c>
      <c r="Q156" t="s">
        <v>565</v>
      </c>
      <c r="R156" t="s">
        <v>20</v>
      </c>
      <c r="AA156" t="s">
        <v>605</v>
      </c>
      <c r="AB156" t="s">
        <v>20</v>
      </c>
      <c r="BF156" t="s">
        <v>87</v>
      </c>
    </row>
    <row r="157" spans="1:58" x14ac:dyDescent="0.3">
      <c r="A157" t="s">
        <v>224</v>
      </c>
      <c r="B157" s="5">
        <v>42195</v>
      </c>
      <c r="C157" t="s">
        <v>28</v>
      </c>
      <c r="D157" t="s">
        <v>12</v>
      </c>
      <c r="E157" t="s">
        <v>13</v>
      </c>
      <c r="F157" t="s">
        <v>41</v>
      </c>
      <c r="G157">
        <v>34</v>
      </c>
      <c r="H157">
        <v>15</v>
      </c>
      <c r="I157" t="s">
        <v>26</v>
      </c>
      <c r="N157" t="s">
        <v>425</v>
      </c>
      <c r="P157" t="s">
        <v>426</v>
      </c>
      <c r="Q157" t="s">
        <v>570</v>
      </c>
      <c r="R157" t="s">
        <v>20</v>
      </c>
      <c r="AA157" t="s">
        <v>608</v>
      </c>
      <c r="AB157" t="s">
        <v>20</v>
      </c>
      <c r="BF157" t="s">
        <v>54</v>
      </c>
    </row>
    <row r="158" spans="1:58" x14ac:dyDescent="0.3">
      <c r="A158" t="s">
        <v>225</v>
      </c>
      <c r="B158" s="5">
        <v>42208</v>
      </c>
      <c r="C158" t="s">
        <v>11</v>
      </c>
      <c r="D158" t="s">
        <v>45</v>
      </c>
      <c r="E158" t="s">
        <v>34</v>
      </c>
      <c r="F158" t="s">
        <v>64</v>
      </c>
      <c r="G158">
        <v>12</v>
      </c>
      <c r="H158">
        <v>28</v>
      </c>
      <c r="I158" t="s">
        <v>26</v>
      </c>
      <c r="N158" t="s">
        <v>127</v>
      </c>
      <c r="P158" t="s">
        <v>427</v>
      </c>
      <c r="Q158" t="s">
        <v>402</v>
      </c>
      <c r="R158" t="s">
        <v>20</v>
      </c>
      <c r="AA158" t="s">
        <v>446</v>
      </c>
      <c r="AB158" t="s">
        <v>20</v>
      </c>
      <c r="BF158" t="s">
        <v>75</v>
      </c>
    </row>
    <row r="159" spans="1:58" x14ac:dyDescent="0.3">
      <c r="A159" t="s">
        <v>226</v>
      </c>
      <c r="B159" s="5">
        <v>42216</v>
      </c>
      <c r="C159" t="s">
        <v>28</v>
      </c>
      <c r="D159" t="s">
        <v>12</v>
      </c>
      <c r="E159" t="s">
        <v>13</v>
      </c>
      <c r="F159" t="s">
        <v>14</v>
      </c>
      <c r="G159">
        <v>62.5</v>
      </c>
      <c r="H159">
        <v>4</v>
      </c>
      <c r="I159" t="s">
        <v>26</v>
      </c>
      <c r="N159" t="s">
        <v>426</v>
      </c>
      <c r="P159" t="s">
        <v>428</v>
      </c>
      <c r="Q159" t="s">
        <v>585</v>
      </c>
      <c r="R159" t="s">
        <v>20</v>
      </c>
      <c r="AA159" t="s">
        <v>612</v>
      </c>
      <c r="AB159" t="s">
        <v>20</v>
      </c>
      <c r="BF159" t="s">
        <v>37</v>
      </c>
    </row>
    <row r="160" spans="1:58" x14ac:dyDescent="0.3">
      <c r="A160" t="s">
        <v>227</v>
      </c>
      <c r="B160" s="5">
        <v>42193</v>
      </c>
      <c r="C160" t="s">
        <v>11</v>
      </c>
      <c r="D160" t="s">
        <v>12</v>
      </c>
      <c r="E160" t="s">
        <v>34</v>
      </c>
      <c r="F160" t="s">
        <v>77</v>
      </c>
      <c r="G160">
        <v>31.23</v>
      </c>
      <c r="H160">
        <v>6</v>
      </c>
      <c r="I160" t="s">
        <v>15</v>
      </c>
      <c r="N160" t="s">
        <v>427</v>
      </c>
      <c r="P160" t="s">
        <v>429</v>
      </c>
      <c r="Q160" t="s">
        <v>422</v>
      </c>
      <c r="R160" t="s">
        <v>20</v>
      </c>
      <c r="AA160" t="s">
        <v>452</v>
      </c>
      <c r="AB160" t="s">
        <v>20</v>
      </c>
      <c r="BF160" t="s">
        <v>99</v>
      </c>
    </row>
    <row r="161" spans="1:58" x14ac:dyDescent="0.3">
      <c r="A161" t="s">
        <v>228</v>
      </c>
      <c r="B161" s="5">
        <v>42199</v>
      </c>
      <c r="C161" t="s">
        <v>31</v>
      </c>
      <c r="D161" t="s">
        <v>45</v>
      </c>
      <c r="E161" t="s">
        <v>13</v>
      </c>
      <c r="F161" t="s">
        <v>41</v>
      </c>
      <c r="G161">
        <v>34</v>
      </c>
      <c r="H161">
        <v>15</v>
      </c>
      <c r="I161" t="s">
        <v>26</v>
      </c>
      <c r="N161" t="s">
        <v>428</v>
      </c>
      <c r="P161" t="s">
        <v>430</v>
      </c>
      <c r="Q161" t="s">
        <v>591</v>
      </c>
      <c r="R161" t="s">
        <v>20</v>
      </c>
      <c r="AA161" t="s">
        <v>621</v>
      </c>
      <c r="AB161" t="s">
        <v>20</v>
      </c>
      <c r="BF161" t="s">
        <v>138</v>
      </c>
    </row>
    <row r="162" spans="1:58" x14ac:dyDescent="0.3">
      <c r="A162" t="s">
        <v>229</v>
      </c>
      <c r="B162" s="5">
        <v>42200</v>
      </c>
      <c r="C162" t="s">
        <v>11</v>
      </c>
      <c r="D162" t="s">
        <v>12</v>
      </c>
      <c r="E162" t="s">
        <v>17</v>
      </c>
      <c r="F162" t="s">
        <v>25</v>
      </c>
      <c r="G162">
        <v>7.75</v>
      </c>
      <c r="H162">
        <v>42</v>
      </c>
      <c r="I162" t="s">
        <v>15</v>
      </c>
      <c r="N162" t="s">
        <v>429</v>
      </c>
      <c r="P162" t="s">
        <v>431</v>
      </c>
      <c r="Q162" t="s">
        <v>592</v>
      </c>
      <c r="R162" t="s">
        <v>20</v>
      </c>
      <c r="AA162" t="s">
        <v>623</v>
      </c>
      <c r="AB162" t="s">
        <v>20</v>
      </c>
      <c r="BF162" t="s">
        <v>97</v>
      </c>
    </row>
    <row r="163" spans="1:58" x14ac:dyDescent="0.3">
      <c r="A163" t="s">
        <v>230</v>
      </c>
      <c r="B163" s="5">
        <v>42193</v>
      </c>
      <c r="C163" t="s">
        <v>11</v>
      </c>
      <c r="D163" t="s">
        <v>12</v>
      </c>
      <c r="E163" t="s">
        <v>17</v>
      </c>
      <c r="F163" t="s">
        <v>79</v>
      </c>
      <c r="G163">
        <v>18</v>
      </c>
      <c r="H163">
        <v>10</v>
      </c>
      <c r="I163" t="s">
        <v>15</v>
      </c>
      <c r="N163" t="s">
        <v>430</v>
      </c>
      <c r="P163" t="s">
        <v>432</v>
      </c>
      <c r="Q163" t="s">
        <v>593</v>
      </c>
      <c r="R163" t="s">
        <v>20</v>
      </c>
      <c r="AA163" t="s">
        <v>632</v>
      </c>
      <c r="AB163" t="s">
        <v>20</v>
      </c>
      <c r="BF163" t="s">
        <v>72</v>
      </c>
    </row>
    <row r="164" spans="1:58" x14ac:dyDescent="0.3">
      <c r="A164" t="s">
        <v>231</v>
      </c>
      <c r="B164" s="5">
        <v>42191</v>
      </c>
      <c r="C164" t="s">
        <v>20</v>
      </c>
      <c r="D164" t="s">
        <v>24</v>
      </c>
      <c r="E164" t="s">
        <v>21</v>
      </c>
      <c r="F164" t="s">
        <v>87</v>
      </c>
      <c r="G164">
        <v>21.05</v>
      </c>
      <c r="H164">
        <v>15</v>
      </c>
      <c r="I164" t="s">
        <v>26</v>
      </c>
      <c r="N164" t="s">
        <v>431</v>
      </c>
      <c r="P164" t="s">
        <v>358</v>
      </c>
      <c r="Q164" t="s">
        <v>595</v>
      </c>
      <c r="R164" t="s">
        <v>20</v>
      </c>
      <c r="AA164" t="s">
        <v>633</v>
      </c>
      <c r="AB164" t="s">
        <v>20</v>
      </c>
      <c r="BF164" t="s">
        <v>241</v>
      </c>
    </row>
    <row r="165" spans="1:58" x14ac:dyDescent="0.3">
      <c r="A165" t="s">
        <v>232</v>
      </c>
      <c r="B165" s="5">
        <v>42191</v>
      </c>
      <c r="C165" t="s">
        <v>20</v>
      </c>
      <c r="D165" t="s">
        <v>12</v>
      </c>
      <c r="E165" t="s">
        <v>17</v>
      </c>
      <c r="F165" t="s">
        <v>54</v>
      </c>
      <c r="G165">
        <v>53</v>
      </c>
      <c r="H165">
        <v>35</v>
      </c>
      <c r="I165" t="s">
        <v>26</v>
      </c>
      <c r="N165" t="s">
        <v>432</v>
      </c>
      <c r="P165" t="s">
        <v>433</v>
      </c>
      <c r="Q165" t="s">
        <v>602</v>
      </c>
      <c r="R165" t="s">
        <v>20</v>
      </c>
      <c r="AA165" t="s">
        <v>474</v>
      </c>
      <c r="AB165" t="s">
        <v>20</v>
      </c>
      <c r="BF165" t="s">
        <v>128</v>
      </c>
    </row>
    <row r="166" spans="1:58" x14ac:dyDescent="0.3">
      <c r="A166" t="s">
        <v>233</v>
      </c>
      <c r="B166" s="5">
        <v>42191</v>
      </c>
      <c r="C166" t="s">
        <v>11</v>
      </c>
      <c r="D166" t="s">
        <v>12</v>
      </c>
      <c r="E166" t="s">
        <v>34</v>
      </c>
      <c r="F166" t="s">
        <v>64</v>
      </c>
      <c r="G166">
        <v>9.65</v>
      </c>
      <c r="H166">
        <v>10</v>
      </c>
      <c r="I166" t="s">
        <v>26</v>
      </c>
      <c r="N166" t="s">
        <v>358</v>
      </c>
      <c r="P166" t="s">
        <v>435</v>
      </c>
      <c r="Q166" t="s">
        <v>603</v>
      </c>
      <c r="R166" t="s">
        <v>20</v>
      </c>
      <c r="AA166" t="s">
        <v>639</v>
      </c>
      <c r="AB166" t="s">
        <v>20</v>
      </c>
      <c r="BF166" t="s">
        <v>72</v>
      </c>
    </row>
    <row r="167" spans="1:58" x14ac:dyDescent="0.3">
      <c r="A167" t="s">
        <v>234</v>
      </c>
      <c r="B167" s="5">
        <v>42193</v>
      </c>
      <c r="C167" t="s">
        <v>31</v>
      </c>
      <c r="D167" t="s">
        <v>24</v>
      </c>
      <c r="E167" t="s">
        <v>34</v>
      </c>
      <c r="F167" t="s">
        <v>75</v>
      </c>
      <c r="G167">
        <v>20</v>
      </c>
      <c r="H167">
        <v>40</v>
      </c>
      <c r="I167" t="s">
        <v>26</v>
      </c>
      <c r="N167" t="s">
        <v>433</v>
      </c>
      <c r="P167" t="s">
        <v>436</v>
      </c>
      <c r="Q167" t="s">
        <v>605</v>
      </c>
      <c r="R167" t="s">
        <v>20</v>
      </c>
      <c r="AA167" t="s">
        <v>645</v>
      </c>
      <c r="AB167" t="s">
        <v>20</v>
      </c>
      <c r="BF167" t="s">
        <v>14</v>
      </c>
    </row>
    <row r="168" spans="1:58" x14ac:dyDescent="0.3">
      <c r="A168" t="s">
        <v>235</v>
      </c>
      <c r="B168" s="5">
        <v>42193</v>
      </c>
      <c r="C168" t="s">
        <v>28</v>
      </c>
      <c r="D168" t="s">
        <v>12</v>
      </c>
      <c r="E168" t="s">
        <v>17</v>
      </c>
      <c r="F168" t="s">
        <v>37</v>
      </c>
      <c r="G168">
        <v>18</v>
      </c>
      <c r="H168">
        <v>42</v>
      </c>
      <c r="I168" t="s">
        <v>26</v>
      </c>
      <c r="N168" t="s">
        <v>435</v>
      </c>
      <c r="P168" t="s">
        <v>437</v>
      </c>
      <c r="Q168" t="s">
        <v>608</v>
      </c>
      <c r="R168" t="s">
        <v>20</v>
      </c>
      <c r="AA168" t="s">
        <v>648</v>
      </c>
      <c r="AB168" t="s">
        <v>20</v>
      </c>
      <c r="BF168" t="s">
        <v>81</v>
      </c>
    </row>
    <row r="169" spans="1:58" x14ac:dyDescent="0.3">
      <c r="A169" t="s">
        <v>236</v>
      </c>
      <c r="B169" s="5">
        <v>42193</v>
      </c>
      <c r="C169" t="s">
        <v>31</v>
      </c>
      <c r="D169" t="s">
        <v>12</v>
      </c>
      <c r="E169" t="s">
        <v>13</v>
      </c>
      <c r="F169" t="s">
        <v>99</v>
      </c>
      <c r="G169">
        <v>12.5</v>
      </c>
      <c r="H169">
        <v>20</v>
      </c>
      <c r="I169" t="s">
        <v>26</v>
      </c>
      <c r="N169" t="s">
        <v>436</v>
      </c>
      <c r="P169" t="s">
        <v>438</v>
      </c>
      <c r="Q169" t="s">
        <v>446</v>
      </c>
      <c r="R169" t="s">
        <v>20</v>
      </c>
      <c r="AA169" t="s">
        <v>650</v>
      </c>
      <c r="AB169" t="s">
        <v>20</v>
      </c>
      <c r="BF169" t="s">
        <v>14</v>
      </c>
    </row>
    <row r="170" spans="1:58" x14ac:dyDescent="0.3">
      <c r="A170" t="s">
        <v>237</v>
      </c>
      <c r="B170" s="5">
        <v>42198</v>
      </c>
      <c r="C170" t="s">
        <v>11</v>
      </c>
      <c r="D170" t="s">
        <v>12</v>
      </c>
      <c r="E170" t="s">
        <v>51</v>
      </c>
      <c r="F170" t="s">
        <v>138</v>
      </c>
      <c r="G170">
        <v>32.799999999999997</v>
      </c>
      <c r="H170">
        <v>15</v>
      </c>
      <c r="I170" t="s">
        <v>26</v>
      </c>
      <c r="N170" t="s">
        <v>437</v>
      </c>
      <c r="P170" t="s">
        <v>127</v>
      </c>
      <c r="Q170" t="s">
        <v>612</v>
      </c>
      <c r="R170" t="s">
        <v>20</v>
      </c>
      <c r="BF170" t="s">
        <v>144</v>
      </c>
    </row>
    <row r="171" spans="1:58" x14ac:dyDescent="0.3">
      <c r="A171" t="s">
        <v>238</v>
      </c>
      <c r="B171" s="5">
        <v>42198</v>
      </c>
      <c r="C171" t="s">
        <v>20</v>
      </c>
      <c r="D171" t="s">
        <v>12</v>
      </c>
      <c r="E171" t="s">
        <v>21</v>
      </c>
      <c r="F171" t="s">
        <v>97</v>
      </c>
      <c r="G171">
        <v>13</v>
      </c>
      <c r="H171">
        <v>12</v>
      </c>
      <c r="I171" t="s">
        <v>26</v>
      </c>
      <c r="N171" t="s">
        <v>438</v>
      </c>
      <c r="P171" t="s">
        <v>439</v>
      </c>
      <c r="Q171" t="s">
        <v>452</v>
      </c>
      <c r="R171" t="s">
        <v>20</v>
      </c>
      <c r="BF171" t="s">
        <v>94</v>
      </c>
    </row>
    <row r="172" spans="1:58" x14ac:dyDescent="0.3">
      <c r="A172" t="s">
        <v>239</v>
      </c>
      <c r="B172" s="5">
        <v>42202</v>
      </c>
      <c r="C172" t="s">
        <v>28</v>
      </c>
      <c r="D172" t="s">
        <v>12</v>
      </c>
      <c r="E172" t="s">
        <v>17</v>
      </c>
      <c r="F172" t="s">
        <v>72</v>
      </c>
      <c r="G172">
        <v>18</v>
      </c>
      <c r="H172">
        <v>20</v>
      </c>
      <c r="I172" t="s">
        <v>26</v>
      </c>
      <c r="N172" t="s">
        <v>127</v>
      </c>
      <c r="P172" t="s">
        <v>440</v>
      </c>
      <c r="Q172" t="s">
        <v>621</v>
      </c>
      <c r="R172" t="s">
        <v>20</v>
      </c>
      <c r="BF172" t="s">
        <v>251</v>
      </c>
    </row>
    <row r="173" spans="1:58" x14ac:dyDescent="0.3">
      <c r="A173" t="s">
        <v>240</v>
      </c>
      <c r="B173" s="5">
        <v>42202</v>
      </c>
      <c r="C173" t="s">
        <v>28</v>
      </c>
      <c r="D173" t="s">
        <v>12</v>
      </c>
      <c r="E173" t="s">
        <v>34</v>
      </c>
      <c r="F173" t="s">
        <v>241</v>
      </c>
      <c r="G173">
        <v>10</v>
      </c>
      <c r="H173">
        <v>20</v>
      </c>
      <c r="I173" t="s">
        <v>26</v>
      </c>
      <c r="N173" t="s">
        <v>439</v>
      </c>
      <c r="P173" t="s">
        <v>444</v>
      </c>
      <c r="Q173" t="s">
        <v>623</v>
      </c>
      <c r="R173" t="s">
        <v>20</v>
      </c>
      <c r="BF173" t="s">
        <v>197</v>
      </c>
    </row>
    <row r="174" spans="1:58" x14ac:dyDescent="0.3">
      <c r="A174" t="s">
        <v>242</v>
      </c>
      <c r="B174" s="5">
        <v>42228</v>
      </c>
      <c r="C174" t="s">
        <v>31</v>
      </c>
      <c r="D174" t="s">
        <v>85</v>
      </c>
      <c r="E174" t="s">
        <v>17</v>
      </c>
      <c r="F174" t="s">
        <v>128</v>
      </c>
      <c r="G174">
        <v>4.5</v>
      </c>
      <c r="H174">
        <v>6</v>
      </c>
      <c r="I174" t="s">
        <v>15</v>
      </c>
      <c r="N174" t="s">
        <v>440</v>
      </c>
      <c r="P174" t="s">
        <v>445</v>
      </c>
      <c r="Q174" t="s">
        <v>632</v>
      </c>
      <c r="R174" t="s">
        <v>20</v>
      </c>
      <c r="BF174" t="s">
        <v>22</v>
      </c>
    </row>
    <row r="175" spans="1:58" x14ac:dyDescent="0.3">
      <c r="A175" t="s">
        <v>243</v>
      </c>
      <c r="B175" s="5">
        <v>42228</v>
      </c>
      <c r="C175" t="s">
        <v>31</v>
      </c>
      <c r="D175" t="s">
        <v>85</v>
      </c>
      <c r="E175" t="s">
        <v>17</v>
      </c>
      <c r="F175" t="s">
        <v>72</v>
      </c>
      <c r="G175">
        <v>18</v>
      </c>
      <c r="H175">
        <v>4</v>
      </c>
      <c r="I175" t="s">
        <v>15</v>
      </c>
      <c r="N175" t="s">
        <v>444</v>
      </c>
      <c r="P175" t="s">
        <v>446</v>
      </c>
      <c r="Q175" t="s">
        <v>633</v>
      </c>
      <c r="R175" t="s">
        <v>20</v>
      </c>
      <c r="BF175" t="s">
        <v>54</v>
      </c>
    </row>
    <row r="176" spans="1:58" x14ac:dyDescent="0.3">
      <c r="A176" t="s">
        <v>244</v>
      </c>
      <c r="B176" s="5">
        <v>42228</v>
      </c>
      <c r="C176" t="s">
        <v>28</v>
      </c>
      <c r="D176" t="s">
        <v>85</v>
      </c>
      <c r="E176" t="s">
        <v>34</v>
      </c>
      <c r="F176" t="s">
        <v>188</v>
      </c>
      <c r="G176">
        <v>9.1999999999999993</v>
      </c>
      <c r="H176">
        <v>1</v>
      </c>
      <c r="I176" t="s">
        <v>15</v>
      </c>
      <c r="N176" t="s">
        <v>445</v>
      </c>
      <c r="P176" t="s">
        <v>449</v>
      </c>
      <c r="Q176" t="s">
        <v>474</v>
      </c>
      <c r="R176" t="s">
        <v>20</v>
      </c>
      <c r="BF176" t="s">
        <v>52</v>
      </c>
    </row>
    <row r="177" spans="1:58" x14ac:dyDescent="0.3">
      <c r="A177" t="s">
        <v>245</v>
      </c>
      <c r="B177" s="5">
        <v>42229</v>
      </c>
      <c r="C177" t="s">
        <v>28</v>
      </c>
      <c r="D177" t="s">
        <v>85</v>
      </c>
      <c r="E177" t="s">
        <v>13</v>
      </c>
      <c r="F177" t="s">
        <v>14</v>
      </c>
      <c r="G177">
        <v>19.5</v>
      </c>
      <c r="H177">
        <v>2</v>
      </c>
      <c r="I177" t="s">
        <v>15</v>
      </c>
      <c r="N177" t="s">
        <v>446</v>
      </c>
      <c r="P177" t="s">
        <v>450</v>
      </c>
      <c r="Q177" t="s">
        <v>639</v>
      </c>
      <c r="R177" t="s">
        <v>20</v>
      </c>
      <c r="BF177" t="s">
        <v>61</v>
      </c>
    </row>
    <row r="178" spans="1:58" x14ac:dyDescent="0.3">
      <c r="A178" t="s">
        <v>246</v>
      </c>
      <c r="B178" s="5">
        <v>42229</v>
      </c>
      <c r="C178" t="s">
        <v>20</v>
      </c>
      <c r="D178" t="s">
        <v>85</v>
      </c>
      <c r="E178" t="s">
        <v>51</v>
      </c>
      <c r="F178" t="s">
        <v>81</v>
      </c>
      <c r="G178">
        <v>25.89</v>
      </c>
      <c r="H178">
        <v>6</v>
      </c>
      <c r="I178" t="s">
        <v>15</v>
      </c>
      <c r="N178" t="s">
        <v>449</v>
      </c>
      <c r="P178" t="s">
        <v>451</v>
      </c>
      <c r="Q178" t="s">
        <v>645</v>
      </c>
      <c r="R178" t="s">
        <v>20</v>
      </c>
      <c r="BF178" t="s">
        <v>97</v>
      </c>
    </row>
    <row r="179" spans="1:58" x14ac:dyDescent="0.3">
      <c r="A179" t="s">
        <v>247</v>
      </c>
      <c r="B179" s="5">
        <v>42236</v>
      </c>
      <c r="C179" t="s">
        <v>20</v>
      </c>
      <c r="D179" t="s">
        <v>24</v>
      </c>
      <c r="E179" t="s">
        <v>13</v>
      </c>
      <c r="F179" t="s">
        <v>14</v>
      </c>
      <c r="G179">
        <v>12</v>
      </c>
      <c r="H179">
        <v>15</v>
      </c>
      <c r="I179" t="s">
        <v>26</v>
      </c>
      <c r="N179" t="s">
        <v>450</v>
      </c>
      <c r="P179" t="s">
        <v>452</v>
      </c>
      <c r="Q179" t="s">
        <v>648</v>
      </c>
      <c r="R179" t="s">
        <v>20</v>
      </c>
      <c r="BF179" t="s">
        <v>75</v>
      </c>
    </row>
    <row r="180" spans="1:58" x14ac:dyDescent="0.3">
      <c r="A180" t="s">
        <v>248</v>
      </c>
      <c r="B180" s="5">
        <v>42236</v>
      </c>
      <c r="C180" t="s">
        <v>31</v>
      </c>
      <c r="D180" t="s">
        <v>12</v>
      </c>
      <c r="E180" t="s">
        <v>17</v>
      </c>
      <c r="F180" t="s">
        <v>144</v>
      </c>
      <c r="G180">
        <v>14</v>
      </c>
      <c r="H180">
        <v>20</v>
      </c>
      <c r="I180" t="s">
        <v>26</v>
      </c>
      <c r="N180" t="s">
        <v>451</v>
      </c>
      <c r="P180" t="s">
        <v>453</v>
      </c>
      <c r="Q180" t="s">
        <v>650</v>
      </c>
      <c r="R180" t="s">
        <v>20</v>
      </c>
      <c r="BF180" t="s">
        <v>35</v>
      </c>
    </row>
    <row r="181" spans="1:58" x14ac:dyDescent="0.3">
      <c r="A181" t="s">
        <v>249</v>
      </c>
      <c r="B181" s="5">
        <v>42236</v>
      </c>
      <c r="C181" t="s">
        <v>28</v>
      </c>
      <c r="D181" t="s">
        <v>12</v>
      </c>
      <c r="E181" t="s">
        <v>34</v>
      </c>
      <c r="F181" t="s">
        <v>94</v>
      </c>
      <c r="G181">
        <v>17.45</v>
      </c>
      <c r="H181">
        <v>40</v>
      </c>
      <c r="I181" t="s">
        <v>26</v>
      </c>
      <c r="N181" t="s">
        <v>452</v>
      </c>
      <c r="P181" t="s">
        <v>455</v>
      </c>
      <c r="Q181" s="5"/>
      <c r="BF181" t="s">
        <v>54</v>
      </c>
    </row>
    <row r="182" spans="1:58" x14ac:dyDescent="0.3">
      <c r="A182" t="s">
        <v>250</v>
      </c>
      <c r="B182" s="5">
        <v>42240</v>
      </c>
      <c r="C182" t="s">
        <v>28</v>
      </c>
      <c r="D182" t="s">
        <v>45</v>
      </c>
      <c r="E182" t="s">
        <v>21</v>
      </c>
      <c r="F182" t="s">
        <v>251</v>
      </c>
      <c r="G182">
        <v>10</v>
      </c>
      <c r="H182">
        <v>30</v>
      </c>
      <c r="I182" t="s">
        <v>26</v>
      </c>
      <c r="N182" t="s">
        <v>453</v>
      </c>
      <c r="P182" t="s">
        <v>456</v>
      </c>
      <c r="Q182" s="5"/>
      <c r="BF182" t="s">
        <v>87</v>
      </c>
    </row>
    <row r="183" spans="1:58" x14ac:dyDescent="0.3">
      <c r="A183" t="s">
        <v>252</v>
      </c>
      <c r="B183" s="5">
        <v>42240</v>
      </c>
      <c r="C183" t="s">
        <v>28</v>
      </c>
      <c r="D183" t="s">
        <v>45</v>
      </c>
      <c r="E183" t="s">
        <v>34</v>
      </c>
      <c r="F183" t="s">
        <v>64</v>
      </c>
      <c r="G183">
        <v>33.25</v>
      </c>
      <c r="H183">
        <v>9</v>
      </c>
      <c r="I183" t="s">
        <v>26</v>
      </c>
      <c r="N183" t="s">
        <v>455</v>
      </c>
      <c r="P183" t="s">
        <v>457</v>
      </c>
      <c r="Q183" s="5"/>
      <c r="BF183" t="s">
        <v>43</v>
      </c>
    </row>
    <row r="184" spans="1:58" x14ac:dyDescent="0.3">
      <c r="A184" t="s">
        <v>253</v>
      </c>
      <c r="B184" s="5">
        <v>42241</v>
      </c>
      <c r="C184" t="s">
        <v>28</v>
      </c>
      <c r="D184" t="s">
        <v>12</v>
      </c>
      <c r="E184" t="s">
        <v>21</v>
      </c>
      <c r="F184" t="s">
        <v>197</v>
      </c>
      <c r="G184">
        <v>19.45</v>
      </c>
      <c r="H184">
        <v>24</v>
      </c>
      <c r="I184" t="s">
        <v>26</v>
      </c>
      <c r="N184" t="s">
        <v>456</v>
      </c>
      <c r="P184" t="s">
        <v>458</v>
      </c>
      <c r="Q184" s="5"/>
      <c r="BF184" t="s">
        <v>138</v>
      </c>
    </row>
    <row r="185" spans="1:58" x14ac:dyDescent="0.3">
      <c r="A185" t="s">
        <v>254</v>
      </c>
      <c r="B185" s="5">
        <v>42241</v>
      </c>
      <c r="C185" t="s">
        <v>20</v>
      </c>
      <c r="D185" t="s">
        <v>12</v>
      </c>
      <c r="E185" t="s">
        <v>21</v>
      </c>
      <c r="F185" t="s">
        <v>22</v>
      </c>
      <c r="G185">
        <v>53</v>
      </c>
      <c r="H185">
        <v>2</v>
      </c>
      <c r="I185" t="s">
        <v>26</v>
      </c>
      <c r="N185" t="s">
        <v>457</v>
      </c>
      <c r="P185" t="s">
        <v>459</v>
      </c>
      <c r="Q185" s="5"/>
      <c r="BF185" t="s">
        <v>268</v>
      </c>
    </row>
    <row r="186" spans="1:58" x14ac:dyDescent="0.3">
      <c r="A186" t="s">
        <v>255</v>
      </c>
      <c r="B186" s="5">
        <v>42241</v>
      </c>
      <c r="C186" t="s">
        <v>28</v>
      </c>
      <c r="D186" t="s">
        <v>12</v>
      </c>
      <c r="E186" t="s">
        <v>17</v>
      </c>
      <c r="F186" t="s">
        <v>54</v>
      </c>
      <c r="G186">
        <v>6</v>
      </c>
      <c r="H186">
        <v>20</v>
      </c>
      <c r="I186" t="s">
        <v>26</v>
      </c>
      <c r="N186" t="s">
        <v>458</v>
      </c>
      <c r="P186" t="s">
        <v>460</v>
      </c>
      <c r="Q186" s="5"/>
      <c r="BF186" t="s">
        <v>22</v>
      </c>
    </row>
    <row r="187" spans="1:58" x14ac:dyDescent="0.3">
      <c r="A187" t="s">
        <v>256</v>
      </c>
      <c r="B187" s="5">
        <v>42241</v>
      </c>
      <c r="C187" t="s">
        <v>28</v>
      </c>
      <c r="D187" t="s">
        <v>12</v>
      </c>
      <c r="E187" t="s">
        <v>51</v>
      </c>
      <c r="F187" t="s">
        <v>52</v>
      </c>
      <c r="G187">
        <v>123.79</v>
      </c>
      <c r="H187">
        <v>15</v>
      </c>
      <c r="I187" t="s">
        <v>15</v>
      </c>
      <c r="N187" t="s">
        <v>459</v>
      </c>
      <c r="P187" t="s">
        <v>469</v>
      </c>
      <c r="Q187" s="5"/>
      <c r="BF187" t="s">
        <v>54</v>
      </c>
    </row>
    <row r="188" spans="1:58" x14ac:dyDescent="0.3">
      <c r="A188" t="s">
        <v>257</v>
      </c>
      <c r="B188" s="5">
        <v>42241</v>
      </c>
      <c r="C188" t="s">
        <v>28</v>
      </c>
      <c r="D188" t="s">
        <v>12</v>
      </c>
      <c r="E188" t="s">
        <v>21</v>
      </c>
      <c r="F188" t="s">
        <v>61</v>
      </c>
      <c r="G188">
        <v>21.35</v>
      </c>
      <c r="H188">
        <v>20</v>
      </c>
      <c r="I188" t="s">
        <v>15</v>
      </c>
      <c r="N188" t="s">
        <v>460</v>
      </c>
      <c r="P188" t="s">
        <v>470</v>
      </c>
      <c r="Q188" s="5"/>
      <c r="BF188" t="s">
        <v>144</v>
      </c>
    </row>
    <row r="189" spans="1:58" x14ac:dyDescent="0.3">
      <c r="A189" t="s">
        <v>258</v>
      </c>
      <c r="B189" s="5">
        <v>42241</v>
      </c>
      <c r="C189" t="s">
        <v>28</v>
      </c>
      <c r="D189" t="s">
        <v>12</v>
      </c>
      <c r="E189" t="s">
        <v>21</v>
      </c>
      <c r="F189" t="s">
        <v>97</v>
      </c>
      <c r="G189">
        <v>13</v>
      </c>
      <c r="H189">
        <v>10</v>
      </c>
      <c r="I189" t="s">
        <v>15</v>
      </c>
      <c r="N189" t="s">
        <v>469</v>
      </c>
      <c r="P189" t="s">
        <v>472</v>
      </c>
      <c r="Q189" s="5"/>
      <c r="BF189" t="s">
        <v>134</v>
      </c>
    </row>
    <row r="190" spans="1:58" x14ac:dyDescent="0.3">
      <c r="A190" t="s">
        <v>259</v>
      </c>
      <c r="B190" s="5">
        <v>42241</v>
      </c>
      <c r="C190" t="s">
        <v>28</v>
      </c>
      <c r="D190" t="s">
        <v>12</v>
      </c>
      <c r="E190" t="s">
        <v>34</v>
      </c>
      <c r="F190" t="s">
        <v>75</v>
      </c>
      <c r="G190">
        <v>20</v>
      </c>
      <c r="H190">
        <v>15</v>
      </c>
      <c r="I190" t="s">
        <v>15</v>
      </c>
      <c r="N190" t="s">
        <v>470</v>
      </c>
      <c r="P190" t="s">
        <v>473</v>
      </c>
      <c r="Q190" s="5"/>
      <c r="BF190" t="s">
        <v>72</v>
      </c>
    </row>
    <row r="191" spans="1:58" x14ac:dyDescent="0.3">
      <c r="A191" t="s">
        <v>260</v>
      </c>
      <c r="B191" s="5">
        <v>42242</v>
      </c>
      <c r="C191" t="s">
        <v>31</v>
      </c>
      <c r="D191" t="s">
        <v>12</v>
      </c>
      <c r="E191" t="s">
        <v>34</v>
      </c>
      <c r="F191" t="s">
        <v>35</v>
      </c>
      <c r="G191">
        <v>81</v>
      </c>
      <c r="H191">
        <v>20</v>
      </c>
      <c r="I191" t="s">
        <v>26</v>
      </c>
      <c r="N191" t="s">
        <v>472</v>
      </c>
      <c r="P191" t="s">
        <v>474</v>
      </c>
      <c r="Q191" s="5"/>
      <c r="BF191" t="s">
        <v>25</v>
      </c>
    </row>
    <row r="192" spans="1:58" x14ac:dyDescent="0.3">
      <c r="A192" t="s">
        <v>261</v>
      </c>
      <c r="B192" s="5">
        <v>42251</v>
      </c>
      <c r="C192" t="s">
        <v>28</v>
      </c>
      <c r="D192" t="s">
        <v>12</v>
      </c>
      <c r="E192" t="s">
        <v>17</v>
      </c>
      <c r="F192" t="s">
        <v>54</v>
      </c>
      <c r="G192">
        <v>15</v>
      </c>
      <c r="H192">
        <v>20</v>
      </c>
      <c r="I192" t="s">
        <v>26</v>
      </c>
      <c r="N192" t="s">
        <v>473</v>
      </c>
      <c r="P192" t="s">
        <v>475</v>
      </c>
      <c r="Q192" s="5"/>
      <c r="BF192" t="s">
        <v>111</v>
      </c>
    </row>
    <row r="193" spans="1:58" x14ac:dyDescent="0.3">
      <c r="A193" t="s">
        <v>262</v>
      </c>
      <c r="B193" s="5">
        <v>42251</v>
      </c>
      <c r="C193" t="s">
        <v>20</v>
      </c>
      <c r="D193" t="s">
        <v>12</v>
      </c>
      <c r="E193" t="s">
        <v>34</v>
      </c>
      <c r="F193" t="s">
        <v>188</v>
      </c>
      <c r="G193">
        <v>9.1999999999999993</v>
      </c>
      <c r="H193">
        <v>15</v>
      </c>
      <c r="I193" t="s">
        <v>26</v>
      </c>
      <c r="N193" t="s">
        <v>474</v>
      </c>
      <c r="P193" t="s">
        <v>476</v>
      </c>
      <c r="Q193" s="5"/>
      <c r="BF193" t="s">
        <v>81</v>
      </c>
    </row>
    <row r="194" spans="1:58" x14ac:dyDescent="0.3">
      <c r="A194" t="s">
        <v>263</v>
      </c>
      <c r="B194" s="5">
        <v>42256</v>
      </c>
      <c r="C194" t="s">
        <v>11</v>
      </c>
      <c r="D194" t="s">
        <v>85</v>
      </c>
      <c r="E194" t="s">
        <v>21</v>
      </c>
      <c r="F194" t="s">
        <v>87</v>
      </c>
      <c r="G194">
        <v>21.05</v>
      </c>
      <c r="H194">
        <v>30</v>
      </c>
      <c r="I194" t="s">
        <v>26</v>
      </c>
      <c r="N194" t="s">
        <v>475</v>
      </c>
      <c r="P194" t="s">
        <v>477</v>
      </c>
      <c r="Q194" s="5"/>
      <c r="BF194" t="s">
        <v>37</v>
      </c>
    </row>
    <row r="195" spans="1:58" x14ac:dyDescent="0.3">
      <c r="A195" t="s">
        <v>264</v>
      </c>
      <c r="B195" s="5">
        <v>42256</v>
      </c>
      <c r="C195" t="s">
        <v>11</v>
      </c>
      <c r="D195" t="s">
        <v>85</v>
      </c>
      <c r="E195" t="s">
        <v>34</v>
      </c>
      <c r="F195" t="s">
        <v>64</v>
      </c>
      <c r="G195">
        <v>18.399999999999999</v>
      </c>
      <c r="H195">
        <v>40</v>
      </c>
      <c r="I195" t="s">
        <v>26</v>
      </c>
      <c r="N195" t="s">
        <v>476</v>
      </c>
      <c r="P195" t="s">
        <v>478</v>
      </c>
      <c r="Q195" s="5"/>
      <c r="BF195" t="s">
        <v>25</v>
      </c>
    </row>
    <row r="196" spans="1:58" x14ac:dyDescent="0.3">
      <c r="A196" t="s">
        <v>265</v>
      </c>
      <c r="B196" s="5">
        <v>42256</v>
      </c>
      <c r="C196" t="s">
        <v>31</v>
      </c>
      <c r="D196" t="s">
        <v>85</v>
      </c>
      <c r="E196" t="s">
        <v>34</v>
      </c>
      <c r="F196" t="s">
        <v>43</v>
      </c>
      <c r="G196">
        <v>12.5</v>
      </c>
      <c r="H196">
        <v>15</v>
      </c>
      <c r="I196" t="s">
        <v>26</v>
      </c>
      <c r="N196" t="s">
        <v>477</v>
      </c>
      <c r="P196" t="s">
        <v>479</v>
      </c>
      <c r="Q196" s="5"/>
      <c r="BF196" t="s">
        <v>22</v>
      </c>
    </row>
    <row r="197" spans="1:58" x14ac:dyDescent="0.3">
      <c r="A197" t="s">
        <v>266</v>
      </c>
      <c r="B197" s="5">
        <v>42261</v>
      </c>
      <c r="C197" t="s">
        <v>20</v>
      </c>
      <c r="D197" t="s">
        <v>85</v>
      </c>
      <c r="E197" t="s">
        <v>51</v>
      </c>
      <c r="F197" t="s">
        <v>138</v>
      </c>
      <c r="G197">
        <v>32.799999999999997</v>
      </c>
      <c r="H197">
        <v>10</v>
      </c>
      <c r="I197" t="s">
        <v>26</v>
      </c>
      <c r="N197" t="s">
        <v>478</v>
      </c>
      <c r="P197" t="s">
        <v>489</v>
      </c>
      <c r="Q197" s="5"/>
      <c r="BF197" t="s">
        <v>128</v>
      </c>
    </row>
    <row r="198" spans="1:58" x14ac:dyDescent="0.3">
      <c r="A198" t="s">
        <v>267</v>
      </c>
      <c r="B198" s="5">
        <v>42261</v>
      </c>
      <c r="C198" t="s">
        <v>31</v>
      </c>
      <c r="D198" t="s">
        <v>85</v>
      </c>
      <c r="E198" t="s">
        <v>51</v>
      </c>
      <c r="F198" t="s">
        <v>268</v>
      </c>
      <c r="G198">
        <v>7.45</v>
      </c>
      <c r="H198">
        <v>5</v>
      </c>
      <c r="I198" t="s">
        <v>26</v>
      </c>
      <c r="N198" t="s">
        <v>479</v>
      </c>
      <c r="P198" t="s">
        <v>490</v>
      </c>
      <c r="Q198" s="5"/>
      <c r="BF198" t="s">
        <v>22</v>
      </c>
    </row>
    <row r="199" spans="1:58" x14ac:dyDescent="0.3">
      <c r="A199" t="s">
        <v>269</v>
      </c>
      <c r="B199" s="5">
        <v>42261</v>
      </c>
      <c r="C199" t="s">
        <v>20</v>
      </c>
      <c r="D199" t="s">
        <v>85</v>
      </c>
      <c r="E199" t="s">
        <v>21</v>
      </c>
      <c r="F199" t="s">
        <v>22</v>
      </c>
      <c r="G199">
        <v>25.89</v>
      </c>
      <c r="H199">
        <v>10</v>
      </c>
      <c r="I199" t="s">
        <v>26</v>
      </c>
      <c r="N199" t="s">
        <v>489</v>
      </c>
      <c r="P199" t="s">
        <v>491</v>
      </c>
      <c r="Q199" s="5"/>
      <c r="BF199" t="s">
        <v>41</v>
      </c>
    </row>
    <row r="200" spans="1:58" x14ac:dyDescent="0.3">
      <c r="A200" t="s">
        <v>270</v>
      </c>
      <c r="B200" s="5">
        <v>42271</v>
      </c>
      <c r="C200" t="s">
        <v>11</v>
      </c>
      <c r="D200" t="s">
        <v>45</v>
      </c>
      <c r="E200" t="s">
        <v>17</v>
      </c>
      <c r="F200" t="s">
        <v>54</v>
      </c>
      <c r="G200">
        <v>15</v>
      </c>
      <c r="H200">
        <v>30</v>
      </c>
      <c r="I200" t="s">
        <v>26</v>
      </c>
      <c r="N200" t="s">
        <v>490</v>
      </c>
      <c r="P200" t="s">
        <v>495</v>
      </c>
      <c r="Q200" s="5"/>
      <c r="BF200" t="s">
        <v>99</v>
      </c>
    </row>
    <row r="201" spans="1:58" x14ac:dyDescent="0.3">
      <c r="A201" t="s">
        <v>271</v>
      </c>
      <c r="B201" s="5">
        <v>42271</v>
      </c>
      <c r="C201" t="s">
        <v>20</v>
      </c>
      <c r="D201" t="s">
        <v>45</v>
      </c>
      <c r="E201" t="s">
        <v>17</v>
      </c>
      <c r="F201" t="s">
        <v>144</v>
      </c>
      <c r="G201">
        <v>14</v>
      </c>
      <c r="H201">
        <v>14</v>
      </c>
      <c r="I201" t="s">
        <v>26</v>
      </c>
      <c r="N201" t="s">
        <v>491</v>
      </c>
      <c r="P201" t="s">
        <v>496</v>
      </c>
      <c r="Q201" s="5"/>
      <c r="BF201" t="s">
        <v>94</v>
      </c>
    </row>
    <row r="202" spans="1:58" x14ac:dyDescent="0.3">
      <c r="A202" t="s">
        <v>272</v>
      </c>
      <c r="B202" s="5">
        <v>42276</v>
      </c>
      <c r="C202" t="s">
        <v>31</v>
      </c>
      <c r="D202" t="s">
        <v>45</v>
      </c>
      <c r="E202" t="s">
        <v>17</v>
      </c>
      <c r="F202" t="s">
        <v>134</v>
      </c>
      <c r="G202">
        <v>18</v>
      </c>
      <c r="H202">
        <v>6</v>
      </c>
      <c r="I202" t="s">
        <v>26</v>
      </c>
      <c r="N202" t="s">
        <v>495</v>
      </c>
      <c r="P202" t="s">
        <v>497</v>
      </c>
      <c r="Q202" s="5"/>
      <c r="BF202" t="s">
        <v>186</v>
      </c>
    </row>
    <row r="203" spans="1:58" x14ac:dyDescent="0.3">
      <c r="A203" t="s">
        <v>273</v>
      </c>
      <c r="B203" s="5">
        <v>42276</v>
      </c>
      <c r="C203" t="s">
        <v>11</v>
      </c>
      <c r="D203" t="s">
        <v>45</v>
      </c>
      <c r="E203" t="s">
        <v>34</v>
      </c>
      <c r="F203" t="s">
        <v>64</v>
      </c>
      <c r="G203">
        <v>9.65</v>
      </c>
      <c r="H203">
        <v>20</v>
      </c>
      <c r="I203" t="s">
        <v>26</v>
      </c>
      <c r="N203" t="s">
        <v>496</v>
      </c>
      <c r="P203" t="s">
        <v>498</v>
      </c>
      <c r="Q203" s="5"/>
      <c r="BF203" t="s">
        <v>124</v>
      </c>
    </row>
    <row r="204" spans="1:58" x14ac:dyDescent="0.3">
      <c r="A204" t="s">
        <v>274</v>
      </c>
      <c r="B204" s="5">
        <v>42278</v>
      </c>
      <c r="C204" t="s">
        <v>31</v>
      </c>
      <c r="D204" t="s">
        <v>45</v>
      </c>
      <c r="E204" t="s">
        <v>17</v>
      </c>
      <c r="F204" t="s">
        <v>72</v>
      </c>
      <c r="G204">
        <v>18</v>
      </c>
      <c r="H204">
        <v>10</v>
      </c>
      <c r="I204" t="s">
        <v>26</v>
      </c>
      <c r="N204" t="s">
        <v>497</v>
      </c>
      <c r="P204" t="s">
        <v>501</v>
      </c>
      <c r="Q204" s="5"/>
      <c r="BF204" t="s">
        <v>97</v>
      </c>
    </row>
    <row r="205" spans="1:58" x14ac:dyDescent="0.3">
      <c r="A205" t="s">
        <v>275</v>
      </c>
      <c r="B205" s="5">
        <v>42285</v>
      </c>
      <c r="C205" t="s">
        <v>11</v>
      </c>
      <c r="D205" t="s">
        <v>85</v>
      </c>
      <c r="E205" t="s">
        <v>17</v>
      </c>
      <c r="F205" t="s">
        <v>25</v>
      </c>
      <c r="G205">
        <v>7.75</v>
      </c>
      <c r="H205">
        <v>50</v>
      </c>
      <c r="I205" t="s">
        <v>26</v>
      </c>
      <c r="N205" t="s">
        <v>498</v>
      </c>
      <c r="P205" t="s">
        <v>318</v>
      </c>
      <c r="Q205" s="5"/>
      <c r="BF205" t="s">
        <v>87</v>
      </c>
    </row>
    <row r="206" spans="1:58" x14ac:dyDescent="0.3">
      <c r="A206" t="s">
        <v>276</v>
      </c>
      <c r="B206" s="5">
        <v>42285</v>
      </c>
      <c r="C206" t="s">
        <v>11</v>
      </c>
      <c r="D206" t="s">
        <v>85</v>
      </c>
      <c r="E206" t="s">
        <v>21</v>
      </c>
      <c r="F206" t="s">
        <v>111</v>
      </c>
      <c r="G206">
        <v>22</v>
      </c>
      <c r="H206">
        <v>24</v>
      </c>
      <c r="I206" t="s">
        <v>26</v>
      </c>
      <c r="N206" t="s">
        <v>501</v>
      </c>
      <c r="P206" t="s">
        <v>502</v>
      </c>
      <c r="Q206" s="5"/>
      <c r="BF206" t="s">
        <v>32</v>
      </c>
    </row>
    <row r="207" spans="1:58" x14ac:dyDescent="0.3">
      <c r="A207" t="s">
        <v>277</v>
      </c>
      <c r="B207" s="5">
        <v>42285</v>
      </c>
      <c r="C207" t="s">
        <v>11</v>
      </c>
      <c r="D207" t="s">
        <v>85</v>
      </c>
      <c r="E207" t="s">
        <v>51</v>
      </c>
      <c r="F207" t="s">
        <v>81</v>
      </c>
      <c r="G207">
        <v>19.5</v>
      </c>
      <c r="H207">
        <v>16</v>
      </c>
      <c r="I207" t="s">
        <v>26</v>
      </c>
      <c r="N207" t="s">
        <v>318</v>
      </c>
      <c r="P207" t="s">
        <v>503</v>
      </c>
      <c r="Q207" s="5"/>
      <c r="BF207" t="s">
        <v>41</v>
      </c>
    </row>
    <row r="208" spans="1:58" x14ac:dyDescent="0.3">
      <c r="A208" t="s">
        <v>278</v>
      </c>
      <c r="B208" s="5">
        <v>42312</v>
      </c>
      <c r="C208" t="s">
        <v>11</v>
      </c>
      <c r="D208" t="s">
        <v>12</v>
      </c>
      <c r="E208" t="s">
        <v>17</v>
      </c>
      <c r="F208" t="s">
        <v>37</v>
      </c>
      <c r="G208">
        <v>18</v>
      </c>
      <c r="H208">
        <v>50</v>
      </c>
      <c r="I208" t="s">
        <v>26</v>
      </c>
      <c r="N208" t="s">
        <v>502</v>
      </c>
      <c r="P208" t="s">
        <v>504</v>
      </c>
      <c r="Q208" s="5"/>
      <c r="BF208" t="s">
        <v>56</v>
      </c>
    </row>
    <row r="209" spans="1:58" x14ac:dyDescent="0.3">
      <c r="A209" t="s">
        <v>279</v>
      </c>
      <c r="B209" s="5">
        <v>42312</v>
      </c>
      <c r="C209" t="s">
        <v>11</v>
      </c>
      <c r="D209" t="s">
        <v>12</v>
      </c>
      <c r="E209" t="s">
        <v>17</v>
      </c>
      <c r="F209" t="s">
        <v>25</v>
      </c>
      <c r="G209">
        <v>7.75</v>
      </c>
      <c r="H209">
        <v>6</v>
      </c>
      <c r="I209" t="s">
        <v>26</v>
      </c>
      <c r="N209" t="s">
        <v>503</v>
      </c>
      <c r="P209" t="s">
        <v>505</v>
      </c>
      <c r="Q209" s="5"/>
      <c r="BF209" t="s">
        <v>35</v>
      </c>
    </row>
    <row r="210" spans="1:58" x14ac:dyDescent="0.3">
      <c r="A210" t="s">
        <v>280</v>
      </c>
      <c r="B210" s="5">
        <v>42312</v>
      </c>
      <c r="C210" t="s">
        <v>20</v>
      </c>
      <c r="D210" t="s">
        <v>12</v>
      </c>
      <c r="E210" t="s">
        <v>21</v>
      </c>
      <c r="F210" t="s">
        <v>22</v>
      </c>
      <c r="G210">
        <v>18.399999999999999</v>
      </c>
      <c r="H210">
        <v>4</v>
      </c>
      <c r="I210" t="s">
        <v>26</v>
      </c>
      <c r="N210" t="s">
        <v>504</v>
      </c>
      <c r="P210" t="s">
        <v>506</v>
      </c>
      <c r="Q210" s="5"/>
      <c r="BF210" t="s">
        <v>37</v>
      </c>
    </row>
    <row r="211" spans="1:58" x14ac:dyDescent="0.3">
      <c r="A211" t="s">
        <v>281</v>
      </c>
      <c r="B211" s="5">
        <v>42312</v>
      </c>
      <c r="C211" t="s">
        <v>28</v>
      </c>
      <c r="D211" t="s">
        <v>12</v>
      </c>
      <c r="E211" t="s">
        <v>34</v>
      </c>
      <c r="F211" t="s">
        <v>68</v>
      </c>
      <c r="G211">
        <v>14</v>
      </c>
      <c r="H211">
        <v>10</v>
      </c>
      <c r="I211" t="s">
        <v>26</v>
      </c>
      <c r="N211" t="s">
        <v>505</v>
      </c>
      <c r="P211" t="s">
        <v>507</v>
      </c>
      <c r="Q211" s="5"/>
      <c r="BF211" t="s">
        <v>54</v>
      </c>
    </row>
    <row r="212" spans="1:58" x14ac:dyDescent="0.3">
      <c r="A212" t="s">
        <v>282</v>
      </c>
      <c r="B212" s="5">
        <v>42321</v>
      </c>
      <c r="C212" t="s">
        <v>11</v>
      </c>
      <c r="D212" t="s">
        <v>45</v>
      </c>
      <c r="E212" t="s">
        <v>17</v>
      </c>
      <c r="F212" t="s">
        <v>128</v>
      </c>
      <c r="G212">
        <v>4.5</v>
      </c>
      <c r="H212">
        <v>25</v>
      </c>
      <c r="I212" t="s">
        <v>15</v>
      </c>
      <c r="N212" t="s">
        <v>506</v>
      </c>
      <c r="P212" t="s">
        <v>508</v>
      </c>
      <c r="Q212" s="5"/>
      <c r="BF212" t="s">
        <v>87</v>
      </c>
    </row>
    <row r="213" spans="1:58" x14ac:dyDescent="0.3">
      <c r="A213" t="s">
        <v>283</v>
      </c>
      <c r="B213" s="5">
        <v>42321</v>
      </c>
      <c r="C213" t="s">
        <v>11</v>
      </c>
      <c r="D213" t="s">
        <v>45</v>
      </c>
      <c r="E213" t="s">
        <v>21</v>
      </c>
      <c r="F213" t="s">
        <v>22</v>
      </c>
      <c r="G213">
        <v>19.5</v>
      </c>
      <c r="H213">
        <v>25</v>
      </c>
      <c r="I213" t="s">
        <v>15</v>
      </c>
      <c r="N213" t="s">
        <v>507</v>
      </c>
      <c r="P213" t="s">
        <v>509</v>
      </c>
      <c r="Q213" s="5"/>
      <c r="BF213" t="s">
        <v>299</v>
      </c>
    </row>
    <row r="214" spans="1:58" x14ac:dyDescent="0.3">
      <c r="A214" t="s">
        <v>284</v>
      </c>
      <c r="B214" s="5">
        <v>42327</v>
      </c>
      <c r="C214" t="s">
        <v>11</v>
      </c>
      <c r="D214" t="s">
        <v>45</v>
      </c>
      <c r="E214" t="s">
        <v>13</v>
      </c>
      <c r="F214" t="s">
        <v>41</v>
      </c>
      <c r="G214">
        <v>34</v>
      </c>
      <c r="H214">
        <v>80</v>
      </c>
      <c r="I214" t="s">
        <v>26</v>
      </c>
      <c r="N214" t="s">
        <v>508</v>
      </c>
      <c r="P214" t="s">
        <v>510</v>
      </c>
      <c r="Q214" s="5"/>
      <c r="BF214" t="s">
        <v>81</v>
      </c>
    </row>
    <row r="215" spans="1:58" x14ac:dyDescent="0.3">
      <c r="A215" t="s">
        <v>285</v>
      </c>
      <c r="B215" s="5">
        <v>42327</v>
      </c>
      <c r="C215" t="s">
        <v>11</v>
      </c>
      <c r="D215" t="s">
        <v>45</v>
      </c>
      <c r="E215" t="s">
        <v>13</v>
      </c>
      <c r="F215" t="s">
        <v>99</v>
      </c>
      <c r="G215">
        <v>12.5</v>
      </c>
      <c r="H215">
        <v>70</v>
      </c>
      <c r="I215" t="s">
        <v>26</v>
      </c>
      <c r="N215" t="s">
        <v>509</v>
      </c>
      <c r="P215" t="s">
        <v>516</v>
      </c>
      <c r="Q215" s="5"/>
      <c r="BF215" t="s">
        <v>14</v>
      </c>
    </row>
    <row r="216" spans="1:58" x14ac:dyDescent="0.3">
      <c r="A216" t="s">
        <v>286</v>
      </c>
      <c r="B216" s="5">
        <v>42327</v>
      </c>
      <c r="C216" t="s">
        <v>11</v>
      </c>
      <c r="D216" t="s">
        <v>45</v>
      </c>
      <c r="E216" t="s">
        <v>34</v>
      </c>
      <c r="F216" t="s">
        <v>94</v>
      </c>
      <c r="G216">
        <v>17.45</v>
      </c>
      <c r="H216">
        <v>56</v>
      </c>
      <c r="I216" t="s">
        <v>26</v>
      </c>
      <c r="N216" t="s">
        <v>510</v>
      </c>
      <c r="P216" t="s">
        <v>334</v>
      </c>
      <c r="Q216" s="5"/>
      <c r="BF216" t="s">
        <v>128</v>
      </c>
    </row>
    <row r="217" spans="1:58" x14ac:dyDescent="0.3">
      <c r="A217" t="s">
        <v>287</v>
      </c>
      <c r="B217" s="5">
        <v>42332</v>
      </c>
      <c r="C217" t="s">
        <v>28</v>
      </c>
      <c r="D217" t="s">
        <v>45</v>
      </c>
      <c r="E217" t="s">
        <v>13</v>
      </c>
      <c r="F217" t="s">
        <v>186</v>
      </c>
      <c r="G217">
        <v>36</v>
      </c>
      <c r="H217">
        <v>30</v>
      </c>
      <c r="I217" t="s">
        <v>15</v>
      </c>
      <c r="N217" t="s">
        <v>516</v>
      </c>
      <c r="P217" t="s">
        <v>335</v>
      </c>
      <c r="Q217" s="5"/>
      <c r="BF217" t="s">
        <v>144</v>
      </c>
    </row>
    <row r="218" spans="1:58" x14ac:dyDescent="0.3">
      <c r="A218" t="s">
        <v>288</v>
      </c>
      <c r="B218" s="5">
        <v>42332</v>
      </c>
      <c r="C218" t="s">
        <v>28</v>
      </c>
      <c r="D218" t="s">
        <v>45</v>
      </c>
      <c r="E218" t="s">
        <v>13</v>
      </c>
      <c r="F218" t="s">
        <v>124</v>
      </c>
      <c r="G218">
        <v>21.5</v>
      </c>
      <c r="H218">
        <v>5</v>
      </c>
      <c r="I218" t="s">
        <v>15</v>
      </c>
      <c r="N218" t="s">
        <v>334</v>
      </c>
      <c r="P218" t="s">
        <v>342</v>
      </c>
      <c r="Q218" s="5"/>
      <c r="BF218" t="s">
        <v>138</v>
      </c>
    </row>
    <row r="219" spans="1:58" x14ac:dyDescent="0.3">
      <c r="A219" t="s">
        <v>289</v>
      </c>
      <c r="B219" s="5">
        <v>42334</v>
      </c>
      <c r="C219" t="s">
        <v>31</v>
      </c>
      <c r="D219" t="s">
        <v>85</v>
      </c>
      <c r="E219" t="s">
        <v>21</v>
      </c>
      <c r="F219" t="s">
        <v>97</v>
      </c>
      <c r="G219">
        <v>13</v>
      </c>
      <c r="H219">
        <v>5</v>
      </c>
      <c r="I219" t="s">
        <v>26</v>
      </c>
      <c r="N219" t="s">
        <v>335</v>
      </c>
      <c r="P219" t="s">
        <v>521</v>
      </c>
      <c r="Q219" s="5"/>
      <c r="BF219" t="s">
        <v>22</v>
      </c>
    </row>
    <row r="220" spans="1:58" x14ac:dyDescent="0.3">
      <c r="A220" t="s">
        <v>290</v>
      </c>
      <c r="B220" s="5">
        <v>42334</v>
      </c>
      <c r="C220" t="s">
        <v>31</v>
      </c>
      <c r="D220" t="s">
        <v>85</v>
      </c>
      <c r="E220" t="s">
        <v>21</v>
      </c>
      <c r="F220" t="s">
        <v>87</v>
      </c>
      <c r="G220">
        <v>21.05</v>
      </c>
      <c r="H220">
        <v>5</v>
      </c>
      <c r="I220" t="s">
        <v>26</v>
      </c>
      <c r="N220" t="s">
        <v>342</v>
      </c>
      <c r="P220" t="s">
        <v>528</v>
      </c>
      <c r="Q220" s="5"/>
      <c r="BF220" t="s">
        <v>14</v>
      </c>
    </row>
    <row r="221" spans="1:58" x14ac:dyDescent="0.3">
      <c r="A221" t="s">
        <v>291</v>
      </c>
      <c r="B221" s="5">
        <v>42340</v>
      </c>
      <c r="C221" t="s">
        <v>11</v>
      </c>
      <c r="D221" t="s">
        <v>12</v>
      </c>
      <c r="E221" t="s">
        <v>17</v>
      </c>
      <c r="F221" t="s">
        <v>32</v>
      </c>
      <c r="G221">
        <v>263.5</v>
      </c>
      <c r="H221">
        <v>40</v>
      </c>
      <c r="I221" t="s">
        <v>26</v>
      </c>
      <c r="N221" t="s">
        <v>521</v>
      </c>
      <c r="P221" t="s">
        <v>529</v>
      </c>
      <c r="Q221" s="5"/>
      <c r="BF221" t="s">
        <v>72</v>
      </c>
    </row>
    <row r="222" spans="1:58" x14ac:dyDescent="0.3">
      <c r="A222" t="s">
        <v>292</v>
      </c>
      <c r="B222" s="5">
        <v>42340</v>
      </c>
      <c r="C222" t="s">
        <v>11</v>
      </c>
      <c r="D222" t="s">
        <v>12</v>
      </c>
      <c r="E222" t="s">
        <v>13</v>
      </c>
      <c r="F222" t="s">
        <v>41</v>
      </c>
      <c r="G222">
        <v>34</v>
      </c>
      <c r="H222">
        <v>70</v>
      </c>
      <c r="I222" t="s">
        <v>26</v>
      </c>
      <c r="N222" t="s">
        <v>528</v>
      </c>
      <c r="P222" t="s">
        <v>532</v>
      </c>
      <c r="Q222" s="5"/>
      <c r="BF222" t="s">
        <v>52</v>
      </c>
    </row>
    <row r="223" spans="1:58" x14ac:dyDescent="0.3">
      <c r="A223" t="s">
        <v>293</v>
      </c>
      <c r="B223" s="5">
        <v>42340</v>
      </c>
      <c r="C223" t="s">
        <v>11</v>
      </c>
      <c r="D223" t="s">
        <v>12</v>
      </c>
      <c r="E223" t="s">
        <v>13</v>
      </c>
      <c r="F223" t="s">
        <v>56</v>
      </c>
      <c r="G223">
        <v>34.799999999999997</v>
      </c>
      <c r="H223">
        <v>42</v>
      </c>
      <c r="I223" t="s">
        <v>26</v>
      </c>
      <c r="N223" t="s">
        <v>529</v>
      </c>
      <c r="P223" t="s">
        <v>533</v>
      </c>
      <c r="Q223" s="5"/>
      <c r="BF223" t="s">
        <v>75</v>
      </c>
    </row>
    <row r="224" spans="1:58" x14ac:dyDescent="0.3">
      <c r="A224" t="s">
        <v>294</v>
      </c>
      <c r="B224" s="5">
        <v>42340</v>
      </c>
      <c r="C224" t="s">
        <v>28</v>
      </c>
      <c r="D224" t="s">
        <v>12</v>
      </c>
      <c r="E224" t="s">
        <v>34</v>
      </c>
      <c r="F224" t="s">
        <v>35</v>
      </c>
      <c r="G224">
        <v>81</v>
      </c>
      <c r="H224">
        <v>12</v>
      </c>
      <c r="I224" t="s">
        <v>26</v>
      </c>
      <c r="N224" t="s">
        <v>532</v>
      </c>
      <c r="P224" t="s">
        <v>534</v>
      </c>
      <c r="Q224" s="5"/>
      <c r="BF224" t="s">
        <v>14</v>
      </c>
    </row>
    <row r="225" spans="1:58" x14ac:dyDescent="0.3">
      <c r="A225" t="s">
        <v>295</v>
      </c>
      <c r="B225" s="5">
        <v>42345</v>
      </c>
      <c r="C225" t="s">
        <v>20</v>
      </c>
      <c r="D225" t="s">
        <v>45</v>
      </c>
      <c r="E225" t="s">
        <v>17</v>
      </c>
      <c r="F225" t="s">
        <v>37</v>
      </c>
      <c r="G225">
        <v>18</v>
      </c>
      <c r="H225">
        <v>20</v>
      </c>
      <c r="I225" t="s">
        <v>26</v>
      </c>
      <c r="N225" t="s">
        <v>533</v>
      </c>
      <c r="P225" t="s">
        <v>535</v>
      </c>
      <c r="Q225" s="5"/>
      <c r="BF225" t="s">
        <v>22</v>
      </c>
    </row>
    <row r="226" spans="1:58" x14ac:dyDescent="0.3">
      <c r="A226" t="s">
        <v>296</v>
      </c>
      <c r="B226" s="5">
        <v>42345</v>
      </c>
      <c r="C226" t="s">
        <v>11</v>
      </c>
      <c r="D226" t="s">
        <v>45</v>
      </c>
      <c r="E226" t="s">
        <v>17</v>
      </c>
      <c r="F226" t="s">
        <v>54</v>
      </c>
      <c r="G226">
        <v>45.6</v>
      </c>
      <c r="H226">
        <v>20</v>
      </c>
      <c r="I226" t="s">
        <v>26</v>
      </c>
      <c r="N226" t="s">
        <v>534</v>
      </c>
      <c r="P226" t="s">
        <v>359</v>
      </c>
      <c r="Q226" s="5"/>
      <c r="BF226" t="s">
        <v>22</v>
      </c>
    </row>
    <row r="227" spans="1:58" x14ac:dyDescent="0.3">
      <c r="A227" t="s">
        <v>297</v>
      </c>
      <c r="B227" s="5">
        <v>42347</v>
      </c>
      <c r="C227" t="s">
        <v>28</v>
      </c>
      <c r="D227" t="s">
        <v>12</v>
      </c>
      <c r="E227" t="s">
        <v>21</v>
      </c>
      <c r="F227" t="s">
        <v>87</v>
      </c>
      <c r="G227">
        <v>21.05</v>
      </c>
      <c r="H227">
        <v>20</v>
      </c>
      <c r="I227" t="s">
        <v>15</v>
      </c>
      <c r="N227" t="s">
        <v>535</v>
      </c>
      <c r="P227" t="s">
        <v>536</v>
      </c>
      <c r="Q227" s="5"/>
      <c r="BF227" t="s">
        <v>241</v>
      </c>
    </row>
    <row r="228" spans="1:58" x14ac:dyDescent="0.3">
      <c r="A228" t="s">
        <v>298</v>
      </c>
      <c r="B228" s="5">
        <v>42347</v>
      </c>
      <c r="C228" t="s">
        <v>20</v>
      </c>
      <c r="D228" t="s">
        <v>12</v>
      </c>
      <c r="E228" t="s">
        <v>21</v>
      </c>
      <c r="F228" t="s">
        <v>299</v>
      </c>
      <c r="G228">
        <v>43.9</v>
      </c>
      <c r="H228">
        <v>16</v>
      </c>
      <c r="I228" t="s">
        <v>15</v>
      </c>
      <c r="N228" t="s">
        <v>359</v>
      </c>
      <c r="P228" t="s">
        <v>537</v>
      </c>
      <c r="Q228" s="5"/>
      <c r="BF228" t="s">
        <v>54</v>
      </c>
    </row>
    <row r="229" spans="1:58" x14ac:dyDescent="0.3">
      <c r="A229" t="s">
        <v>300</v>
      </c>
      <c r="B229" s="5">
        <v>42347</v>
      </c>
      <c r="C229" t="s">
        <v>11</v>
      </c>
      <c r="D229" t="s">
        <v>12</v>
      </c>
      <c r="E229" t="s">
        <v>34</v>
      </c>
      <c r="F229" t="s">
        <v>64</v>
      </c>
      <c r="G229">
        <v>9.65</v>
      </c>
      <c r="H229">
        <v>8</v>
      </c>
      <c r="I229" t="s">
        <v>15</v>
      </c>
      <c r="N229" t="s">
        <v>536</v>
      </c>
      <c r="P229" t="s">
        <v>538</v>
      </c>
      <c r="Q229" s="5"/>
      <c r="BF229" t="s">
        <v>241</v>
      </c>
    </row>
    <row r="230" spans="1:58" x14ac:dyDescent="0.3">
      <c r="A230" t="s">
        <v>301</v>
      </c>
      <c r="B230" s="5">
        <v>42352</v>
      </c>
      <c r="C230" t="s">
        <v>20</v>
      </c>
      <c r="D230" t="s">
        <v>45</v>
      </c>
      <c r="E230" t="s">
        <v>51</v>
      </c>
      <c r="F230" t="s">
        <v>81</v>
      </c>
      <c r="G230">
        <v>38</v>
      </c>
      <c r="H230">
        <v>20</v>
      </c>
      <c r="I230" t="s">
        <v>26</v>
      </c>
      <c r="N230" t="s">
        <v>537</v>
      </c>
      <c r="P230" t="s">
        <v>556</v>
      </c>
      <c r="Q230" s="5"/>
      <c r="BF230" t="s">
        <v>113</v>
      </c>
    </row>
    <row r="231" spans="1:58" x14ac:dyDescent="0.3">
      <c r="A231" t="s">
        <v>302</v>
      </c>
      <c r="B231" s="5">
        <v>42352</v>
      </c>
      <c r="C231" t="s">
        <v>20</v>
      </c>
      <c r="D231" t="s">
        <v>45</v>
      </c>
      <c r="E231" t="s">
        <v>13</v>
      </c>
      <c r="F231" t="s">
        <v>14</v>
      </c>
      <c r="G231">
        <v>6</v>
      </c>
      <c r="H231">
        <v>20</v>
      </c>
      <c r="I231" t="s">
        <v>26</v>
      </c>
      <c r="N231" t="s">
        <v>538</v>
      </c>
      <c r="P231" t="s">
        <v>557</v>
      </c>
      <c r="Q231" s="5"/>
      <c r="BF231" t="s">
        <v>54</v>
      </c>
    </row>
    <row r="232" spans="1:58" x14ac:dyDescent="0.3">
      <c r="A232" t="s">
        <v>303</v>
      </c>
      <c r="B232" s="5">
        <v>42352</v>
      </c>
      <c r="C232" t="s">
        <v>31</v>
      </c>
      <c r="D232" t="s">
        <v>45</v>
      </c>
      <c r="E232" t="s">
        <v>34</v>
      </c>
      <c r="F232" t="s">
        <v>64</v>
      </c>
      <c r="G232">
        <v>16.25</v>
      </c>
      <c r="H232">
        <v>15</v>
      </c>
      <c r="I232" t="s">
        <v>26</v>
      </c>
      <c r="N232" t="s">
        <v>556</v>
      </c>
      <c r="P232" t="s">
        <v>568</v>
      </c>
      <c r="Q232" s="5"/>
      <c r="BF232" t="s">
        <v>22</v>
      </c>
    </row>
    <row r="233" spans="1:58" x14ac:dyDescent="0.3">
      <c r="A233" t="s">
        <v>304</v>
      </c>
      <c r="B233" s="5">
        <v>42354</v>
      </c>
      <c r="C233" t="s">
        <v>28</v>
      </c>
      <c r="D233" t="s">
        <v>12</v>
      </c>
      <c r="E233" t="s">
        <v>17</v>
      </c>
      <c r="F233" t="s">
        <v>128</v>
      </c>
      <c r="G233">
        <v>4.5</v>
      </c>
      <c r="H233">
        <v>15</v>
      </c>
      <c r="I233" t="s">
        <v>26</v>
      </c>
      <c r="N233" t="s">
        <v>557</v>
      </c>
      <c r="P233" t="s">
        <v>569</v>
      </c>
      <c r="Q233" s="5"/>
      <c r="BF233" t="s">
        <v>138</v>
      </c>
    </row>
    <row r="234" spans="1:58" x14ac:dyDescent="0.3">
      <c r="A234" t="s">
        <v>305</v>
      </c>
      <c r="B234" s="5">
        <v>42354</v>
      </c>
      <c r="C234" t="s">
        <v>28</v>
      </c>
      <c r="D234" t="s">
        <v>12</v>
      </c>
      <c r="E234" t="s">
        <v>17</v>
      </c>
      <c r="F234" t="s">
        <v>144</v>
      </c>
      <c r="G234">
        <v>14</v>
      </c>
      <c r="H234">
        <v>10</v>
      </c>
      <c r="I234" t="s">
        <v>26</v>
      </c>
      <c r="N234" t="s">
        <v>568</v>
      </c>
      <c r="P234" t="s">
        <v>572</v>
      </c>
      <c r="Q234" s="5"/>
      <c r="BF234" t="s">
        <v>97</v>
      </c>
    </row>
    <row r="235" spans="1:58" x14ac:dyDescent="0.3">
      <c r="A235" t="s">
        <v>306</v>
      </c>
      <c r="B235" s="5">
        <v>42355</v>
      </c>
      <c r="C235" t="s">
        <v>20</v>
      </c>
      <c r="D235" t="s">
        <v>45</v>
      </c>
      <c r="E235" t="s">
        <v>51</v>
      </c>
      <c r="F235" t="s">
        <v>138</v>
      </c>
      <c r="G235">
        <v>32.799999999999997</v>
      </c>
      <c r="H235">
        <v>40</v>
      </c>
      <c r="I235" t="s">
        <v>15</v>
      </c>
      <c r="N235" t="s">
        <v>569</v>
      </c>
      <c r="P235" t="s">
        <v>402</v>
      </c>
      <c r="Q235" s="5"/>
      <c r="BF235" t="s">
        <v>77</v>
      </c>
    </row>
    <row r="236" spans="1:58" x14ac:dyDescent="0.3">
      <c r="A236" t="s">
        <v>307</v>
      </c>
      <c r="B236" s="5">
        <v>42355</v>
      </c>
      <c r="C236" t="s">
        <v>11</v>
      </c>
      <c r="D236" t="s">
        <v>45</v>
      </c>
      <c r="E236" t="s">
        <v>21</v>
      </c>
      <c r="F236" t="s">
        <v>22</v>
      </c>
      <c r="G236">
        <v>7</v>
      </c>
      <c r="H236">
        <v>20</v>
      </c>
      <c r="I236" t="s">
        <v>15</v>
      </c>
      <c r="N236" t="s">
        <v>572</v>
      </c>
      <c r="P236" t="s">
        <v>573</v>
      </c>
      <c r="Q236" s="5"/>
      <c r="BF236" t="s">
        <v>66</v>
      </c>
    </row>
    <row r="237" spans="1:58" x14ac:dyDescent="0.3">
      <c r="A237" t="s">
        <v>308</v>
      </c>
      <c r="B237" s="5">
        <v>42355</v>
      </c>
      <c r="C237" t="s">
        <v>20</v>
      </c>
      <c r="D237" t="s">
        <v>45</v>
      </c>
      <c r="E237" t="s">
        <v>13</v>
      </c>
      <c r="F237" t="s">
        <v>14</v>
      </c>
      <c r="G237">
        <v>9.5</v>
      </c>
      <c r="H237">
        <v>15</v>
      </c>
      <c r="I237" t="s">
        <v>15</v>
      </c>
      <c r="N237" t="s">
        <v>402</v>
      </c>
      <c r="P237" t="s">
        <v>574</v>
      </c>
      <c r="Q237" s="5"/>
      <c r="BF237" t="s">
        <v>99</v>
      </c>
    </row>
    <row r="238" spans="1:58" x14ac:dyDescent="0.3">
      <c r="A238" t="s">
        <v>309</v>
      </c>
      <c r="B238" s="5">
        <v>42368</v>
      </c>
      <c r="C238" t="s">
        <v>31</v>
      </c>
      <c r="D238" t="s">
        <v>45</v>
      </c>
      <c r="E238" t="s">
        <v>17</v>
      </c>
      <c r="F238" t="s">
        <v>72</v>
      </c>
      <c r="G238">
        <v>18</v>
      </c>
      <c r="H238">
        <v>35</v>
      </c>
      <c r="I238" t="s">
        <v>26</v>
      </c>
      <c r="N238" t="s">
        <v>573</v>
      </c>
      <c r="P238" t="s">
        <v>576</v>
      </c>
      <c r="Q238" s="5"/>
      <c r="BF238" t="s">
        <v>14</v>
      </c>
    </row>
    <row r="239" spans="1:58" x14ac:dyDescent="0.3">
      <c r="A239" t="s">
        <v>310</v>
      </c>
      <c r="B239" s="5">
        <v>42368</v>
      </c>
      <c r="C239" t="s">
        <v>20</v>
      </c>
      <c r="D239" t="s">
        <v>45</v>
      </c>
      <c r="E239" t="s">
        <v>51</v>
      </c>
      <c r="F239" t="s">
        <v>52</v>
      </c>
      <c r="G239">
        <v>123.79</v>
      </c>
      <c r="H239">
        <v>21</v>
      </c>
      <c r="I239" t="s">
        <v>26</v>
      </c>
      <c r="N239" t="s">
        <v>574</v>
      </c>
      <c r="P239" t="s">
        <v>577</v>
      </c>
      <c r="Q239" s="5"/>
      <c r="BF239" t="s">
        <v>18</v>
      </c>
    </row>
    <row r="240" spans="1:58" x14ac:dyDescent="0.3">
      <c r="A240" t="s">
        <v>311</v>
      </c>
      <c r="B240" s="5">
        <v>42368</v>
      </c>
      <c r="C240" t="s">
        <v>31</v>
      </c>
      <c r="D240" t="s">
        <v>45</v>
      </c>
      <c r="E240" t="s">
        <v>34</v>
      </c>
      <c r="F240" t="s">
        <v>75</v>
      </c>
      <c r="G240">
        <v>20</v>
      </c>
      <c r="H240">
        <v>30</v>
      </c>
      <c r="I240" t="s">
        <v>26</v>
      </c>
      <c r="N240" t="s">
        <v>576</v>
      </c>
      <c r="P240" t="s">
        <v>578</v>
      </c>
      <c r="Q240" s="5"/>
      <c r="BF240" t="s">
        <v>14</v>
      </c>
    </row>
    <row r="241" spans="1:58" x14ac:dyDescent="0.3">
      <c r="A241" t="s">
        <v>312</v>
      </c>
      <c r="B241" s="5">
        <v>42009</v>
      </c>
      <c r="C241" t="s">
        <v>11</v>
      </c>
      <c r="D241" t="s">
        <v>12</v>
      </c>
      <c r="E241" t="s">
        <v>13</v>
      </c>
      <c r="F241" t="s">
        <v>14</v>
      </c>
      <c r="G241">
        <v>45.6</v>
      </c>
      <c r="H241">
        <v>42</v>
      </c>
      <c r="I241" t="s">
        <v>15</v>
      </c>
      <c r="N241" t="s">
        <v>577</v>
      </c>
      <c r="P241" t="s">
        <v>583</v>
      </c>
      <c r="Q241" s="5"/>
      <c r="BF241" t="s">
        <v>56</v>
      </c>
    </row>
    <row r="242" spans="1:58" x14ac:dyDescent="0.3">
      <c r="A242" t="s">
        <v>313</v>
      </c>
      <c r="B242" s="5">
        <v>42009</v>
      </c>
      <c r="C242" t="s">
        <v>20</v>
      </c>
      <c r="D242" t="s">
        <v>12</v>
      </c>
      <c r="E242" t="s">
        <v>21</v>
      </c>
      <c r="F242" t="s">
        <v>22</v>
      </c>
      <c r="G242">
        <v>19</v>
      </c>
      <c r="H242">
        <v>5</v>
      </c>
      <c r="I242" t="s">
        <v>15</v>
      </c>
      <c r="N242" t="s">
        <v>578</v>
      </c>
      <c r="P242" t="s">
        <v>109</v>
      </c>
      <c r="Q242" s="5"/>
      <c r="BF242" t="s">
        <v>87</v>
      </c>
    </row>
    <row r="243" spans="1:58" x14ac:dyDescent="0.3">
      <c r="A243" t="s">
        <v>314</v>
      </c>
      <c r="B243" s="5">
        <v>42009</v>
      </c>
      <c r="C243" t="s">
        <v>20</v>
      </c>
      <c r="D243" t="s">
        <v>12</v>
      </c>
      <c r="E243" t="s">
        <v>21</v>
      </c>
      <c r="F243" t="s">
        <v>22</v>
      </c>
      <c r="G243">
        <v>18.399999999999999</v>
      </c>
      <c r="H243">
        <v>2</v>
      </c>
      <c r="I243" t="s">
        <v>15</v>
      </c>
      <c r="N243" t="s">
        <v>583</v>
      </c>
      <c r="P243" t="s">
        <v>417</v>
      </c>
      <c r="Q243" s="5"/>
      <c r="BF243" t="s">
        <v>124</v>
      </c>
    </row>
    <row r="244" spans="1:58" x14ac:dyDescent="0.3">
      <c r="A244" t="s">
        <v>42</v>
      </c>
      <c r="B244" s="5">
        <v>42009</v>
      </c>
      <c r="C244" t="s">
        <v>20</v>
      </c>
      <c r="D244" t="s">
        <v>12</v>
      </c>
      <c r="E244" t="s">
        <v>34</v>
      </c>
      <c r="F244" t="s">
        <v>241</v>
      </c>
      <c r="G244">
        <v>10</v>
      </c>
      <c r="H244">
        <v>30</v>
      </c>
      <c r="I244" t="s">
        <v>15</v>
      </c>
      <c r="N244" t="s">
        <v>109</v>
      </c>
      <c r="P244" t="s">
        <v>586</v>
      </c>
      <c r="Q244" s="5"/>
      <c r="BF244" t="s">
        <v>81</v>
      </c>
    </row>
    <row r="245" spans="1:58" x14ac:dyDescent="0.3">
      <c r="A245" t="s">
        <v>315</v>
      </c>
      <c r="B245" s="5">
        <v>42011</v>
      </c>
      <c r="C245" t="s">
        <v>20</v>
      </c>
      <c r="D245" t="s">
        <v>24</v>
      </c>
      <c r="E245" t="s">
        <v>17</v>
      </c>
      <c r="F245" t="s">
        <v>54</v>
      </c>
      <c r="G245">
        <v>23.25</v>
      </c>
      <c r="H245">
        <v>12</v>
      </c>
      <c r="I245" t="s">
        <v>15</v>
      </c>
      <c r="N245" t="s">
        <v>417</v>
      </c>
      <c r="P245" t="s">
        <v>419</v>
      </c>
      <c r="Q245" s="5"/>
      <c r="BF245" t="s">
        <v>54</v>
      </c>
    </row>
    <row r="246" spans="1:58" x14ac:dyDescent="0.3">
      <c r="A246" t="s">
        <v>316</v>
      </c>
      <c r="B246" s="5">
        <v>42011</v>
      </c>
      <c r="C246" t="s">
        <v>20</v>
      </c>
      <c r="D246" t="s">
        <v>24</v>
      </c>
      <c r="E246" t="s">
        <v>34</v>
      </c>
      <c r="F246" t="s">
        <v>241</v>
      </c>
      <c r="G246">
        <v>10</v>
      </c>
      <c r="H246">
        <v>12</v>
      </c>
      <c r="I246" t="s">
        <v>15</v>
      </c>
      <c r="N246" t="s">
        <v>586</v>
      </c>
      <c r="P246" t="s">
        <v>587</v>
      </c>
      <c r="Q246" s="5"/>
      <c r="BF246" t="s">
        <v>54</v>
      </c>
    </row>
    <row r="247" spans="1:58" x14ac:dyDescent="0.3">
      <c r="A247" t="s">
        <v>317</v>
      </c>
      <c r="B247" s="5">
        <v>42016</v>
      </c>
      <c r="C247" t="s">
        <v>11</v>
      </c>
      <c r="D247" t="s">
        <v>12</v>
      </c>
      <c r="E247" t="s">
        <v>13</v>
      </c>
      <c r="F247" t="s">
        <v>113</v>
      </c>
      <c r="G247">
        <v>2.5</v>
      </c>
      <c r="H247">
        <v>50</v>
      </c>
      <c r="I247" t="s">
        <v>26</v>
      </c>
      <c r="N247" t="s">
        <v>419</v>
      </c>
      <c r="P247" t="s">
        <v>588</v>
      </c>
      <c r="Q247" s="5"/>
      <c r="BF247" t="s">
        <v>22</v>
      </c>
    </row>
    <row r="248" spans="1:58" x14ac:dyDescent="0.3">
      <c r="A248" t="s">
        <v>318</v>
      </c>
      <c r="B248" s="5">
        <v>42016</v>
      </c>
      <c r="C248" t="s">
        <v>28</v>
      </c>
      <c r="D248" t="s">
        <v>12</v>
      </c>
      <c r="E248" t="s">
        <v>34</v>
      </c>
      <c r="F248" t="s">
        <v>188</v>
      </c>
      <c r="G248">
        <v>9.1999999999999993</v>
      </c>
      <c r="H248">
        <v>18</v>
      </c>
      <c r="I248" t="s">
        <v>26</v>
      </c>
      <c r="N248" t="s">
        <v>587</v>
      </c>
      <c r="P248" t="s">
        <v>422</v>
      </c>
      <c r="Q248" s="5"/>
      <c r="BF248" t="s">
        <v>14</v>
      </c>
    </row>
    <row r="249" spans="1:58" x14ac:dyDescent="0.3">
      <c r="A249" t="s">
        <v>319</v>
      </c>
      <c r="B249" s="5">
        <v>42023</v>
      </c>
      <c r="C249" t="s">
        <v>31</v>
      </c>
      <c r="D249" t="s">
        <v>12</v>
      </c>
      <c r="E249" t="s">
        <v>17</v>
      </c>
      <c r="F249" t="s">
        <v>54</v>
      </c>
      <c r="G249">
        <v>15</v>
      </c>
      <c r="H249">
        <v>8</v>
      </c>
      <c r="I249" t="s">
        <v>15</v>
      </c>
      <c r="N249" t="s">
        <v>588</v>
      </c>
      <c r="P249" t="s">
        <v>424</v>
      </c>
      <c r="Q249" s="5"/>
      <c r="BF249" t="s">
        <v>22</v>
      </c>
    </row>
    <row r="250" spans="1:58" x14ac:dyDescent="0.3">
      <c r="A250" t="s">
        <v>320</v>
      </c>
      <c r="B250" s="5">
        <v>42023</v>
      </c>
      <c r="C250" t="s">
        <v>11</v>
      </c>
      <c r="D250" t="s">
        <v>12</v>
      </c>
      <c r="E250" t="s">
        <v>21</v>
      </c>
      <c r="F250" t="s">
        <v>22</v>
      </c>
      <c r="G250">
        <v>15</v>
      </c>
      <c r="H250">
        <v>20</v>
      </c>
      <c r="I250" t="s">
        <v>15</v>
      </c>
      <c r="N250" t="s">
        <v>422</v>
      </c>
      <c r="P250" t="s">
        <v>590</v>
      </c>
      <c r="Q250" s="5"/>
      <c r="BF250" t="s">
        <v>81</v>
      </c>
    </row>
    <row r="251" spans="1:58" x14ac:dyDescent="0.3">
      <c r="A251" t="s">
        <v>321</v>
      </c>
      <c r="B251" s="5">
        <v>42023</v>
      </c>
      <c r="C251" t="s">
        <v>28</v>
      </c>
      <c r="D251" t="s">
        <v>12</v>
      </c>
      <c r="E251" t="s">
        <v>34</v>
      </c>
      <c r="F251" t="s">
        <v>64</v>
      </c>
      <c r="G251">
        <v>6</v>
      </c>
      <c r="H251">
        <v>2</v>
      </c>
      <c r="I251" t="s">
        <v>15</v>
      </c>
      <c r="N251" t="s">
        <v>424</v>
      </c>
      <c r="P251" t="s">
        <v>591</v>
      </c>
      <c r="Q251" s="5"/>
      <c r="BF251" t="s">
        <v>128</v>
      </c>
    </row>
    <row r="252" spans="1:58" x14ac:dyDescent="0.3">
      <c r="A252" t="s">
        <v>322</v>
      </c>
      <c r="B252" s="5">
        <v>42023</v>
      </c>
      <c r="C252" t="s">
        <v>20</v>
      </c>
      <c r="D252" t="s">
        <v>12</v>
      </c>
      <c r="E252" t="s">
        <v>51</v>
      </c>
      <c r="F252" t="s">
        <v>138</v>
      </c>
      <c r="G252">
        <v>32.799999999999997</v>
      </c>
      <c r="H252">
        <v>15</v>
      </c>
      <c r="I252" t="s">
        <v>15</v>
      </c>
      <c r="N252" t="s">
        <v>590</v>
      </c>
      <c r="P252" t="s">
        <v>592</v>
      </c>
      <c r="Q252" s="5"/>
      <c r="BF252" t="s">
        <v>22</v>
      </c>
    </row>
    <row r="253" spans="1:58" x14ac:dyDescent="0.3">
      <c r="A253" t="s">
        <v>323</v>
      </c>
      <c r="B253" s="5">
        <v>42023</v>
      </c>
      <c r="C253" t="s">
        <v>11</v>
      </c>
      <c r="D253" t="s">
        <v>12</v>
      </c>
      <c r="E253" t="s">
        <v>21</v>
      </c>
      <c r="F253" t="s">
        <v>97</v>
      </c>
      <c r="G253">
        <v>13</v>
      </c>
      <c r="H253">
        <v>10</v>
      </c>
      <c r="I253" t="s">
        <v>15</v>
      </c>
      <c r="N253" t="s">
        <v>591</v>
      </c>
      <c r="P253" t="s">
        <v>593</v>
      </c>
      <c r="Q253" s="5"/>
      <c r="BF253" t="s">
        <v>113</v>
      </c>
    </row>
    <row r="254" spans="1:58" x14ac:dyDescent="0.3">
      <c r="A254" t="s">
        <v>324</v>
      </c>
      <c r="B254" s="5">
        <v>42023</v>
      </c>
      <c r="C254" t="s">
        <v>11</v>
      </c>
      <c r="D254" t="s">
        <v>12</v>
      </c>
      <c r="E254" t="s">
        <v>34</v>
      </c>
      <c r="F254" t="s">
        <v>77</v>
      </c>
      <c r="G254">
        <v>31.23</v>
      </c>
      <c r="H254">
        <v>30</v>
      </c>
      <c r="I254" t="s">
        <v>15</v>
      </c>
      <c r="N254" t="s">
        <v>592</v>
      </c>
      <c r="P254" t="s">
        <v>594</v>
      </c>
      <c r="Q254" s="5"/>
      <c r="BF254" t="s">
        <v>124</v>
      </c>
    </row>
    <row r="255" spans="1:58" x14ac:dyDescent="0.3">
      <c r="A255" t="s">
        <v>325</v>
      </c>
      <c r="B255" s="5">
        <v>42023</v>
      </c>
      <c r="C255" t="s">
        <v>20</v>
      </c>
      <c r="D255" t="s">
        <v>12</v>
      </c>
      <c r="E255" t="s">
        <v>34</v>
      </c>
      <c r="F255" t="s">
        <v>188</v>
      </c>
      <c r="G255">
        <v>9.1999999999999993</v>
      </c>
      <c r="H255">
        <v>4</v>
      </c>
      <c r="I255" t="s">
        <v>15</v>
      </c>
      <c r="N255" t="s">
        <v>593</v>
      </c>
      <c r="P255" t="s">
        <v>595</v>
      </c>
      <c r="Q255" s="5"/>
      <c r="BF255" t="s">
        <v>41</v>
      </c>
    </row>
    <row r="256" spans="1:58" x14ac:dyDescent="0.3">
      <c r="A256" t="s">
        <v>326</v>
      </c>
      <c r="B256" s="5">
        <v>42025</v>
      </c>
      <c r="C256" t="s">
        <v>11</v>
      </c>
      <c r="D256" t="s">
        <v>12</v>
      </c>
      <c r="E256" t="s">
        <v>13</v>
      </c>
      <c r="F256" t="s">
        <v>66</v>
      </c>
      <c r="G256">
        <v>55</v>
      </c>
      <c r="H256">
        <v>20</v>
      </c>
      <c r="I256" t="s">
        <v>26</v>
      </c>
      <c r="N256" t="s">
        <v>594</v>
      </c>
      <c r="P256" t="s">
        <v>596</v>
      </c>
      <c r="Q256" s="5"/>
      <c r="BF256" t="s">
        <v>75</v>
      </c>
    </row>
    <row r="257" spans="1:58" x14ac:dyDescent="0.3">
      <c r="A257" t="s">
        <v>327</v>
      </c>
      <c r="B257" s="5">
        <v>42025</v>
      </c>
      <c r="C257" t="s">
        <v>20</v>
      </c>
      <c r="D257" t="s">
        <v>12</v>
      </c>
      <c r="E257" t="s">
        <v>13</v>
      </c>
      <c r="F257" t="s">
        <v>99</v>
      </c>
      <c r="G257">
        <v>12.5</v>
      </c>
      <c r="H257">
        <v>14</v>
      </c>
      <c r="I257" t="s">
        <v>26</v>
      </c>
      <c r="N257" t="s">
        <v>595</v>
      </c>
      <c r="P257" t="s">
        <v>597</v>
      </c>
      <c r="Q257" s="5"/>
      <c r="BF257" t="s">
        <v>81</v>
      </c>
    </row>
    <row r="258" spans="1:58" x14ac:dyDescent="0.3">
      <c r="A258" t="s">
        <v>328</v>
      </c>
      <c r="B258" s="5">
        <v>42029</v>
      </c>
      <c r="C258" t="s">
        <v>11</v>
      </c>
      <c r="D258" t="s">
        <v>85</v>
      </c>
      <c r="E258" t="s">
        <v>34</v>
      </c>
      <c r="F258" t="s">
        <v>64</v>
      </c>
      <c r="G258">
        <v>33.25</v>
      </c>
      <c r="H258">
        <v>7</v>
      </c>
      <c r="I258" t="s">
        <v>15</v>
      </c>
      <c r="N258" t="s">
        <v>596</v>
      </c>
      <c r="P258" t="s">
        <v>598</v>
      </c>
      <c r="Q258" s="5"/>
      <c r="BF258" t="s">
        <v>54</v>
      </c>
    </row>
    <row r="259" spans="1:58" x14ac:dyDescent="0.3">
      <c r="A259" t="s">
        <v>329</v>
      </c>
      <c r="B259" s="5">
        <v>42029</v>
      </c>
      <c r="C259" t="s">
        <v>11</v>
      </c>
      <c r="D259" t="s">
        <v>85</v>
      </c>
      <c r="E259" t="s">
        <v>13</v>
      </c>
      <c r="F259" t="s">
        <v>14</v>
      </c>
      <c r="G259">
        <v>38</v>
      </c>
      <c r="H259">
        <v>5</v>
      </c>
      <c r="I259" t="s">
        <v>15</v>
      </c>
      <c r="N259" t="s">
        <v>597</v>
      </c>
      <c r="P259" t="s">
        <v>535</v>
      </c>
      <c r="Q259" s="5"/>
      <c r="BF259" t="s">
        <v>241</v>
      </c>
    </row>
    <row r="260" spans="1:58" x14ac:dyDescent="0.3">
      <c r="A260" t="s">
        <v>330</v>
      </c>
      <c r="B260" s="5">
        <v>42037</v>
      </c>
      <c r="C260" t="s">
        <v>31</v>
      </c>
      <c r="D260" t="s">
        <v>45</v>
      </c>
      <c r="E260" t="s">
        <v>17</v>
      </c>
      <c r="F260" t="s">
        <v>18</v>
      </c>
      <c r="G260">
        <v>19</v>
      </c>
      <c r="H260">
        <v>10</v>
      </c>
      <c r="I260" t="s">
        <v>26</v>
      </c>
      <c r="N260" t="s">
        <v>598</v>
      </c>
      <c r="P260" t="s">
        <v>599</v>
      </c>
      <c r="Q260" s="5"/>
      <c r="BF260" t="s">
        <v>268</v>
      </c>
    </row>
    <row r="261" spans="1:58" x14ac:dyDescent="0.3">
      <c r="A261" t="s">
        <v>331</v>
      </c>
      <c r="B261" s="5">
        <v>42037</v>
      </c>
      <c r="C261" t="s">
        <v>31</v>
      </c>
      <c r="D261" t="s">
        <v>45</v>
      </c>
      <c r="E261" t="s">
        <v>13</v>
      </c>
      <c r="F261" t="s">
        <v>14</v>
      </c>
      <c r="G261">
        <v>21</v>
      </c>
      <c r="H261">
        <v>12</v>
      </c>
      <c r="I261" t="s">
        <v>26</v>
      </c>
      <c r="N261" t="s">
        <v>535</v>
      </c>
      <c r="P261" t="s">
        <v>601</v>
      </c>
      <c r="Q261" s="5"/>
      <c r="BF261" t="s">
        <v>54</v>
      </c>
    </row>
    <row r="262" spans="1:58" x14ac:dyDescent="0.3">
      <c r="A262" t="s">
        <v>332</v>
      </c>
      <c r="B262" s="5">
        <v>42037</v>
      </c>
      <c r="C262" t="s">
        <v>31</v>
      </c>
      <c r="D262" t="s">
        <v>45</v>
      </c>
      <c r="E262" t="s">
        <v>13</v>
      </c>
      <c r="F262" t="s">
        <v>56</v>
      </c>
      <c r="G262">
        <v>34.799999999999997</v>
      </c>
      <c r="H262">
        <v>10</v>
      </c>
      <c r="I262" t="s">
        <v>26</v>
      </c>
      <c r="N262" t="s">
        <v>599</v>
      </c>
      <c r="P262" t="s">
        <v>602</v>
      </c>
      <c r="Q262" s="5"/>
      <c r="BF262" t="s">
        <v>99</v>
      </c>
    </row>
    <row r="263" spans="1:58" x14ac:dyDescent="0.3">
      <c r="A263" t="s">
        <v>333</v>
      </c>
      <c r="B263" s="5">
        <v>42047</v>
      </c>
      <c r="C263" t="s">
        <v>20</v>
      </c>
      <c r="D263" t="s">
        <v>12</v>
      </c>
      <c r="E263" t="s">
        <v>21</v>
      </c>
      <c r="F263" t="s">
        <v>87</v>
      </c>
      <c r="G263">
        <v>21.05</v>
      </c>
      <c r="H263">
        <v>35</v>
      </c>
      <c r="I263" t="s">
        <v>26</v>
      </c>
      <c r="N263" t="s">
        <v>601</v>
      </c>
      <c r="P263" t="s">
        <v>603</v>
      </c>
      <c r="Q263" s="5"/>
      <c r="BF263" t="s">
        <v>128</v>
      </c>
    </row>
    <row r="264" spans="1:58" x14ac:dyDescent="0.3">
      <c r="A264" t="s">
        <v>334</v>
      </c>
      <c r="B264" s="5">
        <v>42047</v>
      </c>
      <c r="C264" t="s">
        <v>20</v>
      </c>
      <c r="D264" t="s">
        <v>12</v>
      </c>
      <c r="E264" t="s">
        <v>13</v>
      </c>
      <c r="F264" t="s">
        <v>124</v>
      </c>
      <c r="G264">
        <v>21.5</v>
      </c>
      <c r="H264">
        <v>2</v>
      </c>
      <c r="I264" t="s">
        <v>26</v>
      </c>
      <c r="N264" t="s">
        <v>602</v>
      </c>
      <c r="P264" t="s">
        <v>604</v>
      </c>
      <c r="Q264" s="5"/>
      <c r="BF264" t="s">
        <v>41</v>
      </c>
    </row>
    <row r="265" spans="1:58" x14ac:dyDescent="0.3">
      <c r="A265" t="s">
        <v>335</v>
      </c>
      <c r="B265" s="5">
        <v>42047</v>
      </c>
      <c r="C265" t="s">
        <v>28</v>
      </c>
      <c r="D265" t="s">
        <v>12</v>
      </c>
      <c r="E265" t="s">
        <v>34</v>
      </c>
      <c r="F265" t="s">
        <v>188</v>
      </c>
      <c r="G265">
        <v>9.1999999999999993</v>
      </c>
      <c r="H265">
        <v>40</v>
      </c>
      <c r="I265" t="s">
        <v>26</v>
      </c>
      <c r="N265" t="s">
        <v>603</v>
      </c>
      <c r="P265" t="s">
        <v>605</v>
      </c>
      <c r="Q265" s="5"/>
      <c r="BF265" t="s">
        <v>81</v>
      </c>
    </row>
    <row r="266" spans="1:58" x14ac:dyDescent="0.3">
      <c r="A266" t="s">
        <v>336</v>
      </c>
      <c r="B266" s="5">
        <v>42050</v>
      </c>
      <c r="C266" t="s">
        <v>11</v>
      </c>
      <c r="D266" t="s">
        <v>24</v>
      </c>
      <c r="E266" t="s">
        <v>51</v>
      </c>
      <c r="F266" t="s">
        <v>81</v>
      </c>
      <c r="G266">
        <v>18.399999999999999</v>
      </c>
      <c r="H266">
        <v>20</v>
      </c>
      <c r="I266" t="s">
        <v>26</v>
      </c>
      <c r="N266" t="s">
        <v>604</v>
      </c>
      <c r="P266" t="s">
        <v>606</v>
      </c>
      <c r="Q266" s="5"/>
      <c r="BF266" t="s">
        <v>136</v>
      </c>
    </row>
    <row r="267" spans="1:58" x14ac:dyDescent="0.3">
      <c r="A267" t="s">
        <v>337</v>
      </c>
      <c r="B267" s="5">
        <v>42054</v>
      </c>
      <c r="C267" t="s">
        <v>11</v>
      </c>
      <c r="D267" t="s">
        <v>45</v>
      </c>
      <c r="E267" t="s">
        <v>17</v>
      </c>
      <c r="F267" t="s">
        <v>54</v>
      </c>
      <c r="G267">
        <v>15</v>
      </c>
      <c r="H267">
        <v>25</v>
      </c>
      <c r="I267" t="s">
        <v>26</v>
      </c>
      <c r="N267" t="s">
        <v>605</v>
      </c>
      <c r="P267" t="s">
        <v>607</v>
      </c>
      <c r="Q267" s="5"/>
      <c r="BF267" t="s">
        <v>54</v>
      </c>
    </row>
    <row r="268" spans="1:58" x14ac:dyDescent="0.3">
      <c r="A268" t="s">
        <v>338</v>
      </c>
      <c r="B268" s="5">
        <v>42054</v>
      </c>
      <c r="C268" t="s">
        <v>31</v>
      </c>
      <c r="D268" t="s">
        <v>45</v>
      </c>
      <c r="E268" t="s">
        <v>34</v>
      </c>
      <c r="F268" t="s">
        <v>339</v>
      </c>
      <c r="G268">
        <v>12.75</v>
      </c>
      <c r="H268">
        <v>15</v>
      </c>
      <c r="I268" t="s">
        <v>26</v>
      </c>
      <c r="N268" t="s">
        <v>606</v>
      </c>
      <c r="P268" t="s">
        <v>609</v>
      </c>
      <c r="Q268" s="5"/>
      <c r="BF268" t="s">
        <v>14</v>
      </c>
    </row>
    <row r="269" spans="1:58" x14ac:dyDescent="0.3">
      <c r="A269" t="s">
        <v>340</v>
      </c>
      <c r="B269" s="5">
        <v>42064</v>
      </c>
      <c r="C269" t="s">
        <v>28</v>
      </c>
      <c r="D269" t="s">
        <v>45</v>
      </c>
      <c r="E269" t="s">
        <v>17</v>
      </c>
      <c r="F269" t="s">
        <v>54</v>
      </c>
      <c r="G269">
        <v>9</v>
      </c>
      <c r="H269">
        <v>21</v>
      </c>
      <c r="I269" t="s">
        <v>15</v>
      </c>
      <c r="N269" t="s">
        <v>607</v>
      </c>
      <c r="P269" t="s">
        <v>610</v>
      </c>
      <c r="Q269" s="5"/>
      <c r="BF269" t="s">
        <v>66</v>
      </c>
    </row>
    <row r="270" spans="1:58" x14ac:dyDescent="0.3">
      <c r="A270" t="s">
        <v>341</v>
      </c>
      <c r="B270" s="5">
        <v>42064</v>
      </c>
      <c r="C270" t="s">
        <v>11</v>
      </c>
      <c r="D270" t="s">
        <v>45</v>
      </c>
      <c r="E270" t="s">
        <v>21</v>
      </c>
      <c r="F270" t="s">
        <v>22</v>
      </c>
      <c r="G270">
        <v>6</v>
      </c>
      <c r="H270">
        <v>1</v>
      </c>
      <c r="I270" t="s">
        <v>15</v>
      </c>
      <c r="N270" t="s">
        <v>609</v>
      </c>
      <c r="P270" t="s">
        <v>446</v>
      </c>
      <c r="Q270" s="5"/>
      <c r="BF270" t="s">
        <v>72</v>
      </c>
    </row>
    <row r="271" spans="1:58" x14ac:dyDescent="0.3">
      <c r="A271" t="s">
        <v>342</v>
      </c>
      <c r="B271" s="5">
        <v>42067</v>
      </c>
      <c r="C271" t="s">
        <v>28</v>
      </c>
      <c r="D271" t="s">
        <v>12</v>
      </c>
      <c r="E271" t="s">
        <v>13</v>
      </c>
      <c r="F271" t="s">
        <v>14</v>
      </c>
      <c r="G271">
        <v>21</v>
      </c>
      <c r="H271">
        <v>10</v>
      </c>
      <c r="I271" t="s">
        <v>15</v>
      </c>
      <c r="N271" t="s">
        <v>610</v>
      </c>
      <c r="P271" t="s">
        <v>613</v>
      </c>
      <c r="Q271" s="5"/>
      <c r="BF271" t="s">
        <v>43</v>
      </c>
    </row>
    <row r="272" spans="1:58" x14ac:dyDescent="0.3">
      <c r="A272" t="s">
        <v>343</v>
      </c>
      <c r="B272" s="5">
        <v>42067</v>
      </c>
      <c r="C272" t="s">
        <v>20</v>
      </c>
      <c r="D272" t="s">
        <v>12</v>
      </c>
      <c r="E272" t="s">
        <v>21</v>
      </c>
      <c r="F272" t="s">
        <v>22</v>
      </c>
      <c r="G272">
        <v>12</v>
      </c>
      <c r="H272">
        <v>5</v>
      </c>
      <c r="I272" t="s">
        <v>15</v>
      </c>
      <c r="N272" t="s">
        <v>446</v>
      </c>
      <c r="P272" t="s">
        <v>614</v>
      </c>
      <c r="Q272" s="5"/>
      <c r="BF272" t="s">
        <v>118</v>
      </c>
    </row>
    <row r="273" spans="1:58" x14ac:dyDescent="0.3">
      <c r="A273" t="s">
        <v>344</v>
      </c>
      <c r="B273" s="5">
        <v>42072</v>
      </c>
      <c r="C273" t="s">
        <v>28</v>
      </c>
      <c r="D273" t="s">
        <v>45</v>
      </c>
      <c r="E273" t="s">
        <v>34</v>
      </c>
      <c r="F273" t="s">
        <v>64</v>
      </c>
      <c r="G273">
        <v>30</v>
      </c>
      <c r="H273">
        <v>30</v>
      </c>
      <c r="I273" t="s">
        <v>26</v>
      </c>
      <c r="N273" t="s">
        <v>613</v>
      </c>
      <c r="P273" t="s">
        <v>615</v>
      </c>
      <c r="Q273" s="5"/>
      <c r="BF273" t="s">
        <v>54</v>
      </c>
    </row>
    <row r="274" spans="1:58" x14ac:dyDescent="0.3">
      <c r="A274" t="s">
        <v>345</v>
      </c>
      <c r="B274" s="5">
        <v>42072</v>
      </c>
      <c r="C274" t="s">
        <v>11</v>
      </c>
      <c r="D274" t="s">
        <v>45</v>
      </c>
      <c r="E274" t="s">
        <v>51</v>
      </c>
      <c r="F274" t="s">
        <v>81</v>
      </c>
      <c r="G274">
        <v>38</v>
      </c>
      <c r="H274">
        <v>20</v>
      </c>
      <c r="I274" t="s">
        <v>26</v>
      </c>
      <c r="N274" t="s">
        <v>614</v>
      </c>
      <c r="P274" t="s">
        <v>452</v>
      </c>
      <c r="Q274" s="5"/>
      <c r="BF274" t="s">
        <v>14</v>
      </c>
    </row>
    <row r="275" spans="1:58" x14ac:dyDescent="0.3">
      <c r="A275" t="s">
        <v>346</v>
      </c>
      <c r="B275" s="5">
        <v>42073</v>
      </c>
      <c r="C275" t="s">
        <v>11</v>
      </c>
      <c r="D275" t="s">
        <v>45</v>
      </c>
      <c r="E275" t="s">
        <v>17</v>
      </c>
      <c r="F275" t="s">
        <v>128</v>
      </c>
      <c r="G275">
        <v>4.5</v>
      </c>
      <c r="H275">
        <v>80</v>
      </c>
      <c r="I275" t="s">
        <v>15</v>
      </c>
      <c r="N275" t="s">
        <v>615</v>
      </c>
      <c r="P275" t="s">
        <v>616</v>
      </c>
      <c r="Q275" s="5"/>
      <c r="BF275" t="s">
        <v>35</v>
      </c>
    </row>
    <row r="276" spans="1:58" x14ac:dyDescent="0.3">
      <c r="A276" t="s">
        <v>347</v>
      </c>
      <c r="B276" s="5">
        <v>42073</v>
      </c>
      <c r="C276" t="s">
        <v>20</v>
      </c>
      <c r="D276" t="s">
        <v>45</v>
      </c>
      <c r="E276" t="s">
        <v>21</v>
      </c>
      <c r="F276" t="s">
        <v>22</v>
      </c>
      <c r="G276">
        <v>53</v>
      </c>
      <c r="H276">
        <v>18</v>
      </c>
      <c r="I276" t="s">
        <v>15</v>
      </c>
      <c r="N276" t="s">
        <v>452</v>
      </c>
      <c r="P276" t="s">
        <v>618</v>
      </c>
      <c r="Q276" s="5"/>
      <c r="BF276" t="s">
        <v>66</v>
      </c>
    </row>
    <row r="277" spans="1:58" x14ac:dyDescent="0.3">
      <c r="A277" t="s">
        <v>348</v>
      </c>
      <c r="B277" s="5">
        <v>42074</v>
      </c>
      <c r="C277" t="s">
        <v>20</v>
      </c>
      <c r="D277" t="s">
        <v>45</v>
      </c>
      <c r="E277" t="s">
        <v>13</v>
      </c>
      <c r="F277" t="s">
        <v>113</v>
      </c>
      <c r="G277">
        <v>2.5</v>
      </c>
      <c r="H277">
        <v>12</v>
      </c>
      <c r="I277" t="s">
        <v>26</v>
      </c>
      <c r="N277" t="s">
        <v>616</v>
      </c>
      <c r="P277" t="s">
        <v>619</v>
      </c>
      <c r="Q277" s="5"/>
      <c r="BF277" t="s">
        <v>375</v>
      </c>
    </row>
    <row r="278" spans="1:58" x14ac:dyDescent="0.3">
      <c r="A278" t="s">
        <v>349</v>
      </c>
      <c r="B278" s="5">
        <v>42074</v>
      </c>
      <c r="C278" t="s">
        <v>20</v>
      </c>
      <c r="D278" t="s">
        <v>45</v>
      </c>
      <c r="E278" t="s">
        <v>13</v>
      </c>
      <c r="F278" t="s">
        <v>124</v>
      </c>
      <c r="G278">
        <v>21.5</v>
      </c>
      <c r="H278">
        <v>12</v>
      </c>
      <c r="I278" t="s">
        <v>26</v>
      </c>
      <c r="N278" t="s">
        <v>618</v>
      </c>
      <c r="P278" t="s">
        <v>620</v>
      </c>
      <c r="Q278" s="5"/>
      <c r="BF278" t="s">
        <v>54</v>
      </c>
    </row>
    <row r="279" spans="1:58" x14ac:dyDescent="0.3">
      <c r="A279" t="s">
        <v>350</v>
      </c>
      <c r="B279" s="5">
        <v>42081</v>
      </c>
      <c r="C279" t="s">
        <v>31</v>
      </c>
      <c r="D279" t="s">
        <v>12</v>
      </c>
      <c r="E279" t="s">
        <v>13</v>
      </c>
      <c r="F279" t="s">
        <v>41</v>
      </c>
      <c r="G279">
        <v>34</v>
      </c>
      <c r="H279">
        <v>40</v>
      </c>
      <c r="I279" t="s">
        <v>26</v>
      </c>
      <c r="N279" t="s">
        <v>619</v>
      </c>
      <c r="P279" t="s">
        <v>621</v>
      </c>
      <c r="Q279" s="5"/>
      <c r="BF279" t="s">
        <v>56</v>
      </c>
    </row>
    <row r="280" spans="1:58" x14ac:dyDescent="0.3">
      <c r="A280" t="s">
        <v>351</v>
      </c>
      <c r="B280" s="5">
        <v>42081</v>
      </c>
      <c r="C280" t="s">
        <v>28</v>
      </c>
      <c r="D280" t="s">
        <v>12</v>
      </c>
      <c r="E280" t="s">
        <v>34</v>
      </c>
      <c r="F280" t="s">
        <v>75</v>
      </c>
      <c r="G280">
        <v>20</v>
      </c>
      <c r="H280">
        <v>24</v>
      </c>
      <c r="I280" t="s">
        <v>26</v>
      </c>
      <c r="N280" t="s">
        <v>620</v>
      </c>
      <c r="P280" t="s">
        <v>622</v>
      </c>
      <c r="Q280" s="5"/>
      <c r="BF280" t="s">
        <v>113</v>
      </c>
    </row>
    <row r="281" spans="1:58" x14ac:dyDescent="0.3">
      <c r="A281" t="s">
        <v>352</v>
      </c>
      <c r="B281" s="5">
        <v>42085</v>
      </c>
      <c r="C281" t="s">
        <v>11</v>
      </c>
      <c r="D281" t="s">
        <v>45</v>
      </c>
      <c r="E281" t="s">
        <v>51</v>
      </c>
      <c r="F281" t="s">
        <v>81</v>
      </c>
      <c r="G281">
        <v>53</v>
      </c>
      <c r="H281">
        <v>3</v>
      </c>
      <c r="I281" t="s">
        <v>26</v>
      </c>
      <c r="N281" t="s">
        <v>621</v>
      </c>
      <c r="P281" t="s">
        <v>623</v>
      </c>
      <c r="Q281" s="5"/>
      <c r="BF281" t="s">
        <v>241</v>
      </c>
    </row>
    <row r="282" spans="1:58" x14ac:dyDescent="0.3">
      <c r="A282" t="s">
        <v>353</v>
      </c>
      <c r="B282" s="5">
        <v>42085</v>
      </c>
      <c r="C282" t="s">
        <v>31</v>
      </c>
      <c r="D282" t="s">
        <v>45</v>
      </c>
      <c r="E282" t="s">
        <v>17</v>
      </c>
      <c r="F282" t="s">
        <v>54</v>
      </c>
      <c r="G282">
        <v>18.399999999999999</v>
      </c>
      <c r="H282">
        <v>10</v>
      </c>
      <c r="I282" t="s">
        <v>26</v>
      </c>
      <c r="N282" t="s">
        <v>622</v>
      </c>
      <c r="P282" t="s">
        <v>632</v>
      </c>
      <c r="Q282" s="5"/>
      <c r="BF282" t="s">
        <v>75</v>
      </c>
    </row>
    <row r="283" spans="1:58" x14ac:dyDescent="0.3">
      <c r="A283" t="s">
        <v>354</v>
      </c>
      <c r="B283" s="5">
        <v>42085</v>
      </c>
      <c r="C283" t="s">
        <v>31</v>
      </c>
      <c r="D283" t="s">
        <v>45</v>
      </c>
      <c r="E283" t="s">
        <v>34</v>
      </c>
      <c r="F283" t="s">
        <v>241</v>
      </c>
      <c r="G283">
        <v>10</v>
      </c>
      <c r="H283">
        <v>14</v>
      </c>
      <c r="I283" t="s">
        <v>26</v>
      </c>
      <c r="N283" t="s">
        <v>623</v>
      </c>
      <c r="P283" t="s">
        <v>633</v>
      </c>
      <c r="Q283" s="5"/>
      <c r="BF283" t="s">
        <v>32</v>
      </c>
    </row>
    <row r="284" spans="1:58" x14ac:dyDescent="0.3">
      <c r="A284" t="s">
        <v>355</v>
      </c>
      <c r="B284" s="5">
        <v>42087</v>
      </c>
      <c r="C284" t="s">
        <v>31</v>
      </c>
      <c r="D284" t="s">
        <v>12</v>
      </c>
      <c r="E284" t="s">
        <v>51</v>
      </c>
      <c r="F284" t="s">
        <v>268</v>
      </c>
      <c r="G284">
        <v>7.45</v>
      </c>
      <c r="H284">
        <v>24</v>
      </c>
      <c r="I284" t="s">
        <v>26</v>
      </c>
      <c r="N284" t="s">
        <v>632</v>
      </c>
      <c r="P284" t="s">
        <v>635</v>
      </c>
      <c r="Q284" s="5"/>
      <c r="BF284" t="s">
        <v>128</v>
      </c>
    </row>
    <row r="285" spans="1:58" x14ac:dyDescent="0.3">
      <c r="A285" t="s">
        <v>356</v>
      </c>
      <c r="B285" s="5">
        <v>42087</v>
      </c>
      <c r="C285" t="s">
        <v>20</v>
      </c>
      <c r="D285" t="s">
        <v>12</v>
      </c>
      <c r="E285" t="s">
        <v>34</v>
      </c>
      <c r="F285" t="s">
        <v>188</v>
      </c>
      <c r="G285">
        <v>9.1999999999999993</v>
      </c>
      <c r="H285">
        <v>5</v>
      </c>
      <c r="I285" t="s">
        <v>26</v>
      </c>
      <c r="N285" t="s">
        <v>633</v>
      </c>
      <c r="P285" t="s">
        <v>636</v>
      </c>
      <c r="Q285" s="5"/>
      <c r="BF285" t="s">
        <v>87</v>
      </c>
    </row>
    <row r="286" spans="1:58" x14ac:dyDescent="0.3">
      <c r="A286" t="s">
        <v>357</v>
      </c>
      <c r="B286" s="5">
        <v>42094</v>
      </c>
      <c r="C286" t="s">
        <v>20</v>
      </c>
      <c r="D286" t="s">
        <v>12</v>
      </c>
      <c r="E286" t="s">
        <v>17</v>
      </c>
      <c r="F286" t="s">
        <v>54</v>
      </c>
      <c r="G286">
        <v>38</v>
      </c>
      <c r="H286">
        <v>30</v>
      </c>
      <c r="I286" t="s">
        <v>26</v>
      </c>
      <c r="N286" t="s">
        <v>635</v>
      </c>
      <c r="P286" t="s">
        <v>474</v>
      </c>
      <c r="Q286" s="5"/>
      <c r="BF286" t="s">
        <v>121</v>
      </c>
    </row>
    <row r="287" spans="1:58" x14ac:dyDescent="0.3">
      <c r="A287" t="s">
        <v>358</v>
      </c>
      <c r="B287" s="5">
        <v>42096</v>
      </c>
      <c r="C287" t="s">
        <v>31</v>
      </c>
      <c r="D287" t="s">
        <v>12</v>
      </c>
      <c r="E287" t="s">
        <v>13</v>
      </c>
      <c r="F287" t="s">
        <v>99</v>
      </c>
      <c r="G287">
        <v>12.5</v>
      </c>
      <c r="H287">
        <v>20</v>
      </c>
      <c r="I287" t="s">
        <v>26</v>
      </c>
      <c r="N287" t="s">
        <v>636</v>
      </c>
      <c r="P287" t="s">
        <v>637</v>
      </c>
      <c r="Q287" s="5"/>
      <c r="BF287" t="s">
        <v>22</v>
      </c>
    </row>
    <row r="288" spans="1:58" x14ac:dyDescent="0.3">
      <c r="A288" t="s">
        <v>359</v>
      </c>
      <c r="B288" s="5">
        <v>42113</v>
      </c>
      <c r="C288" t="s">
        <v>28</v>
      </c>
      <c r="D288" t="s">
        <v>12</v>
      </c>
      <c r="E288" t="s">
        <v>17</v>
      </c>
      <c r="F288" t="s">
        <v>128</v>
      </c>
      <c r="G288">
        <v>4.5</v>
      </c>
      <c r="H288">
        <v>10</v>
      </c>
      <c r="I288" t="s">
        <v>26</v>
      </c>
      <c r="N288" t="s">
        <v>474</v>
      </c>
      <c r="P288" t="s">
        <v>638</v>
      </c>
      <c r="Q288" s="5"/>
      <c r="BF288" t="s">
        <v>118</v>
      </c>
    </row>
    <row r="289" spans="1:58" x14ac:dyDescent="0.3">
      <c r="A289" t="s">
        <v>360</v>
      </c>
      <c r="B289" s="5">
        <v>42113</v>
      </c>
      <c r="C289" t="s">
        <v>28</v>
      </c>
      <c r="D289" t="s">
        <v>12</v>
      </c>
      <c r="E289" t="s">
        <v>13</v>
      </c>
      <c r="F289" t="s">
        <v>41</v>
      </c>
      <c r="G289">
        <v>34</v>
      </c>
      <c r="H289">
        <v>12</v>
      </c>
      <c r="I289" t="s">
        <v>26</v>
      </c>
      <c r="N289" t="s">
        <v>637</v>
      </c>
      <c r="P289" t="s">
        <v>639</v>
      </c>
      <c r="Q289" s="5"/>
      <c r="BF289" t="s">
        <v>22</v>
      </c>
    </row>
    <row r="290" spans="1:58" x14ac:dyDescent="0.3">
      <c r="A290" t="s">
        <v>361</v>
      </c>
      <c r="B290" s="5">
        <v>42113</v>
      </c>
      <c r="C290" t="s">
        <v>11</v>
      </c>
      <c r="D290" t="s">
        <v>12</v>
      </c>
      <c r="E290" t="s">
        <v>51</v>
      </c>
      <c r="F290" t="s">
        <v>81</v>
      </c>
      <c r="G290">
        <v>12</v>
      </c>
      <c r="H290">
        <v>9</v>
      </c>
      <c r="I290" t="s">
        <v>26</v>
      </c>
      <c r="N290" t="s">
        <v>638</v>
      </c>
      <c r="P290" t="s">
        <v>640</v>
      </c>
      <c r="Q290" s="5"/>
      <c r="BF290" t="s">
        <v>241</v>
      </c>
    </row>
    <row r="291" spans="1:58" x14ac:dyDescent="0.3">
      <c r="A291" t="s">
        <v>362</v>
      </c>
      <c r="B291" s="5">
        <v>42113</v>
      </c>
      <c r="C291" t="s">
        <v>11</v>
      </c>
      <c r="D291" t="s">
        <v>12</v>
      </c>
      <c r="E291" t="s">
        <v>34</v>
      </c>
      <c r="F291" t="s">
        <v>136</v>
      </c>
      <c r="G291">
        <v>9.5</v>
      </c>
      <c r="H291">
        <v>6</v>
      </c>
      <c r="I291" t="s">
        <v>26</v>
      </c>
      <c r="N291" t="s">
        <v>639</v>
      </c>
      <c r="P291" t="s">
        <v>479</v>
      </c>
      <c r="Q291" s="5"/>
      <c r="BF291" t="s">
        <v>138</v>
      </c>
    </row>
    <row r="292" spans="1:58" x14ac:dyDescent="0.3">
      <c r="A292" t="s">
        <v>363</v>
      </c>
      <c r="B292" s="5">
        <v>42116</v>
      </c>
      <c r="C292" t="s">
        <v>28</v>
      </c>
      <c r="D292" t="s">
        <v>45</v>
      </c>
      <c r="E292" t="s">
        <v>17</v>
      </c>
      <c r="F292" t="s">
        <v>54</v>
      </c>
      <c r="G292">
        <v>15</v>
      </c>
      <c r="H292">
        <v>6</v>
      </c>
      <c r="I292" t="s">
        <v>26</v>
      </c>
      <c r="N292" t="s">
        <v>640</v>
      </c>
      <c r="P292" t="s">
        <v>648</v>
      </c>
      <c r="Q292" s="5"/>
      <c r="BF292" t="s">
        <v>14</v>
      </c>
    </row>
    <row r="293" spans="1:58" x14ac:dyDescent="0.3">
      <c r="A293" t="s">
        <v>364</v>
      </c>
      <c r="B293" s="5">
        <v>42116</v>
      </c>
      <c r="C293" t="s">
        <v>28</v>
      </c>
      <c r="D293" t="s">
        <v>45</v>
      </c>
      <c r="E293" t="s">
        <v>13</v>
      </c>
      <c r="F293" t="s">
        <v>14</v>
      </c>
      <c r="G293">
        <v>7</v>
      </c>
      <c r="H293">
        <v>6</v>
      </c>
      <c r="I293" t="s">
        <v>26</v>
      </c>
      <c r="N293" t="s">
        <v>479</v>
      </c>
      <c r="P293" t="s">
        <v>649</v>
      </c>
      <c r="Q293" s="5"/>
      <c r="BF293" t="s">
        <v>54</v>
      </c>
    </row>
    <row r="294" spans="1:58" x14ac:dyDescent="0.3">
      <c r="A294" t="s">
        <v>365</v>
      </c>
      <c r="B294" s="5">
        <v>42116</v>
      </c>
      <c r="C294" t="s">
        <v>11</v>
      </c>
      <c r="D294" t="s">
        <v>45</v>
      </c>
      <c r="E294" t="s">
        <v>13</v>
      </c>
      <c r="F294" t="s">
        <v>66</v>
      </c>
      <c r="G294">
        <v>55</v>
      </c>
      <c r="H294">
        <v>4</v>
      </c>
      <c r="I294" t="s">
        <v>26</v>
      </c>
      <c r="N294" t="s">
        <v>648</v>
      </c>
      <c r="P294" t="s">
        <v>650</v>
      </c>
      <c r="BF294" t="s">
        <v>136</v>
      </c>
    </row>
    <row r="295" spans="1:58" x14ac:dyDescent="0.3">
      <c r="A295" t="s">
        <v>366</v>
      </c>
      <c r="B295" s="5">
        <v>42121</v>
      </c>
      <c r="C295" t="s">
        <v>31</v>
      </c>
      <c r="D295" t="s">
        <v>24</v>
      </c>
      <c r="E295" t="s">
        <v>34</v>
      </c>
      <c r="F295" t="s">
        <v>64</v>
      </c>
      <c r="G295">
        <v>9.65</v>
      </c>
      <c r="H295">
        <v>10</v>
      </c>
      <c r="I295" t="s">
        <v>26</v>
      </c>
      <c r="N295" t="s">
        <v>649</v>
      </c>
      <c r="BF295" t="s">
        <v>81</v>
      </c>
    </row>
    <row r="296" spans="1:58" x14ac:dyDescent="0.3">
      <c r="A296" t="s">
        <v>367</v>
      </c>
      <c r="B296" s="5">
        <v>42121</v>
      </c>
      <c r="C296" t="s">
        <v>20</v>
      </c>
      <c r="D296" t="s">
        <v>24</v>
      </c>
      <c r="E296" t="s">
        <v>17</v>
      </c>
      <c r="F296" t="s">
        <v>72</v>
      </c>
      <c r="G296">
        <v>18</v>
      </c>
      <c r="H296">
        <v>3</v>
      </c>
      <c r="I296" t="s">
        <v>26</v>
      </c>
      <c r="N296" t="s">
        <v>650</v>
      </c>
      <c r="BF296" t="s">
        <v>81</v>
      </c>
    </row>
    <row r="297" spans="1:58" x14ac:dyDescent="0.3">
      <c r="A297" t="s">
        <v>368</v>
      </c>
      <c r="B297" s="5">
        <v>42121</v>
      </c>
      <c r="C297" t="s">
        <v>11</v>
      </c>
      <c r="D297" t="s">
        <v>24</v>
      </c>
      <c r="E297" t="s">
        <v>34</v>
      </c>
      <c r="F297" t="s">
        <v>43</v>
      </c>
      <c r="G297">
        <v>12.5</v>
      </c>
      <c r="H297">
        <v>60</v>
      </c>
      <c r="I297" t="s">
        <v>26</v>
      </c>
      <c r="BF297" t="s">
        <v>72</v>
      </c>
    </row>
    <row r="298" spans="1:58" x14ac:dyDescent="0.3">
      <c r="A298" t="s">
        <v>369</v>
      </c>
      <c r="B298" s="5">
        <v>42123</v>
      </c>
      <c r="C298" t="s">
        <v>28</v>
      </c>
      <c r="D298" t="s">
        <v>45</v>
      </c>
      <c r="E298" t="s">
        <v>51</v>
      </c>
      <c r="F298" t="s">
        <v>118</v>
      </c>
      <c r="G298">
        <v>39</v>
      </c>
      <c r="H298">
        <v>25</v>
      </c>
      <c r="I298" t="s">
        <v>26</v>
      </c>
      <c r="BF298" t="s">
        <v>22</v>
      </c>
    </row>
    <row r="299" spans="1:58" x14ac:dyDescent="0.3">
      <c r="A299" t="s">
        <v>370</v>
      </c>
      <c r="B299" s="5">
        <v>42123</v>
      </c>
      <c r="C299" t="s">
        <v>20</v>
      </c>
      <c r="D299" t="s">
        <v>45</v>
      </c>
      <c r="E299" t="s">
        <v>17</v>
      </c>
      <c r="F299" t="s">
        <v>54</v>
      </c>
      <c r="G299">
        <v>26</v>
      </c>
      <c r="H299">
        <v>18</v>
      </c>
      <c r="I299" t="s">
        <v>26</v>
      </c>
      <c r="BF299" t="s">
        <v>25</v>
      </c>
    </row>
    <row r="300" spans="1:58" x14ac:dyDescent="0.3">
      <c r="A300" t="s">
        <v>371</v>
      </c>
      <c r="B300" s="5">
        <v>42123</v>
      </c>
      <c r="C300" t="s">
        <v>28</v>
      </c>
      <c r="D300" t="s">
        <v>45</v>
      </c>
      <c r="E300" t="s">
        <v>13</v>
      </c>
      <c r="F300" t="s">
        <v>14</v>
      </c>
      <c r="G300">
        <v>9.65</v>
      </c>
      <c r="H300">
        <v>6</v>
      </c>
      <c r="I300" t="s">
        <v>26</v>
      </c>
      <c r="BF300" t="s">
        <v>136</v>
      </c>
    </row>
    <row r="301" spans="1:58" x14ac:dyDescent="0.3">
      <c r="A301" t="s">
        <v>372</v>
      </c>
      <c r="B301" s="5">
        <v>42123</v>
      </c>
      <c r="C301" t="s">
        <v>20</v>
      </c>
      <c r="D301" t="s">
        <v>45</v>
      </c>
      <c r="E301" t="s">
        <v>34</v>
      </c>
      <c r="F301" t="s">
        <v>35</v>
      </c>
      <c r="G301">
        <v>81</v>
      </c>
      <c r="H301">
        <v>15</v>
      </c>
      <c r="I301" t="s">
        <v>26</v>
      </c>
      <c r="BF301" t="s">
        <v>72</v>
      </c>
    </row>
    <row r="302" spans="1:58" x14ac:dyDescent="0.3">
      <c r="A302" t="s">
        <v>373</v>
      </c>
      <c r="B302" s="5">
        <v>42130</v>
      </c>
      <c r="C302" t="s">
        <v>31</v>
      </c>
      <c r="D302" t="s">
        <v>24</v>
      </c>
      <c r="E302" t="s">
        <v>13</v>
      </c>
      <c r="F302" t="s">
        <v>66</v>
      </c>
      <c r="G302">
        <v>55</v>
      </c>
      <c r="H302">
        <v>50</v>
      </c>
      <c r="I302" t="s">
        <v>15</v>
      </c>
      <c r="BF302" t="s">
        <v>97</v>
      </c>
    </row>
    <row r="303" spans="1:58" x14ac:dyDescent="0.3">
      <c r="A303" t="s">
        <v>374</v>
      </c>
      <c r="B303" s="5">
        <v>42131</v>
      </c>
      <c r="C303" t="s">
        <v>28</v>
      </c>
      <c r="D303" t="s">
        <v>45</v>
      </c>
      <c r="E303" t="s">
        <v>21</v>
      </c>
      <c r="F303" t="s">
        <v>375</v>
      </c>
      <c r="G303">
        <v>17</v>
      </c>
      <c r="H303">
        <v>24</v>
      </c>
      <c r="I303" t="s">
        <v>26</v>
      </c>
      <c r="BF303" t="s">
        <v>90</v>
      </c>
    </row>
    <row r="304" spans="1:58" x14ac:dyDescent="0.3">
      <c r="A304" t="s">
        <v>376</v>
      </c>
      <c r="B304" s="5">
        <v>42131</v>
      </c>
      <c r="C304" t="s">
        <v>20</v>
      </c>
      <c r="D304" t="s">
        <v>45</v>
      </c>
      <c r="E304" t="s">
        <v>34</v>
      </c>
      <c r="F304" t="s">
        <v>64</v>
      </c>
      <c r="G304">
        <v>25.89</v>
      </c>
      <c r="H304">
        <v>15</v>
      </c>
      <c r="I304" t="s">
        <v>26</v>
      </c>
      <c r="BF304" t="s">
        <v>81</v>
      </c>
    </row>
    <row r="305" spans="1:58" x14ac:dyDescent="0.3">
      <c r="A305" t="s">
        <v>377</v>
      </c>
      <c r="B305" s="5">
        <v>42137</v>
      </c>
      <c r="C305" t="s">
        <v>28</v>
      </c>
      <c r="D305" t="s">
        <v>45</v>
      </c>
      <c r="E305" t="s">
        <v>17</v>
      </c>
      <c r="F305" t="s">
        <v>54</v>
      </c>
      <c r="G305">
        <v>15</v>
      </c>
      <c r="H305">
        <v>7</v>
      </c>
      <c r="I305" t="s">
        <v>26</v>
      </c>
      <c r="BF305" t="s">
        <v>111</v>
      </c>
    </row>
    <row r="306" spans="1:58" x14ac:dyDescent="0.3">
      <c r="A306" t="s">
        <v>378</v>
      </c>
      <c r="B306" s="5">
        <v>42137</v>
      </c>
      <c r="C306" t="s">
        <v>11</v>
      </c>
      <c r="D306" t="s">
        <v>45</v>
      </c>
      <c r="E306" t="s">
        <v>13</v>
      </c>
      <c r="F306" t="s">
        <v>56</v>
      </c>
      <c r="G306">
        <v>34.799999999999997</v>
      </c>
      <c r="H306">
        <v>1</v>
      </c>
      <c r="I306" t="s">
        <v>26</v>
      </c>
      <c r="BF306" t="s">
        <v>90</v>
      </c>
    </row>
    <row r="307" spans="1:58" x14ac:dyDescent="0.3">
      <c r="A307" t="s">
        <v>379</v>
      </c>
      <c r="B307" s="5">
        <v>42138</v>
      </c>
      <c r="C307" t="s">
        <v>20</v>
      </c>
      <c r="D307" t="s">
        <v>45</v>
      </c>
      <c r="E307" t="s">
        <v>13</v>
      </c>
      <c r="F307" t="s">
        <v>113</v>
      </c>
      <c r="G307">
        <v>2.5</v>
      </c>
      <c r="H307">
        <v>15</v>
      </c>
      <c r="I307" t="s">
        <v>26</v>
      </c>
      <c r="BF307" t="s">
        <v>54</v>
      </c>
    </row>
    <row r="308" spans="1:58" x14ac:dyDescent="0.3">
      <c r="A308" t="s">
        <v>380</v>
      </c>
      <c r="B308" s="5">
        <v>42138</v>
      </c>
      <c r="C308" t="s">
        <v>28</v>
      </c>
      <c r="D308" t="s">
        <v>45</v>
      </c>
      <c r="E308" t="s">
        <v>34</v>
      </c>
      <c r="F308" t="s">
        <v>64</v>
      </c>
      <c r="G308">
        <v>6</v>
      </c>
      <c r="H308">
        <v>8</v>
      </c>
      <c r="I308" t="s">
        <v>26</v>
      </c>
      <c r="BF308" t="s">
        <v>14</v>
      </c>
    </row>
    <row r="309" spans="1:58" x14ac:dyDescent="0.3">
      <c r="A309" t="s">
        <v>381</v>
      </c>
      <c r="B309" s="5">
        <v>42138</v>
      </c>
      <c r="C309" t="s">
        <v>20</v>
      </c>
      <c r="D309" t="s">
        <v>45</v>
      </c>
      <c r="E309" t="s">
        <v>34</v>
      </c>
      <c r="F309" t="s">
        <v>241</v>
      </c>
      <c r="G309">
        <v>10</v>
      </c>
      <c r="H309">
        <v>15</v>
      </c>
      <c r="I309" t="s">
        <v>26</v>
      </c>
      <c r="BF309" t="s">
        <v>124</v>
      </c>
    </row>
    <row r="310" spans="1:58" x14ac:dyDescent="0.3">
      <c r="A310" t="s">
        <v>382</v>
      </c>
      <c r="B310" s="5">
        <v>42138</v>
      </c>
      <c r="C310" t="s">
        <v>28</v>
      </c>
      <c r="D310" t="s">
        <v>45</v>
      </c>
      <c r="E310" t="s">
        <v>34</v>
      </c>
      <c r="F310" t="s">
        <v>75</v>
      </c>
      <c r="G310">
        <v>20</v>
      </c>
      <c r="H310">
        <v>6</v>
      </c>
      <c r="I310" t="s">
        <v>26</v>
      </c>
      <c r="BF310" t="s">
        <v>18</v>
      </c>
    </row>
    <row r="311" spans="1:58" x14ac:dyDescent="0.3">
      <c r="A311" t="s">
        <v>383</v>
      </c>
      <c r="B311" s="5">
        <v>42141</v>
      </c>
      <c r="C311" t="s">
        <v>20</v>
      </c>
      <c r="D311" t="s">
        <v>24</v>
      </c>
      <c r="E311" t="s">
        <v>17</v>
      </c>
      <c r="F311" t="s">
        <v>32</v>
      </c>
      <c r="G311">
        <v>263.5</v>
      </c>
      <c r="H311">
        <v>4</v>
      </c>
      <c r="I311" t="s">
        <v>15</v>
      </c>
      <c r="BF311" t="s">
        <v>43</v>
      </c>
    </row>
    <row r="312" spans="1:58" x14ac:dyDescent="0.3">
      <c r="A312" t="s">
        <v>127</v>
      </c>
      <c r="B312" s="5">
        <v>42141</v>
      </c>
      <c r="C312" t="s">
        <v>20</v>
      </c>
      <c r="D312" t="s">
        <v>12</v>
      </c>
      <c r="E312" t="s">
        <v>17</v>
      </c>
      <c r="F312" t="s">
        <v>128</v>
      </c>
      <c r="G312">
        <v>4.5</v>
      </c>
      <c r="H312">
        <v>35</v>
      </c>
      <c r="I312" t="s">
        <v>15</v>
      </c>
      <c r="BF312" t="s">
        <v>52</v>
      </c>
    </row>
    <row r="313" spans="1:58" x14ac:dyDescent="0.3">
      <c r="A313" t="s">
        <v>384</v>
      </c>
      <c r="B313" s="5">
        <v>42141</v>
      </c>
      <c r="C313" t="s">
        <v>31</v>
      </c>
      <c r="D313" t="s">
        <v>12</v>
      </c>
      <c r="E313" t="s">
        <v>21</v>
      </c>
      <c r="F313" t="s">
        <v>87</v>
      </c>
      <c r="G313">
        <v>21.05</v>
      </c>
      <c r="H313">
        <v>36</v>
      </c>
      <c r="I313" t="s">
        <v>15</v>
      </c>
      <c r="BF313" t="s">
        <v>81</v>
      </c>
    </row>
    <row r="314" spans="1:58" x14ac:dyDescent="0.3">
      <c r="A314" t="s">
        <v>385</v>
      </c>
      <c r="B314" s="5">
        <v>42145</v>
      </c>
      <c r="C314" t="s">
        <v>28</v>
      </c>
      <c r="D314" t="s">
        <v>45</v>
      </c>
      <c r="E314" t="s">
        <v>13</v>
      </c>
      <c r="F314" t="s">
        <v>121</v>
      </c>
      <c r="G314">
        <v>32</v>
      </c>
      <c r="H314">
        <v>24</v>
      </c>
      <c r="I314" t="s">
        <v>26</v>
      </c>
      <c r="BF314" t="s">
        <v>81</v>
      </c>
    </row>
    <row r="315" spans="1:58" x14ac:dyDescent="0.3">
      <c r="A315" t="s">
        <v>386</v>
      </c>
      <c r="B315" s="5">
        <v>42145</v>
      </c>
      <c r="C315" t="s">
        <v>11</v>
      </c>
      <c r="D315" t="s">
        <v>45</v>
      </c>
      <c r="E315" t="s">
        <v>21</v>
      </c>
      <c r="F315" t="s">
        <v>22</v>
      </c>
      <c r="G315">
        <v>19</v>
      </c>
      <c r="H315">
        <v>60</v>
      </c>
      <c r="I315" t="s">
        <v>26</v>
      </c>
      <c r="BF315" t="s">
        <v>14</v>
      </c>
    </row>
    <row r="316" spans="1:58" x14ac:dyDescent="0.3">
      <c r="A316" t="s">
        <v>387</v>
      </c>
      <c r="B316" s="5">
        <v>42150</v>
      </c>
      <c r="C316" t="s">
        <v>31</v>
      </c>
      <c r="D316" t="s">
        <v>85</v>
      </c>
      <c r="E316" t="s">
        <v>51</v>
      </c>
      <c r="F316" t="s">
        <v>118</v>
      </c>
      <c r="G316">
        <v>39</v>
      </c>
      <c r="H316">
        <v>8</v>
      </c>
      <c r="I316" t="s">
        <v>26</v>
      </c>
      <c r="BF316" t="s">
        <v>29</v>
      </c>
    </row>
    <row r="317" spans="1:58" x14ac:dyDescent="0.3">
      <c r="A317" t="s">
        <v>388</v>
      </c>
      <c r="B317" s="5">
        <v>42150</v>
      </c>
      <c r="C317" t="s">
        <v>20</v>
      </c>
      <c r="D317" t="s">
        <v>85</v>
      </c>
      <c r="E317" t="s">
        <v>21</v>
      </c>
      <c r="F317" t="s">
        <v>22</v>
      </c>
      <c r="G317">
        <v>28.5</v>
      </c>
      <c r="H317">
        <v>10</v>
      </c>
      <c r="I317" t="s">
        <v>26</v>
      </c>
      <c r="BF317" t="s">
        <v>54</v>
      </c>
    </row>
    <row r="318" spans="1:58" x14ac:dyDescent="0.3">
      <c r="A318" t="s">
        <v>389</v>
      </c>
      <c r="B318" s="5">
        <v>42150</v>
      </c>
      <c r="C318" t="s">
        <v>20</v>
      </c>
      <c r="D318" t="s">
        <v>85</v>
      </c>
      <c r="E318" t="s">
        <v>34</v>
      </c>
      <c r="F318" t="s">
        <v>188</v>
      </c>
      <c r="G318">
        <v>9.1999999999999993</v>
      </c>
      <c r="H318">
        <v>10</v>
      </c>
      <c r="I318" t="s">
        <v>26</v>
      </c>
      <c r="BF318" t="s">
        <v>14</v>
      </c>
    </row>
    <row r="319" spans="1:58" x14ac:dyDescent="0.3">
      <c r="A319" t="s">
        <v>390</v>
      </c>
      <c r="B319" s="5">
        <v>42150</v>
      </c>
      <c r="C319" t="s">
        <v>31</v>
      </c>
      <c r="D319" t="s">
        <v>85</v>
      </c>
      <c r="E319" t="s">
        <v>34</v>
      </c>
      <c r="F319" t="s">
        <v>241</v>
      </c>
      <c r="G319">
        <v>10</v>
      </c>
      <c r="H319">
        <v>6</v>
      </c>
      <c r="I319" t="s">
        <v>26</v>
      </c>
      <c r="BF319" t="s">
        <v>54</v>
      </c>
    </row>
    <row r="320" spans="1:58" x14ac:dyDescent="0.3">
      <c r="A320" t="s">
        <v>391</v>
      </c>
      <c r="B320" s="5">
        <v>42157</v>
      </c>
      <c r="C320" t="s">
        <v>20</v>
      </c>
      <c r="D320" t="s">
        <v>45</v>
      </c>
      <c r="E320" t="s">
        <v>51</v>
      </c>
      <c r="F320" t="s">
        <v>138</v>
      </c>
      <c r="G320">
        <v>32.799999999999997</v>
      </c>
      <c r="H320">
        <v>18</v>
      </c>
      <c r="I320" t="s">
        <v>26</v>
      </c>
      <c r="BF320" t="s">
        <v>37</v>
      </c>
    </row>
    <row r="321" spans="1:58" x14ac:dyDescent="0.3">
      <c r="A321" t="s">
        <v>392</v>
      </c>
      <c r="B321" s="5">
        <v>42157</v>
      </c>
      <c r="C321" t="s">
        <v>20</v>
      </c>
      <c r="D321" t="s">
        <v>45</v>
      </c>
      <c r="E321" t="s">
        <v>34</v>
      </c>
      <c r="F321" t="s">
        <v>64</v>
      </c>
      <c r="G321">
        <v>53</v>
      </c>
      <c r="H321">
        <v>20</v>
      </c>
      <c r="I321" t="s">
        <v>26</v>
      </c>
      <c r="BF321" t="s">
        <v>128</v>
      </c>
    </row>
    <row r="322" spans="1:58" x14ac:dyDescent="0.3">
      <c r="A322" t="s">
        <v>393</v>
      </c>
      <c r="B322" s="5">
        <v>42157</v>
      </c>
      <c r="C322" t="s">
        <v>11</v>
      </c>
      <c r="D322" t="s">
        <v>45</v>
      </c>
      <c r="E322" t="s">
        <v>13</v>
      </c>
      <c r="F322" t="s">
        <v>14</v>
      </c>
      <c r="G322">
        <v>7</v>
      </c>
      <c r="H322">
        <v>30</v>
      </c>
      <c r="I322" t="s">
        <v>26</v>
      </c>
      <c r="BF322" t="s">
        <v>22</v>
      </c>
    </row>
    <row r="323" spans="1:58" x14ac:dyDescent="0.3">
      <c r="A323" t="s">
        <v>394</v>
      </c>
      <c r="B323" s="5">
        <v>42157</v>
      </c>
      <c r="C323" t="s">
        <v>28</v>
      </c>
      <c r="D323" t="s">
        <v>45</v>
      </c>
      <c r="E323" t="s">
        <v>17</v>
      </c>
      <c r="F323" t="s">
        <v>54</v>
      </c>
      <c r="G323">
        <v>15</v>
      </c>
      <c r="H323">
        <v>3</v>
      </c>
      <c r="I323" t="s">
        <v>26</v>
      </c>
      <c r="BF323" t="s">
        <v>268</v>
      </c>
    </row>
    <row r="324" spans="1:58" x14ac:dyDescent="0.3">
      <c r="A324" t="s">
        <v>395</v>
      </c>
      <c r="B324" s="5">
        <v>42157</v>
      </c>
      <c r="C324" t="s">
        <v>11</v>
      </c>
      <c r="D324" t="s">
        <v>45</v>
      </c>
      <c r="E324" t="s">
        <v>34</v>
      </c>
      <c r="F324" t="s">
        <v>136</v>
      </c>
      <c r="G324">
        <v>9.5</v>
      </c>
      <c r="H324">
        <v>25</v>
      </c>
      <c r="I324" t="s">
        <v>26</v>
      </c>
      <c r="BF324" t="s">
        <v>138</v>
      </c>
    </row>
    <row r="325" spans="1:58" x14ac:dyDescent="0.3">
      <c r="A325" t="s">
        <v>396</v>
      </c>
      <c r="B325" s="5">
        <v>42163</v>
      </c>
      <c r="C325" t="s">
        <v>28</v>
      </c>
      <c r="D325" t="s">
        <v>12</v>
      </c>
      <c r="E325" t="s">
        <v>51</v>
      </c>
      <c r="F325" t="s">
        <v>81</v>
      </c>
      <c r="G325">
        <v>7</v>
      </c>
      <c r="H325">
        <v>70</v>
      </c>
      <c r="I325" t="s">
        <v>26</v>
      </c>
      <c r="BF325" t="s">
        <v>54</v>
      </c>
    </row>
    <row r="326" spans="1:58" x14ac:dyDescent="0.3">
      <c r="A326" t="s">
        <v>397</v>
      </c>
      <c r="B326" s="5">
        <v>42163</v>
      </c>
      <c r="C326" t="s">
        <v>11</v>
      </c>
      <c r="D326" t="s">
        <v>12</v>
      </c>
      <c r="E326" t="s">
        <v>51</v>
      </c>
      <c r="F326" t="s">
        <v>81</v>
      </c>
      <c r="G326">
        <v>19</v>
      </c>
      <c r="H326">
        <v>25</v>
      </c>
      <c r="I326" t="s">
        <v>26</v>
      </c>
      <c r="BF326" t="s">
        <v>54</v>
      </c>
    </row>
    <row r="327" spans="1:58" x14ac:dyDescent="0.3">
      <c r="A327" t="s">
        <v>398</v>
      </c>
      <c r="B327" s="5">
        <v>42166</v>
      </c>
      <c r="C327" t="s">
        <v>20</v>
      </c>
      <c r="D327" t="s">
        <v>85</v>
      </c>
      <c r="E327" t="s">
        <v>34</v>
      </c>
      <c r="F327" t="s">
        <v>64</v>
      </c>
      <c r="G327">
        <v>31</v>
      </c>
      <c r="H327">
        <v>5</v>
      </c>
      <c r="I327" t="s">
        <v>26</v>
      </c>
      <c r="BF327" t="s">
        <v>22</v>
      </c>
    </row>
    <row r="328" spans="1:58" x14ac:dyDescent="0.3">
      <c r="A328" t="s">
        <v>399</v>
      </c>
      <c r="B328" s="5">
        <v>42177</v>
      </c>
      <c r="C328" t="s">
        <v>11</v>
      </c>
      <c r="D328" t="s">
        <v>45</v>
      </c>
      <c r="E328" t="s">
        <v>17</v>
      </c>
      <c r="F328" t="s">
        <v>72</v>
      </c>
      <c r="G328">
        <v>18</v>
      </c>
      <c r="H328">
        <v>20</v>
      </c>
      <c r="I328" t="s">
        <v>26</v>
      </c>
      <c r="BF328" t="s">
        <v>54</v>
      </c>
    </row>
    <row r="329" spans="1:58" x14ac:dyDescent="0.3">
      <c r="A329" t="s">
        <v>400</v>
      </c>
      <c r="B329" s="5">
        <v>42177</v>
      </c>
      <c r="C329" t="s">
        <v>28</v>
      </c>
      <c r="D329" t="s">
        <v>45</v>
      </c>
      <c r="E329" t="s">
        <v>21</v>
      </c>
      <c r="F329" t="s">
        <v>22</v>
      </c>
      <c r="G329">
        <v>19.5</v>
      </c>
      <c r="H329">
        <v>6</v>
      </c>
      <c r="I329" t="s">
        <v>26</v>
      </c>
      <c r="BF329" t="s">
        <v>99</v>
      </c>
    </row>
    <row r="330" spans="1:58" x14ac:dyDescent="0.3">
      <c r="A330" t="s">
        <v>401</v>
      </c>
      <c r="B330" s="5">
        <v>42179</v>
      </c>
      <c r="C330" t="s">
        <v>11</v>
      </c>
      <c r="D330" t="s">
        <v>12</v>
      </c>
      <c r="E330" t="s">
        <v>17</v>
      </c>
      <c r="F330" t="s">
        <v>25</v>
      </c>
      <c r="G330">
        <v>7.75</v>
      </c>
      <c r="H330">
        <v>50</v>
      </c>
      <c r="I330" t="s">
        <v>15</v>
      </c>
      <c r="BF330" t="s">
        <v>54</v>
      </c>
    </row>
    <row r="331" spans="1:58" x14ac:dyDescent="0.3">
      <c r="A331" t="s">
        <v>402</v>
      </c>
      <c r="B331" s="5">
        <v>42184</v>
      </c>
      <c r="C331" t="s">
        <v>20</v>
      </c>
      <c r="D331" t="s">
        <v>12</v>
      </c>
      <c r="E331" t="s">
        <v>34</v>
      </c>
      <c r="F331" t="s">
        <v>136</v>
      </c>
      <c r="G331">
        <v>9.5</v>
      </c>
      <c r="H331">
        <v>15</v>
      </c>
      <c r="I331" t="s">
        <v>15</v>
      </c>
      <c r="BF331" t="s">
        <v>22</v>
      </c>
    </row>
    <row r="332" spans="1:58" x14ac:dyDescent="0.3">
      <c r="A332" t="s">
        <v>403</v>
      </c>
      <c r="B332" s="5">
        <v>42185</v>
      </c>
      <c r="C332" t="s">
        <v>31</v>
      </c>
      <c r="D332" t="s">
        <v>12</v>
      </c>
      <c r="E332" t="s">
        <v>17</v>
      </c>
      <c r="F332" t="s">
        <v>72</v>
      </c>
      <c r="G332">
        <v>18</v>
      </c>
      <c r="H332">
        <v>20</v>
      </c>
      <c r="I332" t="s">
        <v>15</v>
      </c>
      <c r="BF332" t="s">
        <v>54</v>
      </c>
    </row>
    <row r="333" spans="1:58" x14ac:dyDescent="0.3">
      <c r="A333" t="s">
        <v>404</v>
      </c>
      <c r="B333" s="5">
        <v>42185</v>
      </c>
      <c r="C333" t="s">
        <v>31</v>
      </c>
      <c r="D333" t="s">
        <v>12</v>
      </c>
      <c r="E333" t="s">
        <v>21</v>
      </c>
      <c r="F333" t="s">
        <v>97</v>
      </c>
      <c r="G333">
        <v>13</v>
      </c>
      <c r="H333">
        <v>20</v>
      </c>
      <c r="I333" t="s">
        <v>15</v>
      </c>
      <c r="BF333" t="s">
        <v>136</v>
      </c>
    </row>
    <row r="334" spans="1:58" x14ac:dyDescent="0.3">
      <c r="A334" t="s">
        <v>405</v>
      </c>
      <c r="B334" s="5">
        <v>42198</v>
      </c>
      <c r="C334" t="s">
        <v>31</v>
      </c>
      <c r="D334" t="s">
        <v>45</v>
      </c>
      <c r="E334" t="s">
        <v>34</v>
      </c>
      <c r="F334" t="s">
        <v>90</v>
      </c>
      <c r="G334">
        <v>49.3</v>
      </c>
      <c r="H334">
        <v>10</v>
      </c>
      <c r="I334" t="s">
        <v>26</v>
      </c>
      <c r="BF334" t="s">
        <v>97</v>
      </c>
    </row>
    <row r="335" spans="1:58" x14ac:dyDescent="0.3">
      <c r="A335" t="s">
        <v>406</v>
      </c>
      <c r="B335" s="5">
        <v>42205</v>
      </c>
      <c r="C335" t="s">
        <v>31</v>
      </c>
      <c r="D335" t="s">
        <v>12</v>
      </c>
      <c r="E335" t="s">
        <v>51</v>
      </c>
      <c r="F335" t="s">
        <v>81</v>
      </c>
      <c r="G335">
        <v>24</v>
      </c>
      <c r="H335">
        <v>20</v>
      </c>
      <c r="I335" t="s">
        <v>26</v>
      </c>
      <c r="BF335" t="s">
        <v>81</v>
      </c>
    </row>
    <row r="336" spans="1:58" x14ac:dyDescent="0.3">
      <c r="A336" t="s">
        <v>407</v>
      </c>
      <c r="B336" s="5">
        <v>42205</v>
      </c>
      <c r="C336" t="s">
        <v>31</v>
      </c>
      <c r="D336" t="s">
        <v>12</v>
      </c>
      <c r="E336" t="s">
        <v>21</v>
      </c>
      <c r="F336" t="s">
        <v>111</v>
      </c>
      <c r="G336">
        <v>22</v>
      </c>
      <c r="H336">
        <v>20</v>
      </c>
      <c r="I336" t="s">
        <v>26</v>
      </c>
      <c r="BF336" t="s">
        <v>128</v>
      </c>
    </row>
    <row r="337" spans="1:58" x14ac:dyDescent="0.3">
      <c r="A337" t="s">
        <v>408</v>
      </c>
      <c r="B337" s="5">
        <v>42205</v>
      </c>
      <c r="C337" t="s">
        <v>11</v>
      </c>
      <c r="D337" t="s">
        <v>12</v>
      </c>
      <c r="E337" t="s">
        <v>34</v>
      </c>
      <c r="F337" t="s">
        <v>90</v>
      </c>
      <c r="G337">
        <v>49.3</v>
      </c>
      <c r="H337">
        <v>10</v>
      </c>
      <c r="I337" t="s">
        <v>26</v>
      </c>
      <c r="BF337" t="s">
        <v>111</v>
      </c>
    </row>
    <row r="338" spans="1:58" x14ac:dyDescent="0.3">
      <c r="A338" t="s">
        <v>409</v>
      </c>
      <c r="B338" s="5">
        <v>42219</v>
      </c>
      <c r="C338" t="s">
        <v>11</v>
      </c>
      <c r="D338" t="s">
        <v>45</v>
      </c>
      <c r="E338" t="s">
        <v>17</v>
      </c>
      <c r="F338" t="s">
        <v>54</v>
      </c>
      <c r="G338">
        <v>15</v>
      </c>
      <c r="H338">
        <v>20</v>
      </c>
      <c r="I338" t="s">
        <v>26</v>
      </c>
      <c r="BF338" t="s">
        <v>54</v>
      </c>
    </row>
    <row r="339" spans="1:58" x14ac:dyDescent="0.3">
      <c r="A339" t="s">
        <v>410</v>
      </c>
      <c r="B339" s="5">
        <v>42219</v>
      </c>
      <c r="C339" t="s">
        <v>31</v>
      </c>
      <c r="D339" t="s">
        <v>45</v>
      </c>
      <c r="E339" t="s">
        <v>13</v>
      </c>
      <c r="F339" t="s">
        <v>14</v>
      </c>
      <c r="G339">
        <v>9</v>
      </c>
      <c r="H339">
        <v>10</v>
      </c>
      <c r="I339" t="s">
        <v>26</v>
      </c>
      <c r="BF339" t="s">
        <v>81</v>
      </c>
    </row>
    <row r="340" spans="1:58" x14ac:dyDescent="0.3">
      <c r="A340" t="s">
        <v>411</v>
      </c>
      <c r="B340" s="5">
        <v>42219</v>
      </c>
      <c r="C340" t="s">
        <v>11</v>
      </c>
      <c r="D340" t="s">
        <v>45</v>
      </c>
      <c r="E340" t="s">
        <v>13</v>
      </c>
      <c r="F340" t="s">
        <v>124</v>
      </c>
      <c r="G340">
        <v>21.5</v>
      </c>
      <c r="H340">
        <v>15</v>
      </c>
      <c r="I340" t="s">
        <v>26</v>
      </c>
      <c r="BF340" t="s">
        <v>47</v>
      </c>
    </row>
    <row r="341" spans="1:58" x14ac:dyDescent="0.3">
      <c r="A341" t="s">
        <v>412</v>
      </c>
      <c r="B341" s="5">
        <v>42219</v>
      </c>
      <c r="C341" t="s">
        <v>28</v>
      </c>
      <c r="D341" t="s">
        <v>45</v>
      </c>
      <c r="E341" t="s">
        <v>34</v>
      </c>
      <c r="F341" t="s">
        <v>188</v>
      </c>
      <c r="G341">
        <v>9.1999999999999993</v>
      </c>
      <c r="H341">
        <v>5</v>
      </c>
      <c r="I341" t="s">
        <v>26</v>
      </c>
      <c r="BF341" t="s">
        <v>41</v>
      </c>
    </row>
    <row r="342" spans="1:58" x14ac:dyDescent="0.3">
      <c r="A342" t="s">
        <v>413</v>
      </c>
      <c r="B342" s="5">
        <v>42220</v>
      </c>
      <c r="C342" t="s">
        <v>28</v>
      </c>
      <c r="D342" t="s">
        <v>12</v>
      </c>
      <c r="E342" t="s">
        <v>17</v>
      </c>
      <c r="F342" t="s">
        <v>18</v>
      </c>
      <c r="G342">
        <v>19</v>
      </c>
      <c r="H342">
        <v>20</v>
      </c>
      <c r="I342" t="s">
        <v>26</v>
      </c>
      <c r="BF342" t="s">
        <v>22</v>
      </c>
    </row>
    <row r="343" spans="1:58" x14ac:dyDescent="0.3">
      <c r="A343" t="s">
        <v>414</v>
      </c>
      <c r="B343" s="5">
        <v>42220</v>
      </c>
      <c r="C343" t="s">
        <v>31</v>
      </c>
      <c r="D343" t="s">
        <v>12</v>
      </c>
      <c r="E343" t="s">
        <v>34</v>
      </c>
      <c r="F343" t="s">
        <v>43</v>
      </c>
      <c r="G343">
        <v>12.5</v>
      </c>
      <c r="H343">
        <v>18</v>
      </c>
      <c r="I343" t="s">
        <v>26</v>
      </c>
      <c r="BF343" t="s">
        <v>241</v>
      </c>
    </row>
    <row r="344" spans="1:58" x14ac:dyDescent="0.3">
      <c r="A344" t="s">
        <v>415</v>
      </c>
      <c r="B344" s="5">
        <v>42226</v>
      </c>
      <c r="C344" t="s">
        <v>11</v>
      </c>
      <c r="D344" t="s">
        <v>85</v>
      </c>
      <c r="E344" t="s">
        <v>51</v>
      </c>
      <c r="F344" t="s">
        <v>52</v>
      </c>
      <c r="G344">
        <v>123.79</v>
      </c>
      <c r="H344">
        <v>20</v>
      </c>
      <c r="I344" t="s">
        <v>26</v>
      </c>
      <c r="BF344" t="s">
        <v>72</v>
      </c>
    </row>
    <row r="345" spans="1:58" x14ac:dyDescent="0.3">
      <c r="A345" t="s">
        <v>416</v>
      </c>
      <c r="B345" s="5">
        <v>42226</v>
      </c>
      <c r="C345" t="s">
        <v>20</v>
      </c>
      <c r="D345" t="s">
        <v>85</v>
      </c>
      <c r="E345" t="s">
        <v>51</v>
      </c>
      <c r="F345" t="s">
        <v>81</v>
      </c>
      <c r="G345">
        <v>33.25</v>
      </c>
      <c r="H345">
        <v>9</v>
      </c>
      <c r="I345" t="s">
        <v>26</v>
      </c>
      <c r="BF345" t="s">
        <v>124</v>
      </c>
    </row>
    <row r="346" spans="1:58" x14ac:dyDescent="0.3">
      <c r="A346" t="s">
        <v>417</v>
      </c>
      <c r="B346" s="5">
        <v>42233</v>
      </c>
      <c r="C346" t="s">
        <v>11</v>
      </c>
      <c r="D346" t="s">
        <v>12</v>
      </c>
      <c r="E346" t="s">
        <v>51</v>
      </c>
      <c r="F346" t="s">
        <v>81</v>
      </c>
      <c r="G346">
        <v>38</v>
      </c>
      <c r="H346">
        <v>60</v>
      </c>
      <c r="I346" t="s">
        <v>15</v>
      </c>
      <c r="BF346" t="s">
        <v>81</v>
      </c>
    </row>
    <row r="347" spans="1:58" x14ac:dyDescent="0.3">
      <c r="A347" t="s">
        <v>418</v>
      </c>
      <c r="B347" s="5">
        <v>42233</v>
      </c>
      <c r="C347" t="s">
        <v>28</v>
      </c>
      <c r="D347" t="s">
        <v>12</v>
      </c>
      <c r="E347" t="s">
        <v>13</v>
      </c>
      <c r="F347" t="s">
        <v>14</v>
      </c>
      <c r="G347">
        <v>21</v>
      </c>
      <c r="H347">
        <v>10</v>
      </c>
      <c r="I347" t="s">
        <v>15</v>
      </c>
      <c r="BF347" t="s">
        <v>81</v>
      </c>
    </row>
    <row r="348" spans="1:58" x14ac:dyDescent="0.3">
      <c r="A348" t="s">
        <v>419</v>
      </c>
      <c r="B348" s="5">
        <v>42233</v>
      </c>
      <c r="C348" t="s">
        <v>31</v>
      </c>
      <c r="D348" t="s">
        <v>12</v>
      </c>
      <c r="E348" t="s">
        <v>34</v>
      </c>
      <c r="F348" t="s">
        <v>64</v>
      </c>
      <c r="G348">
        <v>16.25</v>
      </c>
      <c r="H348">
        <v>25</v>
      </c>
      <c r="I348" t="s">
        <v>15</v>
      </c>
      <c r="BF348" t="s">
        <v>81</v>
      </c>
    </row>
    <row r="349" spans="1:58" x14ac:dyDescent="0.3">
      <c r="A349" t="s">
        <v>420</v>
      </c>
      <c r="B349" s="5">
        <v>42239</v>
      </c>
      <c r="C349" t="s">
        <v>11</v>
      </c>
      <c r="D349" t="s">
        <v>12</v>
      </c>
      <c r="E349" t="s">
        <v>17</v>
      </c>
      <c r="F349" t="s">
        <v>29</v>
      </c>
      <c r="G349">
        <v>46</v>
      </c>
      <c r="H349">
        <v>20</v>
      </c>
      <c r="I349" t="s">
        <v>26</v>
      </c>
      <c r="BF349" t="s">
        <v>14</v>
      </c>
    </row>
    <row r="350" spans="1:58" x14ac:dyDescent="0.3">
      <c r="A350" t="s">
        <v>421</v>
      </c>
      <c r="B350" s="5">
        <v>42239</v>
      </c>
      <c r="C350" t="s">
        <v>11</v>
      </c>
      <c r="D350" t="s">
        <v>12</v>
      </c>
      <c r="E350" t="s">
        <v>17</v>
      </c>
      <c r="F350" t="s">
        <v>54</v>
      </c>
      <c r="G350">
        <v>12</v>
      </c>
      <c r="H350">
        <v>21</v>
      </c>
      <c r="I350" t="s">
        <v>26</v>
      </c>
      <c r="BF350" t="s">
        <v>81</v>
      </c>
    </row>
    <row r="351" spans="1:58" x14ac:dyDescent="0.3">
      <c r="A351" t="s">
        <v>422</v>
      </c>
      <c r="B351" s="5">
        <v>42240</v>
      </c>
      <c r="C351" t="s">
        <v>20</v>
      </c>
      <c r="D351" t="s">
        <v>12</v>
      </c>
      <c r="E351" t="s">
        <v>13</v>
      </c>
      <c r="F351" t="s">
        <v>14</v>
      </c>
      <c r="G351">
        <v>19</v>
      </c>
      <c r="H351">
        <v>15</v>
      </c>
      <c r="I351" t="s">
        <v>15</v>
      </c>
      <c r="BF351" t="s">
        <v>22</v>
      </c>
    </row>
    <row r="352" spans="1:58" x14ac:dyDescent="0.3">
      <c r="A352" t="s">
        <v>423</v>
      </c>
      <c r="B352" s="5">
        <v>42240</v>
      </c>
      <c r="C352" t="s">
        <v>31</v>
      </c>
      <c r="D352" t="s">
        <v>85</v>
      </c>
      <c r="E352" t="s">
        <v>17</v>
      </c>
      <c r="F352" t="s">
        <v>54</v>
      </c>
      <c r="G352">
        <v>62.5</v>
      </c>
      <c r="H352">
        <v>20</v>
      </c>
      <c r="I352" t="s">
        <v>15</v>
      </c>
      <c r="BF352" t="s">
        <v>81</v>
      </c>
    </row>
    <row r="353" spans="1:58" x14ac:dyDescent="0.3">
      <c r="A353" t="s">
        <v>424</v>
      </c>
      <c r="B353" s="5">
        <v>42241</v>
      </c>
      <c r="C353" t="s">
        <v>31</v>
      </c>
      <c r="D353" t="s">
        <v>12</v>
      </c>
      <c r="E353" t="s">
        <v>17</v>
      </c>
      <c r="F353" t="s">
        <v>37</v>
      </c>
      <c r="G353">
        <v>18</v>
      </c>
      <c r="H353">
        <v>20</v>
      </c>
      <c r="I353" t="s">
        <v>26</v>
      </c>
      <c r="BF353" t="s">
        <v>134</v>
      </c>
    </row>
    <row r="354" spans="1:58" x14ac:dyDescent="0.3">
      <c r="A354" t="s">
        <v>425</v>
      </c>
      <c r="B354" s="5">
        <v>42241</v>
      </c>
      <c r="C354" t="s">
        <v>11</v>
      </c>
      <c r="D354" t="s">
        <v>12</v>
      </c>
      <c r="E354" t="s">
        <v>34</v>
      </c>
      <c r="F354" t="s">
        <v>188</v>
      </c>
      <c r="G354">
        <v>9.1999999999999993</v>
      </c>
      <c r="H354">
        <v>30</v>
      </c>
      <c r="I354" t="s">
        <v>26</v>
      </c>
      <c r="BF354" t="s">
        <v>39</v>
      </c>
    </row>
    <row r="355" spans="1:58" x14ac:dyDescent="0.3">
      <c r="A355" t="s">
        <v>127</v>
      </c>
      <c r="B355" s="5">
        <v>42242</v>
      </c>
      <c r="C355" t="s">
        <v>20</v>
      </c>
      <c r="D355" t="s">
        <v>12</v>
      </c>
      <c r="E355" t="s">
        <v>17</v>
      </c>
      <c r="F355" t="s">
        <v>128</v>
      </c>
      <c r="G355">
        <v>4.5</v>
      </c>
      <c r="H355">
        <v>15</v>
      </c>
      <c r="I355" t="s">
        <v>26</v>
      </c>
      <c r="BF355" t="s">
        <v>14</v>
      </c>
    </row>
    <row r="356" spans="1:58" x14ac:dyDescent="0.3">
      <c r="A356" t="s">
        <v>426</v>
      </c>
      <c r="B356" s="5">
        <v>42242</v>
      </c>
      <c r="C356" t="s">
        <v>20</v>
      </c>
      <c r="D356" t="s">
        <v>12</v>
      </c>
      <c r="E356" t="s">
        <v>21</v>
      </c>
      <c r="F356" t="s">
        <v>22</v>
      </c>
      <c r="G356">
        <v>21</v>
      </c>
      <c r="H356">
        <v>15</v>
      </c>
      <c r="I356" t="s">
        <v>26</v>
      </c>
      <c r="BF356" t="s">
        <v>134</v>
      </c>
    </row>
    <row r="357" spans="1:58" x14ac:dyDescent="0.3">
      <c r="A357" t="s">
        <v>427</v>
      </c>
      <c r="B357" s="5">
        <v>42243</v>
      </c>
      <c r="C357" t="s">
        <v>20</v>
      </c>
      <c r="D357" t="s">
        <v>12</v>
      </c>
      <c r="E357" t="s">
        <v>51</v>
      </c>
      <c r="F357" t="s">
        <v>268</v>
      </c>
      <c r="G357">
        <v>7.45</v>
      </c>
      <c r="H357">
        <v>30</v>
      </c>
      <c r="I357" t="s">
        <v>26</v>
      </c>
      <c r="BF357" t="s">
        <v>66</v>
      </c>
    </row>
    <row r="358" spans="1:58" x14ac:dyDescent="0.3">
      <c r="A358" t="s">
        <v>428</v>
      </c>
      <c r="B358" s="5">
        <v>42243</v>
      </c>
      <c r="C358" t="s">
        <v>31</v>
      </c>
      <c r="D358" t="s">
        <v>12</v>
      </c>
      <c r="E358" t="s">
        <v>51</v>
      </c>
      <c r="F358" t="s">
        <v>138</v>
      </c>
      <c r="G358">
        <v>32.799999999999997</v>
      </c>
      <c r="H358">
        <v>25</v>
      </c>
      <c r="I358" t="s">
        <v>26</v>
      </c>
      <c r="BF358" t="s">
        <v>79</v>
      </c>
    </row>
    <row r="359" spans="1:58" x14ac:dyDescent="0.3">
      <c r="A359" t="s">
        <v>429</v>
      </c>
      <c r="B359" s="5">
        <v>42243</v>
      </c>
      <c r="C359" t="s">
        <v>20</v>
      </c>
      <c r="D359" t="s">
        <v>12</v>
      </c>
      <c r="E359" t="s">
        <v>17</v>
      </c>
      <c r="F359" t="s">
        <v>54</v>
      </c>
      <c r="G359">
        <v>25.89</v>
      </c>
      <c r="H359">
        <v>30</v>
      </c>
      <c r="I359" t="s">
        <v>26</v>
      </c>
      <c r="BF359" t="s">
        <v>186</v>
      </c>
    </row>
    <row r="360" spans="1:58" x14ac:dyDescent="0.3">
      <c r="A360" t="s">
        <v>430</v>
      </c>
      <c r="B360" s="5">
        <v>42246</v>
      </c>
      <c r="C360" t="s">
        <v>11</v>
      </c>
      <c r="D360" t="s">
        <v>12</v>
      </c>
      <c r="E360" t="s">
        <v>17</v>
      </c>
      <c r="F360" t="s">
        <v>54</v>
      </c>
      <c r="G360">
        <v>14</v>
      </c>
      <c r="H360">
        <v>20</v>
      </c>
      <c r="I360" t="s">
        <v>26</v>
      </c>
      <c r="BF360" t="s">
        <v>14</v>
      </c>
    </row>
    <row r="361" spans="1:58" x14ac:dyDescent="0.3">
      <c r="A361" t="s">
        <v>431</v>
      </c>
      <c r="B361" s="5">
        <v>42246</v>
      </c>
      <c r="C361" t="s">
        <v>31</v>
      </c>
      <c r="D361" t="s">
        <v>12</v>
      </c>
      <c r="E361" t="s">
        <v>21</v>
      </c>
      <c r="F361" t="s">
        <v>22</v>
      </c>
      <c r="G361">
        <v>25.89</v>
      </c>
      <c r="H361">
        <v>2</v>
      </c>
      <c r="I361" t="s">
        <v>26</v>
      </c>
      <c r="BF361" t="s">
        <v>99</v>
      </c>
    </row>
    <row r="362" spans="1:58" x14ac:dyDescent="0.3">
      <c r="A362" t="s">
        <v>432</v>
      </c>
      <c r="B362" s="5">
        <v>42250</v>
      </c>
      <c r="C362" t="s">
        <v>11</v>
      </c>
      <c r="D362" t="s">
        <v>12</v>
      </c>
      <c r="E362" t="s">
        <v>17</v>
      </c>
      <c r="F362" t="s">
        <v>54</v>
      </c>
      <c r="G362">
        <v>15</v>
      </c>
      <c r="H362">
        <v>40</v>
      </c>
      <c r="I362" t="s">
        <v>26</v>
      </c>
      <c r="BF362" t="s">
        <v>124</v>
      </c>
    </row>
    <row r="363" spans="1:58" x14ac:dyDescent="0.3">
      <c r="A363" t="s">
        <v>358</v>
      </c>
      <c r="B363" s="5">
        <v>42250</v>
      </c>
      <c r="C363" t="s">
        <v>31</v>
      </c>
      <c r="D363" t="s">
        <v>12</v>
      </c>
      <c r="E363" t="s">
        <v>13</v>
      </c>
      <c r="F363" t="s">
        <v>99</v>
      </c>
      <c r="G363">
        <v>12.5</v>
      </c>
      <c r="H363">
        <v>20</v>
      </c>
      <c r="I363" t="s">
        <v>26</v>
      </c>
      <c r="BF363" t="s">
        <v>14</v>
      </c>
    </row>
    <row r="364" spans="1:58" x14ac:dyDescent="0.3">
      <c r="A364" t="s">
        <v>433</v>
      </c>
      <c r="B364" s="5">
        <v>42250</v>
      </c>
      <c r="C364" t="s">
        <v>31</v>
      </c>
      <c r="D364" t="s">
        <v>12</v>
      </c>
      <c r="E364" t="s">
        <v>17</v>
      </c>
      <c r="F364" t="s">
        <v>54</v>
      </c>
      <c r="G364">
        <v>18.399999999999999</v>
      </c>
      <c r="H364">
        <v>24</v>
      </c>
      <c r="I364" t="s">
        <v>26</v>
      </c>
      <c r="BF364" t="s">
        <v>81</v>
      </c>
    </row>
    <row r="365" spans="1:58" x14ac:dyDescent="0.3">
      <c r="A365" t="s">
        <v>434</v>
      </c>
      <c r="B365" s="5">
        <v>42263</v>
      </c>
      <c r="C365" t="s">
        <v>28</v>
      </c>
      <c r="D365" t="s">
        <v>45</v>
      </c>
      <c r="E365" t="s">
        <v>21</v>
      </c>
      <c r="F365" t="s">
        <v>22</v>
      </c>
      <c r="G365">
        <v>9</v>
      </c>
      <c r="H365">
        <v>5</v>
      </c>
      <c r="I365" t="s">
        <v>26</v>
      </c>
      <c r="BF365" t="s">
        <v>99</v>
      </c>
    </row>
    <row r="366" spans="1:58" x14ac:dyDescent="0.3">
      <c r="A366" t="s">
        <v>435</v>
      </c>
      <c r="B366" s="5">
        <v>42274</v>
      </c>
      <c r="C366" t="s">
        <v>11</v>
      </c>
      <c r="D366" t="s">
        <v>12</v>
      </c>
      <c r="E366" t="s">
        <v>17</v>
      </c>
      <c r="F366" t="s">
        <v>54</v>
      </c>
      <c r="G366">
        <v>31</v>
      </c>
      <c r="H366">
        <v>20</v>
      </c>
      <c r="I366" t="s">
        <v>26</v>
      </c>
      <c r="BF366" t="s">
        <v>32</v>
      </c>
    </row>
    <row r="367" spans="1:58" x14ac:dyDescent="0.3">
      <c r="A367" t="s">
        <v>436</v>
      </c>
      <c r="B367" s="5">
        <v>42274</v>
      </c>
      <c r="C367" t="s">
        <v>20</v>
      </c>
      <c r="D367" t="s">
        <v>12</v>
      </c>
      <c r="E367" t="s">
        <v>34</v>
      </c>
      <c r="F367" t="s">
        <v>136</v>
      </c>
      <c r="G367">
        <v>9.5</v>
      </c>
      <c r="H367">
        <v>15</v>
      </c>
      <c r="I367" t="s">
        <v>26</v>
      </c>
      <c r="BF367" t="s">
        <v>99</v>
      </c>
    </row>
    <row r="368" spans="1:58" x14ac:dyDescent="0.3">
      <c r="A368" t="s">
        <v>437</v>
      </c>
      <c r="B368" s="5">
        <v>42277</v>
      </c>
      <c r="C368" t="s">
        <v>20</v>
      </c>
      <c r="D368" t="s">
        <v>12</v>
      </c>
      <c r="E368" t="s">
        <v>21</v>
      </c>
      <c r="F368" t="s">
        <v>97</v>
      </c>
      <c r="G368">
        <v>13</v>
      </c>
      <c r="H368">
        <v>30</v>
      </c>
      <c r="I368" t="s">
        <v>15</v>
      </c>
      <c r="BF368" t="s">
        <v>47</v>
      </c>
    </row>
    <row r="369" spans="1:58" x14ac:dyDescent="0.3">
      <c r="A369" t="s">
        <v>438</v>
      </c>
      <c r="B369" s="5">
        <v>42277</v>
      </c>
      <c r="C369" t="s">
        <v>31</v>
      </c>
      <c r="D369" t="s">
        <v>12</v>
      </c>
      <c r="E369" t="s">
        <v>51</v>
      </c>
      <c r="F369" t="s">
        <v>81</v>
      </c>
      <c r="G369">
        <v>38</v>
      </c>
      <c r="H369">
        <v>20</v>
      </c>
      <c r="I369" t="s">
        <v>15</v>
      </c>
      <c r="BF369" t="s">
        <v>22</v>
      </c>
    </row>
    <row r="370" spans="1:58" x14ac:dyDescent="0.3">
      <c r="A370" t="s">
        <v>127</v>
      </c>
      <c r="B370" s="5">
        <v>42289</v>
      </c>
      <c r="C370" t="s">
        <v>20</v>
      </c>
      <c r="D370" t="s">
        <v>12</v>
      </c>
      <c r="E370" t="s">
        <v>17</v>
      </c>
      <c r="F370" t="s">
        <v>128</v>
      </c>
      <c r="G370">
        <v>4.5</v>
      </c>
      <c r="H370">
        <v>35</v>
      </c>
      <c r="I370" t="s">
        <v>15</v>
      </c>
      <c r="BF370" t="s">
        <v>54</v>
      </c>
    </row>
    <row r="371" spans="1:58" x14ac:dyDescent="0.3">
      <c r="A371" t="s">
        <v>439</v>
      </c>
      <c r="B371" s="5">
        <v>42289</v>
      </c>
      <c r="C371" t="s">
        <v>11</v>
      </c>
      <c r="D371" t="s">
        <v>12</v>
      </c>
      <c r="E371" t="s">
        <v>21</v>
      </c>
      <c r="F371" t="s">
        <v>111</v>
      </c>
      <c r="G371">
        <v>22</v>
      </c>
      <c r="H371">
        <v>6</v>
      </c>
      <c r="I371" t="s">
        <v>15</v>
      </c>
      <c r="BF371" t="s">
        <v>22</v>
      </c>
    </row>
    <row r="372" spans="1:58" x14ac:dyDescent="0.3">
      <c r="A372" t="s">
        <v>440</v>
      </c>
      <c r="B372" s="5">
        <v>42289</v>
      </c>
      <c r="C372" t="s">
        <v>31</v>
      </c>
      <c r="D372" t="s">
        <v>12</v>
      </c>
      <c r="E372" t="s">
        <v>34</v>
      </c>
      <c r="F372" t="s">
        <v>339</v>
      </c>
      <c r="G372">
        <v>12.75</v>
      </c>
      <c r="H372">
        <v>24</v>
      </c>
      <c r="I372" t="s">
        <v>15</v>
      </c>
      <c r="BF372" t="s">
        <v>268</v>
      </c>
    </row>
    <row r="373" spans="1:58" x14ac:dyDescent="0.3">
      <c r="A373" t="s">
        <v>441</v>
      </c>
      <c r="B373" s="5">
        <v>42291</v>
      </c>
      <c r="C373" t="s">
        <v>11</v>
      </c>
      <c r="D373" t="s">
        <v>45</v>
      </c>
      <c r="E373" t="s">
        <v>17</v>
      </c>
      <c r="F373" t="s">
        <v>54</v>
      </c>
      <c r="G373">
        <v>15</v>
      </c>
      <c r="H373">
        <v>28</v>
      </c>
      <c r="I373" t="s">
        <v>26</v>
      </c>
      <c r="BF373" t="s">
        <v>81</v>
      </c>
    </row>
    <row r="374" spans="1:58" x14ac:dyDescent="0.3">
      <c r="A374" t="s">
        <v>442</v>
      </c>
      <c r="B374" s="5">
        <v>42291</v>
      </c>
      <c r="C374" t="s">
        <v>20</v>
      </c>
      <c r="D374" t="s">
        <v>45</v>
      </c>
      <c r="E374" t="s">
        <v>51</v>
      </c>
      <c r="F374" t="s">
        <v>81</v>
      </c>
      <c r="G374">
        <v>24</v>
      </c>
      <c r="H374">
        <v>21</v>
      </c>
      <c r="I374" t="s">
        <v>26</v>
      </c>
      <c r="BF374" t="s">
        <v>54</v>
      </c>
    </row>
    <row r="375" spans="1:58" x14ac:dyDescent="0.3">
      <c r="A375" t="s">
        <v>443</v>
      </c>
      <c r="B375" s="5">
        <v>42291</v>
      </c>
      <c r="C375" t="s">
        <v>11</v>
      </c>
      <c r="D375" t="s">
        <v>45</v>
      </c>
      <c r="E375" t="s">
        <v>34</v>
      </c>
      <c r="F375" t="s">
        <v>64</v>
      </c>
      <c r="G375">
        <v>19.5</v>
      </c>
      <c r="H375">
        <v>40</v>
      </c>
      <c r="I375" t="s">
        <v>26</v>
      </c>
      <c r="BF375" t="s">
        <v>81</v>
      </c>
    </row>
    <row r="376" spans="1:58" x14ac:dyDescent="0.3">
      <c r="A376" t="s">
        <v>444</v>
      </c>
      <c r="B376" s="5">
        <v>42292</v>
      </c>
      <c r="C376" t="s">
        <v>11</v>
      </c>
      <c r="D376" t="s">
        <v>12</v>
      </c>
      <c r="E376" t="s">
        <v>21</v>
      </c>
      <c r="F376" t="s">
        <v>47</v>
      </c>
      <c r="G376">
        <v>40</v>
      </c>
      <c r="H376">
        <v>40</v>
      </c>
      <c r="I376" t="s">
        <v>26</v>
      </c>
      <c r="BF376" t="s">
        <v>56</v>
      </c>
    </row>
    <row r="377" spans="1:58" x14ac:dyDescent="0.3">
      <c r="A377" t="s">
        <v>445</v>
      </c>
      <c r="B377" s="5">
        <v>42292</v>
      </c>
      <c r="C377" t="s">
        <v>11</v>
      </c>
      <c r="D377" t="s">
        <v>12</v>
      </c>
      <c r="E377" t="s">
        <v>34</v>
      </c>
      <c r="F377" t="s">
        <v>64</v>
      </c>
      <c r="G377">
        <v>53</v>
      </c>
      <c r="H377">
        <v>28</v>
      </c>
      <c r="I377" t="s">
        <v>26</v>
      </c>
      <c r="BF377" t="s">
        <v>90</v>
      </c>
    </row>
    <row r="378" spans="1:58" x14ac:dyDescent="0.3">
      <c r="A378" t="s">
        <v>446</v>
      </c>
      <c r="B378" s="5">
        <v>42292</v>
      </c>
      <c r="C378" t="s">
        <v>20</v>
      </c>
      <c r="D378" t="s">
        <v>12</v>
      </c>
      <c r="E378" t="s">
        <v>13</v>
      </c>
      <c r="F378" t="s">
        <v>41</v>
      </c>
      <c r="G378">
        <v>34</v>
      </c>
      <c r="H378">
        <v>10</v>
      </c>
      <c r="I378" t="s">
        <v>26</v>
      </c>
      <c r="BF378" t="s">
        <v>268</v>
      </c>
    </row>
    <row r="379" spans="1:58" x14ac:dyDescent="0.3">
      <c r="A379" t="s">
        <v>447</v>
      </c>
      <c r="B379" s="5">
        <v>42299</v>
      </c>
      <c r="C379" t="s">
        <v>28</v>
      </c>
      <c r="D379" t="s">
        <v>24</v>
      </c>
      <c r="E379" t="s">
        <v>21</v>
      </c>
      <c r="F379" t="s">
        <v>22</v>
      </c>
      <c r="G379">
        <v>28.5</v>
      </c>
      <c r="H379">
        <v>10</v>
      </c>
      <c r="I379" t="s">
        <v>26</v>
      </c>
      <c r="BF379" t="s">
        <v>14</v>
      </c>
    </row>
    <row r="380" spans="1:58" x14ac:dyDescent="0.3">
      <c r="A380" t="s">
        <v>448</v>
      </c>
      <c r="B380" s="5">
        <v>42299</v>
      </c>
      <c r="C380" t="s">
        <v>20</v>
      </c>
      <c r="D380" t="s">
        <v>24</v>
      </c>
      <c r="E380" t="s">
        <v>34</v>
      </c>
      <c r="F380" t="s">
        <v>241</v>
      </c>
      <c r="G380">
        <v>10</v>
      </c>
      <c r="H380">
        <v>5</v>
      </c>
      <c r="I380" t="s">
        <v>26</v>
      </c>
      <c r="BF380" t="s">
        <v>118</v>
      </c>
    </row>
    <row r="381" spans="1:58" x14ac:dyDescent="0.3">
      <c r="A381" t="s">
        <v>449</v>
      </c>
      <c r="B381" s="5">
        <v>42303</v>
      </c>
      <c r="C381" t="s">
        <v>28</v>
      </c>
      <c r="D381" t="s">
        <v>12</v>
      </c>
      <c r="E381" t="s">
        <v>17</v>
      </c>
      <c r="F381" t="s">
        <v>72</v>
      </c>
      <c r="G381">
        <v>18</v>
      </c>
      <c r="H381">
        <v>21</v>
      </c>
      <c r="I381" t="s">
        <v>26</v>
      </c>
      <c r="BF381" t="s">
        <v>52</v>
      </c>
    </row>
    <row r="382" spans="1:58" x14ac:dyDescent="0.3">
      <c r="A382" t="s">
        <v>450</v>
      </c>
      <c r="B382" s="5">
        <v>42303</v>
      </c>
      <c r="C382" t="s">
        <v>11</v>
      </c>
      <c r="D382" t="s">
        <v>12</v>
      </c>
      <c r="E382" t="s">
        <v>13</v>
      </c>
      <c r="F382" t="s">
        <v>124</v>
      </c>
      <c r="G382">
        <v>21.5</v>
      </c>
      <c r="H382">
        <v>8</v>
      </c>
      <c r="I382" t="s">
        <v>26</v>
      </c>
      <c r="BF382" t="s">
        <v>66</v>
      </c>
    </row>
    <row r="383" spans="1:58" x14ac:dyDescent="0.3">
      <c r="A383" t="s">
        <v>451</v>
      </c>
      <c r="B383" s="5">
        <v>42306</v>
      </c>
      <c r="C383" t="s">
        <v>11</v>
      </c>
      <c r="D383" t="s">
        <v>12</v>
      </c>
      <c r="E383" t="s">
        <v>51</v>
      </c>
      <c r="F383" t="s">
        <v>81</v>
      </c>
      <c r="G383">
        <v>24</v>
      </c>
      <c r="H383">
        <v>6</v>
      </c>
      <c r="I383" t="s">
        <v>26</v>
      </c>
      <c r="BF383" t="s">
        <v>81</v>
      </c>
    </row>
    <row r="384" spans="1:58" x14ac:dyDescent="0.3">
      <c r="A384" t="s">
        <v>452</v>
      </c>
      <c r="B384" s="5">
        <v>42306</v>
      </c>
      <c r="C384" t="s">
        <v>20</v>
      </c>
      <c r="D384" t="s">
        <v>12</v>
      </c>
      <c r="E384" t="s">
        <v>51</v>
      </c>
      <c r="F384" t="s">
        <v>81</v>
      </c>
      <c r="G384">
        <v>7</v>
      </c>
      <c r="H384">
        <v>4</v>
      </c>
      <c r="I384" t="s">
        <v>26</v>
      </c>
      <c r="BF384" t="s">
        <v>81</v>
      </c>
    </row>
    <row r="385" spans="1:58" x14ac:dyDescent="0.3">
      <c r="A385" t="s">
        <v>453</v>
      </c>
      <c r="B385" s="5">
        <v>42306</v>
      </c>
      <c r="C385" t="s">
        <v>28</v>
      </c>
      <c r="D385" t="s">
        <v>12</v>
      </c>
      <c r="E385" t="s">
        <v>51</v>
      </c>
      <c r="F385" t="s">
        <v>81</v>
      </c>
      <c r="G385">
        <v>9.65</v>
      </c>
      <c r="H385">
        <v>12</v>
      </c>
      <c r="I385" t="s">
        <v>26</v>
      </c>
      <c r="BF385" t="s">
        <v>75</v>
      </c>
    </row>
    <row r="386" spans="1:58" x14ac:dyDescent="0.3">
      <c r="A386" t="s">
        <v>454</v>
      </c>
      <c r="B386" s="5">
        <v>42309</v>
      </c>
      <c r="C386" t="s">
        <v>28</v>
      </c>
      <c r="D386" t="s">
        <v>45</v>
      </c>
      <c r="E386" t="s">
        <v>13</v>
      </c>
      <c r="F386" t="s">
        <v>14</v>
      </c>
      <c r="G386">
        <v>21</v>
      </c>
      <c r="H386">
        <v>5</v>
      </c>
      <c r="I386" t="s">
        <v>15</v>
      </c>
      <c r="BF386" t="s">
        <v>14</v>
      </c>
    </row>
    <row r="387" spans="1:58" x14ac:dyDescent="0.3">
      <c r="A387" t="s">
        <v>455</v>
      </c>
      <c r="B387" s="5">
        <v>42310</v>
      </c>
      <c r="C387" t="s">
        <v>28</v>
      </c>
      <c r="D387" t="s">
        <v>12</v>
      </c>
      <c r="E387" t="s">
        <v>51</v>
      </c>
      <c r="F387" t="s">
        <v>81</v>
      </c>
      <c r="G387">
        <v>24</v>
      </c>
      <c r="H387">
        <v>12</v>
      </c>
      <c r="I387" t="s">
        <v>26</v>
      </c>
      <c r="BF387" t="s">
        <v>22</v>
      </c>
    </row>
    <row r="388" spans="1:58" x14ac:dyDescent="0.3">
      <c r="A388" t="s">
        <v>456</v>
      </c>
      <c r="B388" s="5">
        <v>42310</v>
      </c>
      <c r="C388" t="s">
        <v>28</v>
      </c>
      <c r="D388" t="s">
        <v>12</v>
      </c>
      <c r="E388" t="s">
        <v>21</v>
      </c>
      <c r="F388" t="s">
        <v>22</v>
      </c>
      <c r="G388">
        <v>25.89</v>
      </c>
      <c r="H388">
        <v>15</v>
      </c>
      <c r="I388" t="s">
        <v>26</v>
      </c>
      <c r="BF388" t="s">
        <v>22</v>
      </c>
    </row>
    <row r="389" spans="1:58" x14ac:dyDescent="0.3">
      <c r="A389" t="s">
        <v>457</v>
      </c>
      <c r="B389" s="5">
        <v>42310</v>
      </c>
      <c r="C389" t="s">
        <v>11</v>
      </c>
      <c r="D389" t="s">
        <v>12</v>
      </c>
      <c r="E389" t="s">
        <v>51</v>
      </c>
      <c r="F389" t="s">
        <v>81</v>
      </c>
      <c r="G389">
        <v>18.399999999999999</v>
      </c>
      <c r="H389">
        <v>6</v>
      </c>
      <c r="I389" t="s">
        <v>26</v>
      </c>
      <c r="BF389" t="s">
        <v>241</v>
      </c>
    </row>
    <row r="390" spans="1:58" x14ac:dyDescent="0.3">
      <c r="A390" t="s">
        <v>458</v>
      </c>
      <c r="B390" s="5">
        <v>42313</v>
      </c>
      <c r="C390" t="s">
        <v>20</v>
      </c>
      <c r="D390" t="s">
        <v>12</v>
      </c>
      <c r="E390" t="s">
        <v>17</v>
      </c>
      <c r="F390" t="s">
        <v>134</v>
      </c>
      <c r="G390">
        <v>18</v>
      </c>
      <c r="H390">
        <v>20</v>
      </c>
      <c r="I390" t="s">
        <v>26</v>
      </c>
      <c r="BF390" t="s">
        <v>54</v>
      </c>
    </row>
    <row r="391" spans="1:58" x14ac:dyDescent="0.3">
      <c r="A391" t="s">
        <v>459</v>
      </c>
      <c r="B391" s="5">
        <v>42313</v>
      </c>
      <c r="C391" t="s">
        <v>11</v>
      </c>
      <c r="D391" t="s">
        <v>12</v>
      </c>
      <c r="E391" t="s">
        <v>21</v>
      </c>
      <c r="F391" t="s">
        <v>39</v>
      </c>
      <c r="G391">
        <v>25</v>
      </c>
      <c r="H391">
        <v>30</v>
      </c>
      <c r="I391" t="s">
        <v>26</v>
      </c>
      <c r="BF391" t="s">
        <v>241</v>
      </c>
    </row>
    <row r="392" spans="1:58" x14ac:dyDescent="0.3">
      <c r="A392" t="s">
        <v>460</v>
      </c>
      <c r="B392" s="5">
        <v>42313</v>
      </c>
      <c r="C392" t="s">
        <v>20</v>
      </c>
      <c r="D392" t="s">
        <v>12</v>
      </c>
      <c r="E392" t="s">
        <v>13</v>
      </c>
      <c r="F392" t="s">
        <v>14</v>
      </c>
      <c r="G392">
        <v>25.89</v>
      </c>
      <c r="H392">
        <v>15</v>
      </c>
      <c r="I392" t="s">
        <v>26</v>
      </c>
      <c r="BF392" t="s">
        <v>113</v>
      </c>
    </row>
    <row r="393" spans="1:58" x14ac:dyDescent="0.3">
      <c r="A393" t="s">
        <v>461</v>
      </c>
      <c r="B393" s="5">
        <v>42326</v>
      </c>
      <c r="C393" t="s">
        <v>31</v>
      </c>
      <c r="D393" t="s">
        <v>45</v>
      </c>
      <c r="E393" t="s">
        <v>17</v>
      </c>
      <c r="F393" t="s">
        <v>134</v>
      </c>
      <c r="G393">
        <v>18</v>
      </c>
      <c r="H393">
        <v>10</v>
      </c>
      <c r="I393" t="s">
        <v>26</v>
      </c>
      <c r="BF393" t="s">
        <v>54</v>
      </c>
    </row>
    <row r="394" spans="1:58" x14ac:dyDescent="0.3">
      <c r="A394" t="s">
        <v>462</v>
      </c>
      <c r="B394" s="5">
        <v>42326</v>
      </c>
      <c r="C394" t="s">
        <v>11</v>
      </c>
      <c r="D394" t="s">
        <v>45</v>
      </c>
      <c r="E394" t="s">
        <v>34</v>
      </c>
      <c r="F394" t="s">
        <v>64</v>
      </c>
      <c r="G394">
        <v>38</v>
      </c>
      <c r="H394">
        <v>15</v>
      </c>
      <c r="I394" t="s">
        <v>26</v>
      </c>
      <c r="BF394" t="s">
        <v>22</v>
      </c>
    </row>
    <row r="395" spans="1:58" x14ac:dyDescent="0.3">
      <c r="A395" t="s">
        <v>463</v>
      </c>
      <c r="B395" s="5">
        <v>42326</v>
      </c>
      <c r="C395" t="s">
        <v>28</v>
      </c>
      <c r="D395" t="s">
        <v>45</v>
      </c>
      <c r="E395" t="s">
        <v>13</v>
      </c>
      <c r="F395" t="s">
        <v>66</v>
      </c>
      <c r="G395">
        <v>55</v>
      </c>
      <c r="H395">
        <v>6</v>
      </c>
      <c r="I395" t="s">
        <v>26</v>
      </c>
      <c r="BF395" t="s">
        <v>138</v>
      </c>
    </row>
    <row r="396" spans="1:58" x14ac:dyDescent="0.3">
      <c r="A396" t="s">
        <v>464</v>
      </c>
      <c r="B396" s="5">
        <v>42330</v>
      </c>
      <c r="C396" t="s">
        <v>28</v>
      </c>
      <c r="D396" t="s">
        <v>45</v>
      </c>
      <c r="E396" t="s">
        <v>17</v>
      </c>
      <c r="F396" t="s">
        <v>79</v>
      </c>
      <c r="G396">
        <v>18</v>
      </c>
      <c r="H396">
        <v>8</v>
      </c>
      <c r="I396" t="s">
        <v>26</v>
      </c>
      <c r="BF396" t="s">
        <v>97</v>
      </c>
    </row>
    <row r="397" spans="1:58" x14ac:dyDescent="0.3">
      <c r="A397" t="s">
        <v>465</v>
      </c>
      <c r="B397" s="5">
        <v>42330</v>
      </c>
      <c r="C397" t="s">
        <v>11</v>
      </c>
      <c r="D397" t="s">
        <v>45</v>
      </c>
      <c r="E397" t="s">
        <v>13</v>
      </c>
      <c r="F397" t="s">
        <v>186</v>
      </c>
      <c r="G397">
        <v>36</v>
      </c>
      <c r="H397">
        <v>3</v>
      </c>
      <c r="I397" t="s">
        <v>26</v>
      </c>
      <c r="BF397" t="s">
        <v>77</v>
      </c>
    </row>
    <row r="398" spans="1:58" x14ac:dyDescent="0.3">
      <c r="A398" t="s">
        <v>466</v>
      </c>
      <c r="B398" s="5">
        <v>42344</v>
      </c>
      <c r="C398" t="s">
        <v>28</v>
      </c>
      <c r="D398" t="s">
        <v>45</v>
      </c>
      <c r="E398" t="s">
        <v>13</v>
      </c>
      <c r="F398" t="s">
        <v>14</v>
      </c>
      <c r="G398">
        <v>21</v>
      </c>
      <c r="H398">
        <v>4</v>
      </c>
      <c r="I398" t="s">
        <v>26</v>
      </c>
      <c r="BF398" t="s">
        <v>66</v>
      </c>
    </row>
    <row r="399" spans="1:58" x14ac:dyDescent="0.3">
      <c r="A399" t="s">
        <v>467</v>
      </c>
      <c r="B399" s="5">
        <v>42344</v>
      </c>
      <c r="C399" t="s">
        <v>11</v>
      </c>
      <c r="D399" t="s">
        <v>45</v>
      </c>
      <c r="E399" t="s">
        <v>13</v>
      </c>
      <c r="F399" t="s">
        <v>99</v>
      </c>
      <c r="G399">
        <v>12.5</v>
      </c>
      <c r="H399">
        <v>50</v>
      </c>
      <c r="I399" t="s">
        <v>26</v>
      </c>
      <c r="BF399" t="s">
        <v>99</v>
      </c>
    </row>
    <row r="400" spans="1:58" x14ac:dyDescent="0.3">
      <c r="A400" t="s">
        <v>468</v>
      </c>
      <c r="B400" s="5">
        <v>42344</v>
      </c>
      <c r="C400" t="s">
        <v>28</v>
      </c>
      <c r="D400" t="s">
        <v>45</v>
      </c>
      <c r="E400" t="s">
        <v>13</v>
      </c>
      <c r="F400" t="s">
        <v>124</v>
      </c>
      <c r="G400">
        <v>21.5</v>
      </c>
      <c r="H400">
        <v>12</v>
      </c>
      <c r="I400" t="s">
        <v>26</v>
      </c>
      <c r="BF400" t="s">
        <v>14</v>
      </c>
    </row>
    <row r="401" spans="1:58" x14ac:dyDescent="0.3">
      <c r="A401" t="s">
        <v>469</v>
      </c>
      <c r="B401" s="5">
        <v>42345</v>
      </c>
      <c r="C401" t="s">
        <v>20</v>
      </c>
      <c r="D401" t="s">
        <v>12</v>
      </c>
      <c r="E401" t="s">
        <v>13</v>
      </c>
      <c r="F401" t="s">
        <v>14</v>
      </c>
      <c r="G401">
        <v>21</v>
      </c>
      <c r="H401">
        <v>15</v>
      </c>
      <c r="I401" t="s">
        <v>26</v>
      </c>
      <c r="BF401" t="s">
        <v>18</v>
      </c>
    </row>
    <row r="402" spans="1:58" x14ac:dyDescent="0.3">
      <c r="A402" t="s">
        <v>470</v>
      </c>
      <c r="B402" s="5">
        <v>42351</v>
      </c>
      <c r="C402" t="s">
        <v>20</v>
      </c>
      <c r="D402" t="s">
        <v>12</v>
      </c>
      <c r="E402" t="s">
        <v>51</v>
      </c>
      <c r="F402" t="s">
        <v>81</v>
      </c>
      <c r="G402">
        <v>14</v>
      </c>
      <c r="H402">
        <v>20</v>
      </c>
      <c r="I402" t="s">
        <v>26</v>
      </c>
      <c r="BF402" t="s">
        <v>14</v>
      </c>
    </row>
    <row r="403" spans="1:58" x14ac:dyDescent="0.3">
      <c r="A403" t="s">
        <v>471</v>
      </c>
      <c r="B403" s="5">
        <v>42353</v>
      </c>
      <c r="C403" t="s">
        <v>31</v>
      </c>
      <c r="D403" t="s">
        <v>24</v>
      </c>
      <c r="E403" t="s">
        <v>13</v>
      </c>
      <c r="F403" t="s">
        <v>99</v>
      </c>
      <c r="G403">
        <v>12.5</v>
      </c>
      <c r="H403">
        <v>1</v>
      </c>
      <c r="I403" t="s">
        <v>26</v>
      </c>
      <c r="BF403" t="s">
        <v>56</v>
      </c>
    </row>
    <row r="404" spans="1:58" x14ac:dyDescent="0.3">
      <c r="A404" t="s">
        <v>472</v>
      </c>
      <c r="B404" s="5">
        <v>42354</v>
      </c>
      <c r="C404" t="s">
        <v>11</v>
      </c>
      <c r="D404" t="s">
        <v>12</v>
      </c>
      <c r="E404" t="s">
        <v>17</v>
      </c>
      <c r="F404" t="s">
        <v>32</v>
      </c>
      <c r="G404">
        <v>263.5</v>
      </c>
      <c r="H404">
        <v>5</v>
      </c>
      <c r="I404" t="s">
        <v>26</v>
      </c>
      <c r="BF404" t="s">
        <v>87</v>
      </c>
    </row>
    <row r="405" spans="1:58" x14ac:dyDescent="0.3">
      <c r="A405" t="s">
        <v>473</v>
      </c>
      <c r="B405" s="5">
        <v>42354</v>
      </c>
      <c r="C405" t="s">
        <v>11</v>
      </c>
      <c r="D405" t="s">
        <v>12</v>
      </c>
      <c r="E405" t="s">
        <v>13</v>
      </c>
      <c r="F405" t="s">
        <v>99</v>
      </c>
      <c r="G405">
        <v>12.5</v>
      </c>
      <c r="H405">
        <v>10</v>
      </c>
      <c r="I405" t="s">
        <v>26</v>
      </c>
      <c r="BF405" t="s">
        <v>124</v>
      </c>
    </row>
    <row r="406" spans="1:58" x14ac:dyDescent="0.3">
      <c r="A406" t="s">
        <v>474</v>
      </c>
      <c r="B406" s="5">
        <v>42355</v>
      </c>
      <c r="C406" t="s">
        <v>20</v>
      </c>
      <c r="D406" t="s">
        <v>12</v>
      </c>
      <c r="E406" t="s">
        <v>21</v>
      </c>
      <c r="F406" t="s">
        <v>47</v>
      </c>
      <c r="G406">
        <v>40</v>
      </c>
      <c r="H406">
        <v>30</v>
      </c>
      <c r="I406" t="s">
        <v>15</v>
      </c>
      <c r="BF406" t="s">
        <v>81</v>
      </c>
    </row>
    <row r="407" spans="1:58" x14ac:dyDescent="0.3">
      <c r="A407" t="s">
        <v>475</v>
      </c>
      <c r="B407" s="5">
        <v>42355</v>
      </c>
      <c r="C407" t="s">
        <v>28</v>
      </c>
      <c r="D407" t="s">
        <v>12</v>
      </c>
      <c r="E407" t="s">
        <v>21</v>
      </c>
      <c r="F407" t="s">
        <v>22</v>
      </c>
      <c r="G407">
        <v>25.89</v>
      </c>
      <c r="H407">
        <v>15</v>
      </c>
      <c r="I407" t="s">
        <v>15</v>
      </c>
      <c r="BF407" t="s">
        <v>54</v>
      </c>
    </row>
    <row r="408" spans="1:58" x14ac:dyDescent="0.3">
      <c r="A408" t="s">
        <v>476</v>
      </c>
      <c r="B408" s="5">
        <v>42358</v>
      </c>
      <c r="C408" t="s">
        <v>31</v>
      </c>
      <c r="D408" t="s">
        <v>12</v>
      </c>
      <c r="E408" t="s">
        <v>17</v>
      </c>
      <c r="F408" t="s">
        <v>54</v>
      </c>
      <c r="G408">
        <v>30</v>
      </c>
      <c r="H408">
        <v>3</v>
      </c>
      <c r="I408" t="s">
        <v>15</v>
      </c>
      <c r="BF408" t="s">
        <v>54</v>
      </c>
    </row>
    <row r="409" spans="1:58" x14ac:dyDescent="0.3">
      <c r="A409" t="s">
        <v>477</v>
      </c>
      <c r="B409" s="5">
        <v>42358</v>
      </c>
      <c r="C409" t="s">
        <v>20</v>
      </c>
      <c r="D409" t="s">
        <v>12</v>
      </c>
      <c r="E409" t="s">
        <v>21</v>
      </c>
      <c r="F409" t="s">
        <v>22</v>
      </c>
      <c r="G409">
        <v>38</v>
      </c>
      <c r="H409">
        <v>20</v>
      </c>
      <c r="I409" t="s">
        <v>15</v>
      </c>
      <c r="BF409" t="s">
        <v>22</v>
      </c>
    </row>
    <row r="410" spans="1:58" x14ac:dyDescent="0.3">
      <c r="A410" t="s">
        <v>478</v>
      </c>
      <c r="B410" s="5">
        <v>42360</v>
      </c>
      <c r="C410" t="s">
        <v>11</v>
      </c>
      <c r="D410" t="s">
        <v>12</v>
      </c>
      <c r="E410" t="s">
        <v>51</v>
      </c>
      <c r="F410" t="s">
        <v>268</v>
      </c>
      <c r="G410">
        <v>7.45</v>
      </c>
      <c r="H410">
        <v>6</v>
      </c>
      <c r="I410" t="s">
        <v>15</v>
      </c>
      <c r="BF410" t="s">
        <v>14</v>
      </c>
    </row>
    <row r="411" spans="1:58" x14ac:dyDescent="0.3">
      <c r="A411" t="s">
        <v>479</v>
      </c>
      <c r="B411" s="5">
        <v>42360</v>
      </c>
      <c r="C411" t="s">
        <v>11</v>
      </c>
      <c r="D411" t="s">
        <v>12</v>
      </c>
      <c r="E411" t="s">
        <v>51</v>
      </c>
      <c r="F411" t="s">
        <v>81</v>
      </c>
      <c r="G411">
        <v>23.25</v>
      </c>
      <c r="H411">
        <v>15</v>
      </c>
      <c r="I411" t="s">
        <v>15</v>
      </c>
      <c r="BF411" t="s">
        <v>22</v>
      </c>
    </row>
    <row r="412" spans="1:58" x14ac:dyDescent="0.3">
      <c r="A412" t="s">
        <v>480</v>
      </c>
      <c r="B412" s="5">
        <v>42360</v>
      </c>
      <c r="C412" t="s">
        <v>28</v>
      </c>
      <c r="D412" t="s">
        <v>45</v>
      </c>
      <c r="E412" t="s">
        <v>17</v>
      </c>
      <c r="F412" t="s">
        <v>54</v>
      </c>
      <c r="G412">
        <v>7</v>
      </c>
      <c r="H412">
        <v>8</v>
      </c>
      <c r="I412" t="s">
        <v>26</v>
      </c>
      <c r="BF412" t="s">
        <v>81</v>
      </c>
    </row>
    <row r="413" spans="1:58" x14ac:dyDescent="0.3">
      <c r="A413" t="s">
        <v>481</v>
      </c>
      <c r="B413" s="5">
        <v>42360</v>
      </c>
      <c r="C413" t="s">
        <v>28</v>
      </c>
      <c r="D413" t="s">
        <v>45</v>
      </c>
      <c r="E413" t="s">
        <v>51</v>
      </c>
      <c r="F413" t="s">
        <v>81</v>
      </c>
      <c r="G413">
        <v>9.65</v>
      </c>
      <c r="H413">
        <v>14</v>
      </c>
      <c r="I413" t="s">
        <v>26</v>
      </c>
      <c r="BF413" t="s">
        <v>128</v>
      </c>
    </row>
    <row r="414" spans="1:58" x14ac:dyDescent="0.3">
      <c r="A414" t="s">
        <v>482</v>
      </c>
      <c r="B414" s="5">
        <v>42362</v>
      </c>
      <c r="C414" t="s">
        <v>31</v>
      </c>
      <c r="D414" t="s">
        <v>45</v>
      </c>
      <c r="E414" t="s">
        <v>13</v>
      </c>
      <c r="F414" t="s">
        <v>56</v>
      </c>
      <c r="G414">
        <v>34.799999999999997</v>
      </c>
      <c r="H414">
        <v>10</v>
      </c>
      <c r="I414" t="s">
        <v>15</v>
      </c>
      <c r="BF414" t="s">
        <v>22</v>
      </c>
    </row>
    <row r="415" spans="1:58" x14ac:dyDescent="0.3">
      <c r="A415" t="s">
        <v>483</v>
      </c>
      <c r="B415" s="5">
        <v>42362</v>
      </c>
      <c r="C415" t="s">
        <v>28</v>
      </c>
      <c r="D415" t="s">
        <v>45</v>
      </c>
      <c r="E415" t="s">
        <v>34</v>
      </c>
      <c r="F415" t="s">
        <v>90</v>
      </c>
      <c r="G415">
        <v>49.3</v>
      </c>
      <c r="H415">
        <v>2</v>
      </c>
      <c r="I415" t="s">
        <v>15</v>
      </c>
      <c r="BF415" t="s">
        <v>113</v>
      </c>
    </row>
    <row r="416" spans="1:58" x14ac:dyDescent="0.3">
      <c r="A416" t="s">
        <v>484</v>
      </c>
      <c r="B416" s="5">
        <v>42362</v>
      </c>
      <c r="C416" t="s">
        <v>28</v>
      </c>
      <c r="D416" t="s">
        <v>45</v>
      </c>
      <c r="E416" t="s">
        <v>51</v>
      </c>
      <c r="F416" t="s">
        <v>268</v>
      </c>
      <c r="G416">
        <v>7.45</v>
      </c>
      <c r="H416">
        <v>7</v>
      </c>
      <c r="I416" t="s">
        <v>26</v>
      </c>
      <c r="BF416" t="s">
        <v>124</v>
      </c>
    </row>
    <row r="417" spans="1:58" x14ac:dyDescent="0.3">
      <c r="A417" t="s">
        <v>485</v>
      </c>
      <c r="B417" s="5">
        <v>42362</v>
      </c>
      <c r="C417" t="s">
        <v>31</v>
      </c>
      <c r="D417" t="s">
        <v>45</v>
      </c>
      <c r="E417" t="s">
        <v>34</v>
      </c>
      <c r="F417" t="s">
        <v>64</v>
      </c>
      <c r="G417">
        <v>53</v>
      </c>
      <c r="H417">
        <v>10</v>
      </c>
      <c r="I417" t="s">
        <v>26</v>
      </c>
      <c r="BF417" t="s">
        <v>41</v>
      </c>
    </row>
    <row r="418" spans="1:58" x14ac:dyDescent="0.3">
      <c r="A418" t="s">
        <v>486</v>
      </c>
      <c r="B418" s="5">
        <v>42362</v>
      </c>
      <c r="C418" t="s">
        <v>20</v>
      </c>
      <c r="D418" t="s">
        <v>45</v>
      </c>
      <c r="E418" t="s">
        <v>13</v>
      </c>
      <c r="F418" t="s">
        <v>14</v>
      </c>
      <c r="G418">
        <v>21</v>
      </c>
      <c r="H418">
        <v>50</v>
      </c>
      <c r="I418" t="s">
        <v>26</v>
      </c>
      <c r="BF418" t="s">
        <v>75</v>
      </c>
    </row>
    <row r="419" spans="1:58" x14ac:dyDescent="0.3">
      <c r="A419" t="s">
        <v>487</v>
      </c>
      <c r="B419" s="5">
        <v>42365</v>
      </c>
      <c r="C419" t="s">
        <v>11</v>
      </c>
      <c r="D419" t="s">
        <v>85</v>
      </c>
      <c r="E419" t="s">
        <v>51</v>
      </c>
      <c r="F419" t="s">
        <v>118</v>
      </c>
      <c r="G419">
        <v>39</v>
      </c>
      <c r="H419">
        <v>40</v>
      </c>
      <c r="I419" t="s">
        <v>26</v>
      </c>
      <c r="BF419" t="s">
        <v>81</v>
      </c>
    </row>
    <row r="420" spans="1:58" x14ac:dyDescent="0.3">
      <c r="A420" t="s">
        <v>488</v>
      </c>
      <c r="B420" s="5">
        <v>42365</v>
      </c>
      <c r="C420" t="s">
        <v>11</v>
      </c>
      <c r="D420" t="s">
        <v>85</v>
      </c>
      <c r="E420" t="s">
        <v>51</v>
      </c>
      <c r="F420" t="s">
        <v>52</v>
      </c>
      <c r="G420">
        <v>123.79</v>
      </c>
      <c r="H420">
        <v>20</v>
      </c>
      <c r="I420" t="s">
        <v>26</v>
      </c>
      <c r="BF420" t="s">
        <v>54</v>
      </c>
    </row>
    <row r="421" spans="1:58" x14ac:dyDescent="0.3">
      <c r="A421" t="s">
        <v>489</v>
      </c>
      <c r="B421" s="5">
        <v>42366</v>
      </c>
      <c r="C421" t="s">
        <v>20</v>
      </c>
      <c r="D421" t="s">
        <v>12</v>
      </c>
      <c r="E421" t="s">
        <v>13</v>
      </c>
      <c r="F421" t="s">
        <v>66</v>
      </c>
      <c r="G421">
        <v>55</v>
      </c>
      <c r="H421">
        <v>15</v>
      </c>
      <c r="I421" t="s">
        <v>15</v>
      </c>
      <c r="BF421" t="s">
        <v>241</v>
      </c>
    </row>
    <row r="422" spans="1:58" x14ac:dyDescent="0.3">
      <c r="A422" t="s">
        <v>490</v>
      </c>
      <c r="B422" s="5">
        <v>42366</v>
      </c>
      <c r="C422" t="s">
        <v>11</v>
      </c>
      <c r="D422" t="s">
        <v>12</v>
      </c>
      <c r="E422" t="s">
        <v>34</v>
      </c>
      <c r="F422" t="s">
        <v>188</v>
      </c>
      <c r="G422">
        <v>9.1999999999999993</v>
      </c>
      <c r="H422">
        <v>24</v>
      </c>
      <c r="I422" t="s">
        <v>15</v>
      </c>
      <c r="BF422" t="s">
        <v>268</v>
      </c>
    </row>
    <row r="423" spans="1:58" x14ac:dyDescent="0.3">
      <c r="A423" t="s">
        <v>491</v>
      </c>
      <c r="B423" s="5">
        <v>42366</v>
      </c>
      <c r="C423" t="s">
        <v>20</v>
      </c>
      <c r="D423" t="s">
        <v>12</v>
      </c>
      <c r="E423" t="s">
        <v>34</v>
      </c>
      <c r="F423" t="s">
        <v>68</v>
      </c>
      <c r="G423">
        <v>14</v>
      </c>
      <c r="H423">
        <v>15</v>
      </c>
      <c r="I423" t="s">
        <v>15</v>
      </c>
      <c r="BF423" t="s">
        <v>54</v>
      </c>
    </row>
    <row r="424" spans="1:58" x14ac:dyDescent="0.3">
      <c r="A424" t="s">
        <v>492</v>
      </c>
      <c r="B424" s="5">
        <v>42366</v>
      </c>
      <c r="C424" t="s">
        <v>28</v>
      </c>
      <c r="D424" t="s">
        <v>45</v>
      </c>
      <c r="E424" t="s">
        <v>51</v>
      </c>
      <c r="F424" t="s">
        <v>81</v>
      </c>
      <c r="G424">
        <v>45.6</v>
      </c>
      <c r="H424">
        <v>24</v>
      </c>
      <c r="I424" t="s">
        <v>26</v>
      </c>
      <c r="BF424" t="s">
        <v>99</v>
      </c>
    </row>
    <row r="425" spans="1:58" x14ac:dyDescent="0.3">
      <c r="A425" t="s">
        <v>493</v>
      </c>
      <c r="B425" s="5">
        <v>42366</v>
      </c>
      <c r="C425" t="s">
        <v>31</v>
      </c>
      <c r="D425" t="s">
        <v>45</v>
      </c>
      <c r="E425" t="s">
        <v>51</v>
      </c>
      <c r="F425" t="s">
        <v>81</v>
      </c>
      <c r="G425">
        <v>31</v>
      </c>
      <c r="H425">
        <v>36</v>
      </c>
      <c r="I425" t="s">
        <v>26</v>
      </c>
      <c r="BF425" t="s">
        <v>128</v>
      </c>
    </row>
    <row r="426" spans="1:58" x14ac:dyDescent="0.3">
      <c r="A426" t="s">
        <v>494</v>
      </c>
      <c r="B426" s="5">
        <v>42366</v>
      </c>
      <c r="C426" t="s">
        <v>11</v>
      </c>
      <c r="D426" t="s">
        <v>45</v>
      </c>
      <c r="E426" t="s">
        <v>34</v>
      </c>
      <c r="F426" t="s">
        <v>75</v>
      </c>
      <c r="G426">
        <v>20</v>
      </c>
      <c r="H426">
        <v>4</v>
      </c>
      <c r="I426" t="s">
        <v>26</v>
      </c>
      <c r="BF426" t="s">
        <v>41</v>
      </c>
    </row>
    <row r="427" spans="1:58" x14ac:dyDescent="0.3">
      <c r="A427" t="s">
        <v>495</v>
      </c>
      <c r="B427" s="5">
        <v>42005</v>
      </c>
      <c r="C427" t="s">
        <v>11</v>
      </c>
      <c r="D427" t="s">
        <v>12</v>
      </c>
      <c r="E427" t="s">
        <v>13</v>
      </c>
      <c r="F427" t="s">
        <v>14</v>
      </c>
      <c r="G427">
        <v>45.6</v>
      </c>
      <c r="H427">
        <v>126</v>
      </c>
      <c r="I427" t="s">
        <v>15</v>
      </c>
      <c r="BF427" t="s">
        <v>81</v>
      </c>
    </row>
    <row r="428" spans="1:58" x14ac:dyDescent="0.3">
      <c r="A428" t="s">
        <v>496</v>
      </c>
      <c r="B428" s="5">
        <v>42005</v>
      </c>
      <c r="C428" t="s">
        <v>20</v>
      </c>
      <c r="D428" t="s">
        <v>12</v>
      </c>
      <c r="E428" t="s">
        <v>21</v>
      </c>
      <c r="F428" t="s">
        <v>22</v>
      </c>
      <c r="G428">
        <v>19</v>
      </c>
      <c r="H428">
        <v>45</v>
      </c>
      <c r="I428" t="s">
        <v>15</v>
      </c>
      <c r="BF428" t="s">
        <v>136</v>
      </c>
    </row>
    <row r="429" spans="1:58" x14ac:dyDescent="0.3">
      <c r="A429" t="s">
        <v>497</v>
      </c>
      <c r="B429" s="5">
        <v>42005</v>
      </c>
      <c r="C429" t="s">
        <v>20</v>
      </c>
      <c r="D429" t="s">
        <v>12</v>
      </c>
      <c r="E429" t="s">
        <v>21</v>
      </c>
      <c r="F429" t="s">
        <v>22</v>
      </c>
      <c r="G429">
        <v>18.399999999999999</v>
      </c>
      <c r="H429">
        <v>14</v>
      </c>
      <c r="I429" t="s">
        <v>15</v>
      </c>
      <c r="BF429" t="s">
        <v>54</v>
      </c>
    </row>
    <row r="430" spans="1:58" x14ac:dyDescent="0.3">
      <c r="A430" t="s">
        <v>498</v>
      </c>
      <c r="B430" s="5">
        <v>42005</v>
      </c>
      <c r="C430" t="s">
        <v>20</v>
      </c>
      <c r="D430" t="s">
        <v>12</v>
      </c>
      <c r="E430" t="s">
        <v>34</v>
      </c>
      <c r="F430" t="s">
        <v>241</v>
      </c>
      <c r="G430">
        <v>10</v>
      </c>
      <c r="H430">
        <v>120</v>
      </c>
      <c r="I430" t="s">
        <v>15</v>
      </c>
      <c r="BF430" t="s">
        <v>14</v>
      </c>
    </row>
    <row r="431" spans="1:58" x14ac:dyDescent="0.3">
      <c r="A431" t="s">
        <v>499</v>
      </c>
      <c r="B431" s="5">
        <v>42007</v>
      </c>
      <c r="C431" t="s">
        <v>20</v>
      </c>
      <c r="D431" t="s">
        <v>24</v>
      </c>
      <c r="E431" t="s">
        <v>17</v>
      </c>
      <c r="F431" t="s">
        <v>54</v>
      </c>
      <c r="G431">
        <v>23.25</v>
      </c>
      <c r="H431">
        <v>36</v>
      </c>
      <c r="I431" t="s">
        <v>15</v>
      </c>
      <c r="BF431" t="s">
        <v>66</v>
      </c>
    </row>
    <row r="432" spans="1:58" x14ac:dyDescent="0.3">
      <c r="A432" t="s">
        <v>500</v>
      </c>
      <c r="B432" s="5">
        <v>42007</v>
      </c>
      <c r="C432" t="s">
        <v>20</v>
      </c>
      <c r="D432" t="s">
        <v>24</v>
      </c>
      <c r="E432" t="s">
        <v>34</v>
      </c>
      <c r="F432" t="s">
        <v>241</v>
      </c>
      <c r="G432">
        <v>10</v>
      </c>
      <c r="H432">
        <v>24</v>
      </c>
      <c r="I432" t="s">
        <v>15</v>
      </c>
      <c r="BF432" t="s">
        <v>72</v>
      </c>
    </row>
    <row r="433" spans="1:58" x14ac:dyDescent="0.3">
      <c r="A433" t="s">
        <v>501</v>
      </c>
      <c r="B433" s="5">
        <v>42012</v>
      </c>
      <c r="C433" t="s">
        <v>11</v>
      </c>
      <c r="D433" t="s">
        <v>12</v>
      </c>
      <c r="E433" t="s">
        <v>13</v>
      </c>
      <c r="F433" t="s">
        <v>113</v>
      </c>
      <c r="G433">
        <v>2.5</v>
      </c>
      <c r="H433">
        <v>350</v>
      </c>
      <c r="I433" t="s">
        <v>26</v>
      </c>
      <c r="BF433" t="s">
        <v>43</v>
      </c>
    </row>
    <row r="434" spans="1:58" x14ac:dyDescent="0.3">
      <c r="A434" t="s">
        <v>318</v>
      </c>
      <c r="B434" s="5">
        <v>42012</v>
      </c>
      <c r="C434" t="s">
        <v>28</v>
      </c>
      <c r="D434" t="s">
        <v>12</v>
      </c>
      <c r="E434" t="s">
        <v>34</v>
      </c>
      <c r="F434" t="s">
        <v>188</v>
      </c>
      <c r="G434">
        <v>9.1999999999999993</v>
      </c>
      <c r="H434">
        <v>18</v>
      </c>
      <c r="I434" t="s">
        <v>26</v>
      </c>
      <c r="BF434" t="s">
        <v>118</v>
      </c>
    </row>
    <row r="435" spans="1:58" x14ac:dyDescent="0.3">
      <c r="A435" t="s">
        <v>502</v>
      </c>
      <c r="B435" s="5">
        <v>42019</v>
      </c>
      <c r="C435" t="s">
        <v>31</v>
      </c>
      <c r="D435" t="s">
        <v>12</v>
      </c>
      <c r="E435" t="s">
        <v>17</v>
      </c>
      <c r="F435" t="s">
        <v>54</v>
      </c>
      <c r="G435">
        <v>15</v>
      </c>
      <c r="H435">
        <v>64</v>
      </c>
      <c r="I435" t="s">
        <v>15</v>
      </c>
      <c r="BF435" t="s">
        <v>54</v>
      </c>
    </row>
    <row r="436" spans="1:58" x14ac:dyDescent="0.3">
      <c r="A436" t="s">
        <v>503</v>
      </c>
      <c r="B436" s="5">
        <v>42019</v>
      </c>
      <c r="C436" t="s">
        <v>11</v>
      </c>
      <c r="D436" t="s">
        <v>12</v>
      </c>
      <c r="E436" t="s">
        <v>21</v>
      </c>
      <c r="F436" t="s">
        <v>22</v>
      </c>
      <c r="G436">
        <v>15</v>
      </c>
      <c r="H436">
        <v>160</v>
      </c>
      <c r="I436" t="s">
        <v>15</v>
      </c>
      <c r="BF436" t="s">
        <v>14</v>
      </c>
    </row>
    <row r="437" spans="1:58" x14ac:dyDescent="0.3">
      <c r="A437" t="s">
        <v>504</v>
      </c>
      <c r="B437" s="5">
        <v>42019</v>
      </c>
      <c r="C437" t="s">
        <v>28</v>
      </c>
      <c r="D437" t="s">
        <v>12</v>
      </c>
      <c r="E437" t="s">
        <v>34</v>
      </c>
      <c r="F437" t="s">
        <v>64</v>
      </c>
      <c r="G437">
        <v>6</v>
      </c>
      <c r="H437">
        <v>6</v>
      </c>
      <c r="I437" t="s">
        <v>15</v>
      </c>
      <c r="BF437" t="s">
        <v>35</v>
      </c>
    </row>
    <row r="438" spans="1:58" x14ac:dyDescent="0.3">
      <c r="A438" t="s">
        <v>505</v>
      </c>
      <c r="B438" s="5">
        <v>42019</v>
      </c>
      <c r="C438" t="s">
        <v>20</v>
      </c>
      <c r="D438" t="s">
        <v>12</v>
      </c>
      <c r="E438" t="s">
        <v>51</v>
      </c>
      <c r="F438" t="s">
        <v>138</v>
      </c>
      <c r="G438">
        <v>32.799999999999997</v>
      </c>
      <c r="H438">
        <v>105</v>
      </c>
      <c r="I438" t="s">
        <v>15</v>
      </c>
      <c r="BF438" t="s">
        <v>66</v>
      </c>
    </row>
    <row r="439" spans="1:58" x14ac:dyDescent="0.3">
      <c r="A439" t="s">
        <v>506</v>
      </c>
      <c r="B439" s="5">
        <v>42019</v>
      </c>
      <c r="C439" t="s">
        <v>11</v>
      </c>
      <c r="D439" t="s">
        <v>12</v>
      </c>
      <c r="E439" t="s">
        <v>21</v>
      </c>
      <c r="F439" t="s">
        <v>97</v>
      </c>
      <c r="G439">
        <v>13</v>
      </c>
      <c r="H439">
        <v>40</v>
      </c>
      <c r="I439" t="s">
        <v>15</v>
      </c>
      <c r="BF439" t="s">
        <v>375</v>
      </c>
    </row>
    <row r="440" spans="1:58" x14ac:dyDescent="0.3">
      <c r="A440" t="s">
        <v>507</v>
      </c>
      <c r="B440" s="5">
        <v>42019</v>
      </c>
      <c r="C440" t="s">
        <v>11</v>
      </c>
      <c r="D440" t="s">
        <v>12</v>
      </c>
      <c r="E440" t="s">
        <v>34</v>
      </c>
      <c r="F440" t="s">
        <v>77</v>
      </c>
      <c r="G440">
        <v>31.23</v>
      </c>
      <c r="H440">
        <v>300</v>
      </c>
      <c r="I440" t="s">
        <v>15</v>
      </c>
      <c r="BF440" t="s">
        <v>54</v>
      </c>
    </row>
    <row r="441" spans="1:58" x14ac:dyDescent="0.3">
      <c r="A441" t="s">
        <v>508</v>
      </c>
      <c r="B441" s="5">
        <v>42019</v>
      </c>
      <c r="C441" t="s">
        <v>20</v>
      </c>
      <c r="D441" t="s">
        <v>12</v>
      </c>
      <c r="E441" t="s">
        <v>34</v>
      </c>
      <c r="F441" t="s">
        <v>188</v>
      </c>
      <c r="G441">
        <v>9.1999999999999993</v>
      </c>
      <c r="H441">
        <v>24</v>
      </c>
      <c r="I441" t="s">
        <v>15</v>
      </c>
      <c r="BF441" t="s">
        <v>56</v>
      </c>
    </row>
    <row r="442" spans="1:58" x14ac:dyDescent="0.3">
      <c r="A442" t="s">
        <v>509</v>
      </c>
      <c r="B442" s="5">
        <v>42021</v>
      </c>
      <c r="C442" t="s">
        <v>11</v>
      </c>
      <c r="D442" t="s">
        <v>12</v>
      </c>
      <c r="E442" t="s">
        <v>13</v>
      </c>
      <c r="F442" t="s">
        <v>66</v>
      </c>
      <c r="G442">
        <v>55</v>
      </c>
      <c r="H442">
        <v>200</v>
      </c>
      <c r="I442" t="s">
        <v>26</v>
      </c>
      <c r="BF442" t="s">
        <v>113</v>
      </c>
    </row>
    <row r="443" spans="1:58" x14ac:dyDescent="0.3">
      <c r="A443" t="s">
        <v>510</v>
      </c>
      <c r="B443" s="5">
        <v>42021</v>
      </c>
      <c r="C443" t="s">
        <v>20</v>
      </c>
      <c r="D443" t="s">
        <v>12</v>
      </c>
      <c r="E443" t="s">
        <v>13</v>
      </c>
      <c r="F443" t="s">
        <v>99</v>
      </c>
      <c r="G443">
        <v>12.5</v>
      </c>
      <c r="H443">
        <v>112</v>
      </c>
      <c r="I443" t="s">
        <v>26</v>
      </c>
      <c r="BF443" t="s">
        <v>241</v>
      </c>
    </row>
    <row r="444" spans="1:58" x14ac:dyDescent="0.3">
      <c r="A444" t="s">
        <v>511</v>
      </c>
      <c r="B444" s="5">
        <v>42025</v>
      </c>
      <c r="C444" t="s">
        <v>11</v>
      </c>
      <c r="D444" t="s">
        <v>85</v>
      </c>
      <c r="E444" t="s">
        <v>34</v>
      </c>
      <c r="F444" t="s">
        <v>64</v>
      </c>
      <c r="G444">
        <v>33.25</v>
      </c>
      <c r="H444">
        <v>21</v>
      </c>
      <c r="I444" t="s">
        <v>15</v>
      </c>
      <c r="BF444" t="s">
        <v>75</v>
      </c>
    </row>
    <row r="445" spans="1:58" x14ac:dyDescent="0.3">
      <c r="A445" t="s">
        <v>512</v>
      </c>
      <c r="B445" s="5">
        <v>42025</v>
      </c>
      <c r="C445" t="s">
        <v>11</v>
      </c>
      <c r="D445" t="s">
        <v>85</v>
      </c>
      <c r="E445" t="s">
        <v>13</v>
      </c>
      <c r="F445" t="s">
        <v>14</v>
      </c>
      <c r="G445">
        <v>38</v>
      </c>
      <c r="H445">
        <v>45</v>
      </c>
      <c r="I445" t="s">
        <v>15</v>
      </c>
      <c r="BF445" t="s">
        <v>32</v>
      </c>
    </row>
    <row r="446" spans="1:58" x14ac:dyDescent="0.3">
      <c r="A446" t="s">
        <v>513</v>
      </c>
      <c r="B446" s="5">
        <v>42033</v>
      </c>
      <c r="C446" t="s">
        <v>31</v>
      </c>
      <c r="D446" t="s">
        <v>45</v>
      </c>
      <c r="E446" t="s">
        <v>17</v>
      </c>
      <c r="F446" t="s">
        <v>18</v>
      </c>
      <c r="G446">
        <v>19</v>
      </c>
      <c r="H446">
        <v>50</v>
      </c>
      <c r="I446" t="s">
        <v>26</v>
      </c>
      <c r="BF446" t="s">
        <v>128</v>
      </c>
    </row>
    <row r="447" spans="1:58" x14ac:dyDescent="0.3">
      <c r="A447" t="s">
        <v>514</v>
      </c>
      <c r="B447" s="5">
        <v>42033</v>
      </c>
      <c r="C447" t="s">
        <v>31</v>
      </c>
      <c r="D447" t="s">
        <v>45</v>
      </c>
      <c r="E447" t="s">
        <v>13</v>
      </c>
      <c r="F447" t="s">
        <v>14</v>
      </c>
      <c r="G447">
        <v>21</v>
      </c>
      <c r="H447">
        <v>48</v>
      </c>
      <c r="I447" t="s">
        <v>26</v>
      </c>
      <c r="BF447" t="s">
        <v>87</v>
      </c>
    </row>
    <row r="448" spans="1:58" x14ac:dyDescent="0.3">
      <c r="A448" t="s">
        <v>515</v>
      </c>
      <c r="B448" s="5">
        <v>42033</v>
      </c>
      <c r="C448" t="s">
        <v>31</v>
      </c>
      <c r="D448" t="s">
        <v>45</v>
      </c>
      <c r="E448" t="s">
        <v>13</v>
      </c>
      <c r="F448" t="s">
        <v>56</v>
      </c>
      <c r="G448">
        <v>34.799999999999997</v>
      </c>
      <c r="H448">
        <v>70</v>
      </c>
      <c r="I448" t="s">
        <v>26</v>
      </c>
      <c r="BF448" t="s">
        <v>121</v>
      </c>
    </row>
    <row r="449" spans="1:58" x14ac:dyDescent="0.3">
      <c r="A449" t="s">
        <v>516</v>
      </c>
      <c r="B449" s="5">
        <v>42043</v>
      </c>
      <c r="C449" t="s">
        <v>20</v>
      </c>
      <c r="D449" t="s">
        <v>12</v>
      </c>
      <c r="E449" t="s">
        <v>21</v>
      </c>
      <c r="F449" t="s">
        <v>87</v>
      </c>
      <c r="G449">
        <v>21.05</v>
      </c>
      <c r="H449">
        <v>280</v>
      </c>
      <c r="I449" t="s">
        <v>26</v>
      </c>
      <c r="BF449" t="s">
        <v>22</v>
      </c>
    </row>
    <row r="450" spans="1:58" x14ac:dyDescent="0.3">
      <c r="A450" t="s">
        <v>334</v>
      </c>
      <c r="B450" s="5">
        <v>42043</v>
      </c>
      <c r="C450" t="s">
        <v>20</v>
      </c>
      <c r="D450" t="s">
        <v>12</v>
      </c>
      <c r="E450" t="s">
        <v>13</v>
      </c>
      <c r="F450" t="s">
        <v>124</v>
      </c>
      <c r="G450">
        <v>21.5</v>
      </c>
      <c r="H450">
        <v>2</v>
      </c>
      <c r="I450" t="s">
        <v>26</v>
      </c>
      <c r="BF450" t="s">
        <v>118</v>
      </c>
    </row>
    <row r="451" spans="1:58" x14ac:dyDescent="0.3">
      <c r="A451" t="s">
        <v>335</v>
      </c>
      <c r="B451" s="5">
        <v>42043</v>
      </c>
      <c r="C451" t="s">
        <v>28</v>
      </c>
      <c r="D451" t="s">
        <v>12</v>
      </c>
      <c r="E451" t="s">
        <v>34</v>
      </c>
      <c r="F451" t="s">
        <v>188</v>
      </c>
      <c r="G451">
        <v>9.1999999999999993</v>
      </c>
      <c r="H451">
        <v>40</v>
      </c>
      <c r="I451" t="s">
        <v>26</v>
      </c>
      <c r="BF451" t="s">
        <v>22</v>
      </c>
    </row>
    <row r="452" spans="1:58" x14ac:dyDescent="0.3">
      <c r="A452" t="s">
        <v>517</v>
      </c>
      <c r="B452" s="5">
        <v>42046</v>
      </c>
      <c r="C452" t="s">
        <v>11</v>
      </c>
      <c r="D452" t="s">
        <v>24</v>
      </c>
      <c r="E452" t="s">
        <v>51</v>
      </c>
      <c r="F452" t="s">
        <v>81</v>
      </c>
      <c r="G452">
        <v>18.399999999999999</v>
      </c>
      <c r="H452">
        <v>200</v>
      </c>
      <c r="I452" t="s">
        <v>26</v>
      </c>
      <c r="BF452" t="s">
        <v>241</v>
      </c>
    </row>
    <row r="453" spans="1:58" x14ac:dyDescent="0.3">
      <c r="A453" t="s">
        <v>518</v>
      </c>
      <c r="B453" s="5">
        <v>42050</v>
      </c>
      <c r="C453" t="s">
        <v>11</v>
      </c>
      <c r="D453" t="s">
        <v>45</v>
      </c>
      <c r="E453" t="s">
        <v>17</v>
      </c>
      <c r="F453" t="s">
        <v>54</v>
      </c>
      <c r="G453">
        <v>15</v>
      </c>
      <c r="H453">
        <v>150</v>
      </c>
      <c r="I453" t="s">
        <v>26</v>
      </c>
      <c r="BF453" t="s">
        <v>138</v>
      </c>
    </row>
    <row r="454" spans="1:58" x14ac:dyDescent="0.3">
      <c r="A454" t="s">
        <v>338</v>
      </c>
      <c r="B454" s="5">
        <v>42050</v>
      </c>
      <c r="C454" t="s">
        <v>31</v>
      </c>
      <c r="D454" t="s">
        <v>45</v>
      </c>
      <c r="E454" t="s">
        <v>34</v>
      </c>
      <c r="F454" t="s">
        <v>339</v>
      </c>
      <c r="G454">
        <v>12.75</v>
      </c>
      <c r="H454">
        <v>135</v>
      </c>
      <c r="I454" t="s">
        <v>26</v>
      </c>
      <c r="BF454" t="s">
        <v>14</v>
      </c>
    </row>
    <row r="455" spans="1:58" x14ac:dyDescent="0.3">
      <c r="A455" t="s">
        <v>519</v>
      </c>
      <c r="B455" s="5">
        <v>42060</v>
      </c>
      <c r="C455" t="s">
        <v>28</v>
      </c>
      <c r="D455" t="s">
        <v>45</v>
      </c>
      <c r="E455" t="s">
        <v>17</v>
      </c>
      <c r="F455" t="s">
        <v>54</v>
      </c>
      <c r="G455">
        <v>9</v>
      </c>
      <c r="H455">
        <v>168</v>
      </c>
      <c r="I455" t="s">
        <v>15</v>
      </c>
      <c r="BF455" t="s">
        <v>54</v>
      </c>
    </row>
    <row r="456" spans="1:58" x14ac:dyDescent="0.3">
      <c r="A456" t="s">
        <v>520</v>
      </c>
      <c r="B456" s="5">
        <v>42060</v>
      </c>
      <c r="C456" t="s">
        <v>11</v>
      </c>
      <c r="D456" t="s">
        <v>45</v>
      </c>
      <c r="E456" t="s">
        <v>21</v>
      </c>
      <c r="F456" t="s">
        <v>22</v>
      </c>
      <c r="G456">
        <v>6</v>
      </c>
      <c r="H456">
        <v>10</v>
      </c>
      <c r="I456" t="s">
        <v>15</v>
      </c>
      <c r="BF456" t="s">
        <v>136</v>
      </c>
    </row>
    <row r="457" spans="1:58" x14ac:dyDescent="0.3">
      <c r="A457" t="s">
        <v>342</v>
      </c>
      <c r="B457" s="5">
        <v>42063</v>
      </c>
      <c r="C457" t="s">
        <v>28</v>
      </c>
      <c r="D457" t="s">
        <v>12</v>
      </c>
      <c r="E457" t="s">
        <v>13</v>
      </c>
      <c r="F457" t="s">
        <v>14</v>
      </c>
      <c r="G457">
        <v>21</v>
      </c>
      <c r="H457">
        <v>10</v>
      </c>
      <c r="I457" t="s">
        <v>15</v>
      </c>
      <c r="BF457" t="s">
        <v>81</v>
      </c>
    </row>
    <row r="458" spans="1:58" x14ac:dyDescent="0.3">
      <c r="A458" t="s">
        <v>521</v>
      </c>
      <c r="B458" s="5">
        <v>42063</v>
      </c>
      <c r="C458" t="s">
        <v>20</v>
      </c>
      <c r="D458" t="s">
        <v>12</v>
      </c>
      <c r="E458" t="s">
        <v>21</v>
      </c>
      <c r="F458" t="s">
        <v>22</v>
      </c>
      <c r="G458">
        <v>12</v>
      </c>
      <c r="H458">
        <v>10</v>
      </c>
      <c r="I458" t="s">
        <v>15</v>
      </c>
      <c r="BF458" t="s">
        <v>81</v>
      </c>
    </row>
    <row r="459" spans="1:58" x14ac:dyDescent="0.3">
      <c r="A459" t="s">
        <v>522</v>
      </c>
      <c r="B459" s="5">
        <v>42067</v>
      </c>
      <c r="C459" t="s">
        <v>28</v>
      </c>
      <c r="D459" t="s">
        <v>45</v>
      </c>
      <c r="E459" t="s">
        <v>34</v>
      </c>
      <c r="F459" t="s">
        <v>64</v>
      </c>
      <c r="G459">
        <v>30</v>
      </c>
      <c r="H459">
        <v>300</v>
      </c>
      <c r="I459" t="s">
        <v>26</v>
      </c>
      <c r="BF459" t="s">
        <v>72</v>
      </c>
    </row>
    <row r="460" spans="1:58" x14ac:dyDescent="0.3">
      <c r="A460" t="s">
        <v>523</v>
      </c>
      <c r="B460" s="5">
        <v>42067</v>
      </c>
      <c r="C460" t="s">
        <v>11</v>
      </c>
      <c r="D460" t="s">
        <v>45</v>
      </c>
      <c r="E460" t="s">
        <v>51</v>
      </c>
      <c r="F460" t="s">
        <v>81</v>
      </c>
      <c r="G460">
        <v>38</v>
      </c>
      <c r="H460">
        <v>100</v>
      </c>
      <c r="I460" t="s">
        <v>26</v>
      </c>
      <c r="BF460" t="s">
        <v>22</v>
      </c>
    </row>
    <row r="461" spans="1:58" x14ac:dyDescent="0.3">
      <c r="A461" t="s">
        <v>524</v>
      </c>
      <c r="B461" s="5">
        <v>42068</v>
      </c>
      <c r="C461" t="s">
        <v>11</v>
      </c>
      <c r="D461" t="s">
        <v>45</v>
      </c>
      <c r="E461" t="s">
        <v>17</v>
      </c>
      <c r="F461" t="s">
        <v>128</v>
      </c>
      <c r="G461">
        <v>4.5</v>
      </c>
      <c r="H461">
        <v>480</v>
      </c>
      <c r="I461" t="s">
        <v>15</v>
      </c>
      <c r="BF461" t="s">
        <v>25</v>
      </c>
    </row>
    <row r="462" spans="1:58" x14ac:dyDescent="0.3">
      <c r="A462" t="s">
        <v>525</v>
      </c>
      <c r="B462" s="5">
        <v>42068</v>
      </c>
      <c r="C462" t="s">
        <v>20</v>
      </c>
      <c r="D462" t="s">
        <v>45</v>
      </c>
      <c r="E462" t="s">
        <v>21</v>
      </c>
      <c r="F462" t="s">
        <v>22</v>
      </c>
      <c r="G462">
        <v>53</v>
      </c>
      <c r="H462">
        <v>36</v>
      </c>
      <c r="I462" t="s">
        <v>15</v>
      </c>
      <c r="BF462" t="s">
        <v>136</v>
      </c>
    </row>
    <row r="463" spans="1:58" x14ac:dyDescent="0.3">
      <c r="A463" t="s">
        <v>526</v>
      </c>
      <c r="B463" s="5">
        <v>42069</v>
      </c>
      <c r="C463" t="s">
        <v>20</v>
      </c>
      <c r="D463" t="s">
        <v>45</v>
      </c>
      <c r="E463" t="s">
        <v>13</v>
      </c>
      <c r="F463" t="s">
        <v>113</v>
      </c>
      <c r="G463">
        <v>2.5</v>
      </c>
      <c r="H463">
        <v>60</v>
      </c>
      <c r="I463" t="s">
        <v>26</v>
      </c>
      <c r="BF463" t="s">
        <v>72</v>
      </c>
    </row>
    <row r="464" spans="1:58" x14ac:dyDescent="0.3">
      <c r="A464" t="s">
        <v>527</v>
      </c>
      <c r="B464" s="5">
        <v>42069</v>
      </c>
      <c r="C464" t="s">
        <v>20</v>
      </c>
      <c r="D464" t="s">
        <v>45</v>
      </c>
      <c r="E464" t="s">
        <v>13</v>
      </c>
      <c r="F464" t="s">
        <v>124</v>
      </c>
      <c r="G464">
        <v>21.5</v>
      </c>
      <c r="H464">
        <v>96</v>
      </c>
      <c r="I464" t="s">
        <v>26</v>
      </c>
      <c r="BF464" t="s">
        <v>97</v>
      </c>
    </row>
    <row r="465" spans="1:58" x14ac:dyDescent="0.3">
      <c r="A465" t="s">
        <v>528</v>
      </c>
      <c r="B465" s="5">
        <v>42076</v>
      </c>
      <c r="C465" t="s">
        <v>31</v>
      </c>
      <c r="D465" t="s">
        <v>12</v>
      </c>
      <c r="E465" t="s">
        <v>13</v>
      </c>
      <c r="F465" t="s">
        <v>41</v>
      </c>
      <c r="G465">
        <v>34</v>
      </c>
      <c r="H465">
        <v>80</v>
      </c>
      <c r="I465" t="s">
        <v>26</v>
      </c>
      <c r="BF465" t="s">
        <v>90</v>
      </c>
    </row>
    <row r="466" spans="1:58" x14ac:dyDescent="0.3">
      <c r="A466" t="s">
        <v>529</v>
      </c>
      <c r="B466" s="5">
        <v>42076</v>
      </c>
      <c r="C466" t="s">
        <v>28</v>
      </c>
      <c r="D466" t="s">
        <v>12</v>
      </c>
      <c r="E466" t="s">
        <v>34</v>
      </c>
      <c r="F466" t="s">
        <v>75</v>
      </c>
      <c r="G466">
        <v>20</v>
      </c>
      <c r="H466">
        <v>240</v>
      </c>
      <c r="I466" t="s">
        <v>26</v>
      </c>
      <c r="BF466" t="s">
        <v>81</v>
      </c>
    </row>
    <row r="467" spans="1:58" x14ac:dyDescent="0.3">
      <c r="A467" t="s">
        <v>530</v>
      </c>
      <c r="B467" s="5">
        <v>42080</v>
      </c>
      <c r="C467" t="s">
        <v>11</v>
      </c>
      <c r="D467" t="s">
        <v>45</v>
      </c>
      <c r="E467" t="s">
        <v>51</v>
      </c>
      <c r="F467" t="s">
        <v>81</v>
      </c>
      <c r="G467">
        <v>53</v>
      </c>
      <c r="H467">
        <v>9</v>
      </c>
      <c r="I467" t="s">
        <v>26</v>
      </c>
      <c r="BF467" t="s">
        <v>111</v>
      </c>
    </row>
    <row r="468" spans="1:58" x14ac:dyDescent="0.3">
      <c r="A468" t="s">
        <v>353</v>
      </c>
      <c r="B468" s="5">
        <v>42080</v>
      </c>
      <c r="C468" t="s">
        <v>31</v>
      </c>
      <c r="D468" t="s">
        <v>45</v>
      </c>
      <c r="E468" t="s">
        <v>17</v>
      </c>
      <c r="F468" t="s">
        <v>54</v>
      </c>
      <c r="G468">
        <v>18.399999999999999</v>
      </c>
      <c r="H468">
        <v>10</v>
      </c>
      <c r="I468" t="s">
        <v>26</v>
      </c>
      <c r="BF468" t="s">
        <v>90</v>
      </c>
    </row>
    <row r="469" spans="1:58" x14ac:dyDescent="0.3">
      <c r="A469" t="s">
        <v>531</v>
      </c>
      <c r="B469" s="5">
        <v>42080</v>
      </c>
      <c r="C469" t="s">
        <v>31</v>
      </c>
      <c r="D469" t="s">
        <v>45</v>
      </c>
      <c r="E469" t="s">
        <v>34</v>
      </c>
      <c r="F469" t="s">
        <v>241</v>
      </c>
      <c r="G469">
        <v>10</v>
      </c>
      <c r="H469">
        <v>28</v>
      </c>
      <c r="I469" t="s">
        <v>26</v>
      </c>
      <c r="BF469" t="s">
        <v>54</v>
      </c>
    </row>
    <row r="470" spans="1:58" x14ac:dyDescent="0.3">
      <c r="A470" t="s">
        <v>532</v>
      </c>
      <c r="B470" s="5">
        <v>42082</v>
      </c>
      <c r="C470" t="s">
        <v>31</v>
      </c>
      <c r="D470" t="s">
        <v>12</v>
      </c>
      <c r="E470" t="s">
        <v>51</v>
      </c>
      <c r="F470" t="s">
        <v>268</v>
      </c>
      <c r="G470">
        <v>7.45</v>
      </c>
      <c r="H470">
        <v>144</v>
      </c>
      <c r="I470" t="s">
        <v>26</v>
      </c>
      <c r="BF470" t="s">
        <v>14</v>
      </c>
    </row>
    <row r="471" spans="1:58" x14ac:dyDescent="0.3">
      <c r="A471" t="s">
        <v>533</v>
      </c>
      <c r="B471" s="5">
        <v>42082</v>
      </c>
      <c r="C471" t="s">
        <v>20</v>
      </c>
      <c r="D471" t="s">
        <v>12</v>
      </c>
      <c r="E471" t="s">
        <v>34</v>
      </c>
      <c r="F471" t="s">
        <v>188</v>
      </c>
      <c r="G471">
        <v>9.1999999999999993</v>
      </c>
      <c r="H471">
        <v>10</v>
      </c>
      <c r="I471" t="s">
        <v>26</v>
      </c>
      <c r="BF471" t="s">
        <v>124</v>
      </c>
    </row>
    <row r="472" spans="1:58" x14ac:dyDescent="0.3">
      <c r="A472" t="s">
        <v>534</v>
      </c>
      <c r="B472" s="5">
        <v>42089</v>
      </c>
      <c r="C472" t="s">
        <v>20</v>
      </c>
      <c r="D472" t="s">
        <v>12</v>
      </c>
      <c r="E472" t="s">
        <v>17</v>
      </c>
      <c r="F472" t="s">
        <v>54</v>
      </c>
      <c r="G472">
        <v>38</v>
      </c>
      <c r="H472">
        <v>240</v>
      </c>
      <c r="I472" t="s">
        <v>26</v>
      </c>
      <c r="BF472" t="s">
        <v>18</v>
      </c>
    </row>
    <row r="473" spans="1:58" x14ac:dyDescent="0.3">
      <c r="A473" t="s">
        <v>535</v>
      </c>
      <c r="B473" s="5">
        <v>42091</v>
      </c>
      <c r="C473" t="s">
        <v>31</v>
      </c>
      <c r="D473" t="s">
        <v>12</v>
      </c>
      <c r="E473" t="s">
        <v>13</v>
      </c>
      <c r="F473" t="s">
        <v>99</v>
      </c>
      <c r="G473">
        <v>12.5</v>
      </c>
      <c r="H473">
        <v>120</v>
      </c>
      <c r="I473" t="s">
        <v>26</v>
      </c>
      <c r="BF473" t="s">
        <v>43</v>
      </c>
    </row>
    <row r="474" spans="1:58" x14ac:dyDescent="0.3">
      <c r="A474" t="s">
        <v>359</v>
      </c>
      <c r="B474" s="5">
        <v>42108</v>
      </c>
      <c r="C474" t="s">
        <v>28</v>
      </c>
      <c r="D474" t="s">
        <v>12</v>
      </c>
      <c r="E474" t="s">
        <v>17</v>
      </c>
      <c r="F474" t="s">
        <v>128</v>
      </c>
      <c r="G474">
        <v>4.5</v>
      </c>
      <c r="H474">
        <v>10</v>
      </c>
      <c r="I474" t="s">
        <v>26</v>
      </c>
      <c r="BF474" t="s">
        <v>52</v>
      </c>
    </row>
    <row r="475" spans="1:58" x14ac:dyDescent="0.3">
      <c r="A475" t="s">
        <v>536</v>
      </c>
      <c r="B475" s="5">
        <v>42108</v>
      </c>
      <c r="C475" t="s">
        <v>28</v>
      </c>
      <c r="D475" t="s">
        <v>12</v>
      </c>
      <c r="E475" t="s">
        <v>13</v>
      </c>
      <c r="F475" t="s">
        <v>41</v>
      </c>
      <c r="G475">
        <v>34</v>
      </c>
      <c r="H475">
        <v>96</v>
      </c>
      <c r="I475" t="s">
        <v>26</v>
      </c>
      <c r="BF475" t="s">
        <v>81</v>
      </c>
    </row>
    <row r="476" spans="1:58" x14ac:dyDescent="0.3">
      <c r="A476" t="s">
        <v>537</v>
      </c>
      <c r="B476" s="5">
        <v>42108</v>
      </c>
      <c r="C476" t="s">
        <v>11</v>
      </c>
      <c r="D476" t="s">
        <v>12</v>
      </c>
      <c r="E476" t="s">
        <v>51</v>
      </c>
      <c r="F476" t="s">
        <v>81</v>
      </c>
      <c r="G476">
        <v>12</v>
      </c>
      <c r="H476">
        <v>36</v>
      </c>
      <c r="I476" t="s">
        <v>26</v>
      </c>
      <c r="BF476" t="s">
        <v>81</v>
      </c>
    </row>
    <row r="477" spans="1:58" x14ac:dyDescent="0.3">
      <c r="A477" t="s">
        <v>538</v>
      </c>
      <c r="B477" s="5">
        <v>42108</v>
      </c>
      <c r="C477" t="s">
        <v>11</v>
      </c>
      <c r="D477" t="s">
        <v>12</v>
      </c>
      <c r="E477" t="s">
        <v>34</v>
      </c>
      <c r="F477" t="s">
        <v>136</v>
      </c>
      <c r="G477">
        <v>9.5</v>
      </c>
      <c r="H477">
        <v>54</v>
      </c>
      <c r="I477" t="s">
        <v>26</v>
      </c>
      <c r="BF477" t="s">
        <v>14</v>
      </c>
    </row>
    <row r="478" spans="1:58" x14ac:dyDescent="0.3">
      <c r="A478" t="s">
        <v>539</v>
      </c>
      <c r="B478" s="5">
        <v>42111</v>
      </c>
      <c r="C478" t="s">
        <v>28</v>
      </c>
      <c r="D478" t="s">
        <v>45</v>
      </c>
      <c r="E478" t="s">
        <v>17</v>
      </c>
      <c r="F478" t="s">
        <v>54</v>
      </c>
      <c r="G478">
        <v>15</v>
      </c>
      <c r="H478">
        <v>30</v>
      </c>
      <c r="I478" t="s">
        <v>26</v>
      </c>
      <c r="BF478" t="s">
        <v>29</v>
      </c>
    </row>
    <row r="479" spans="1:58" x14ac:dyDescent="0.3">
      <c r="A479" t="s">
        <v>540</v>
      </c>
      <c r="B479" s="5">
        <v>42111</v>
      </c>
      <c r="C479" t="s">
        <v>28</v>
      </c>
      <c r="D479" t="s">
        <v>45</v>
      </c>
      <c r="E479" t="s">
        <v>13</v>
      </c>
      <c r="F479" t="s">
        <v>14</v>
      </c>
      <c r="G479">
        <v>7</v>
      </c>
      <c r="H479">
        <v>60</v>
      </c>
      <c r="I479" t="s">
        <v>26</v>
      </c>
      <c r="BF479" t="s">
        <v>54</v>
      </c>
    </row>
    <row r="480" spans="1:58" x14ac:dyDescent="0.3">
      <c r="A480" t="s">
        <v>541</v>
      </c>
      <c r="B480" s="5">
        <v>42111</v>
      </c>
      <c r="C480" t="s">
        <v>11</v>
      </c>
      <c r="D480" t="s">
        <v>45</v>
      </c>
      <c r="E480" t="s">
        <v>13</v>
      </c>
      <c r="F480" t="s">
        <v>66</v>
      </c>
      <c r="G480">
        <v>55</v>
      </c>
      <c r="H480">
        <v>16</v>
      </c>
      <c r="I480" t="s">
        <v>26</v>
      </c>
      <c r="BF480" t="s">
        <v>14</v>
      </c>
    </row>
    <row r="481" spans="1:58" x14ac:dyDescent="0.3">
      <c r="A481" t="s">
        <v>542</v>
      </c>
      <c r="B481" s="5">
        <v>42116</v>
      </c>
      <c r="C481" t="s">
        <v>31</v>
      </c>
      <c r="D481" t="s">
        <v>24</v>
      </c>
      <c r="E481" t="s">
        <v>34</v>
      </c>
      <c r="F481" t="s">
        <v>64</v>
      </c>
      <c r="G481">
        <v>9.65</v>
      </c>
      <c r="H481">
        <v>90</v>
      </c>
      <c r="I481" t="s">
        <v>26</v>
      </c>
      <c r="BF481" t="s">
        <v>54</v>
      </c>
    </row>
    <row r="482" spans="1:58" x14ac:dyDescent="0.3">
      <c r="A482" t="s">
        <v>543</v>
      </c>
      <c r="B482" s="5">
        <v>42116</v>
      </c>
      <c r="C482" t="s">
        <v>20</v>
      </c>
      <c r="D482" t="s">
        <v>24</v>
      </c>
      <c r="E482" t="s">
        <v>17</v>
      </c>
      <c r="F482" t="s">
        <v>72</v>
      </c>
      <c r="G482">
        <v>18</v>
      </c>
      <c r="H482">
        <v>18</v>
      </c>
      <c r="I482" t="s">
        <v>26</v>
      </c>
      <c r="BF482" t="s">
        <v>37</v>
      </c>
    </row>
    <row r="483" spans="1:58" x14ac:dyDescent="0.3">
      <c r="A483" t="s">
        <v>544</v>
      </c>
      <c r="B483" s="5">
        <v>42116</v>
      </c>
      <c r="C483" t="s">
        <v>11</v>
      </c>
      <c r="D483" t="s">
        <v>24</v>
      </c>
      <c r="E483" t="s">
        <v>34</v>
      </c>
      <c r="F483" t="s">
        <v>43</v>
      </c>
      <c r="G483">
        <v>12.5</v>
      </c>
      <c r="H483">
        <v>240</v>
      </c>
      <c r="I483" t="s">
        <v>26</v>
      </c>
      <c r="BF483" t="s">
        <v>128</v>
      </c>
    </row>
    <row r="484" spans="1:58" x14ac:dyDescent="0.3">
      <c r="A484" t="s">
        <v>545</v>
      </c>
      <c r="B484" s="5">
        <v>42118</v>
      </c>
      <c r="C484" t="s">
        <v>28</v>
      </c>
      <c r="D484" t="s">
        <v>45</v>
      </c>
      <c r="E484" t="s">
        <v>51</v>
      </c>
      <c r="F484" t="s">
        <v>118</v>
      </c>
      <c r="G484">
        <v>39</v>
      </c>
      <c r="H484">
        <v>250</v>
      </c>
      <c r="I484" t="s">
        <v>26</v>
      </c>
      <c r="BF484" t="s">
        <v>22</v>
      </c>
    </row>
    <row r="485" spans="1:58" x14ac:dyDescent="0.3">
      <c r="A485" t="s">
        <v>546</v>
      </c>
      <c r="B485" s="5">
        <v>42118</v>
      </c>
      <c r="C485" t="s">
        <v>20</v>
      </c>
      <c r="D485" t="s">
        <v>45</v>
      </c>
      <c r="E485" t="s">
        <v>17</v>
      </c>
      <c r="F485" t="s">
        <v>54</v>
      </c>
      <c r="G485">
        <v>26</v>
      </c>
      <c r="H485">
        <v>72</v>
      </c>
      <c r="I485" t="s">
        <v>26</v>
      </c>
      <c r="BF485" t="s">
        <v>268</v>
      </c>
    </row>
    <row r="486" spans="1:58" x14ac:dyDescent="0.3">
      <c r="A486" t="s">
        <v>547</v>
      </c>
      <c r="B486" s="5">
        <v>42118</v>
      </c>
      <c r="C486" t="s">
        <v>28</v>
      </c>
      <c r="D486" t="s">
        <v>45</v>
      </c>
      <c r="E486" t="s">
        <v>13</v>
      </c>
      <c r="F486" t="s">
        <v>14</v>
      </c>
      <c r="G486">
        <v>9.65</v>
      </c>
      <c r="H486">
        <v>18</v>
      </c>
      <c r="I486" t="s">
        <v>26</v>
      </c>
      <c r="BF486" t="s">
        <v>138</v>
      </c>
    </row>
    <row r="487" spans="1:58" x14ac:dyDescent="0.3">
      <c r="A487" t="s">
        <v>548</v>
      </c>
      <c r="B487" s="5">
        <v>42118</v>
      </c>
      <c r="C487" t="s">
        <v>20</v>
      </c>
      <c r="D487" t="s">
        <v>45</v>
      </c>
      <c r="E487" t="s">
        <v>34</v>
      </c>
      <c r="F487" t="s">
        <v>35</v>
      </c>
      <c r="G487">
        <v>81</v>
      </c>
      <c r="H487">
        <v>45</v>
      </c>
      <c r="I487" t="s">
        <v>26</v>
      </c>
      <c r="BF487" t="s">
        <v>54</v>
      </c>
    </row>
    <row r="488" spans="1:58" x14ac:dyDescent="0.3">
      <c r="A488" t="s">
        <v>549</v>
      </c>
      <c r="B488" s="5">
        <v>42125</v>
      </c>
      <c r="C488" t="s">
        <v>31</v>
      </c>
      <c r="D488" t="s">
        <v>24</v>
      </c>
      <c r="E488" t="s">
        <v>13</v>
      </c>
      <c r="F488" t="s">
        <v>66</v>
      </c>
      <c r="G488">
        <v>55</v>
      </c>
      <c r="H488">
        <v>300</v>
      </c>
      <c r="I488" t="s">
        <v>15</v>
      </c>
      <c r="BF488" t="s">
        <v>54</v>
      </c>
    </row>
    <row r="489" spans="1:58" x14ac:dyDescent="0.3">
      <c r="A489" t="s">
        <v>550</v>
      </c>
      <c r="B489" s="5">
        <v>42126</v>
      </c>
      <c r="C489" t="s">
        <v>28</v>
      </c>
      <c r="D489" t="s">
        <v>45</v>
      </c>
      <c r="E489" t="s">
        <v>21</v>
      </c>
      <c r="F489" t="s">
        <v>375</v>
      </c>
      <c r="G489">
        <v>17</v>
      </c>
      <c r="H489">
        <v>216</v>
      </c>
      <c r="I489" t="s">
        <v>26</v>
      </c>
      <c r="BF489" t="s">
        <v>22</v>
      </c>
    </row>
    <row r="490" spans="1:58" x14ac:dyDescent="0.3">
      <c r="A490" t="s">
        <v>551</v>
      </c>
      <c r="B490" s="5">
        <v>42126</v>
      </c>
      <c r="C490" t="s">
        <v>20</v>
      </c>
      <c r="D490" t="s">
        <v>45</v>
      </c>
      <c r="E490" t="s">
        <v>34</v>
      </c>
      <c r="F490" t="s">
        <v>64</v>
      </c>
      <c r="G490">
        <v>25.89</v>
      </c>
      <c r="H490">
        <v>150</v>
      </c>
      <c r="I490" t="s">
        <v>26</v>
      </c>
      <c r="BF490" t="s">
        <v>54</v>
      </c>
    </row>
    <row r="491" spans="1:58" x14ac:dyDescent="0.3">
      <c r="A491" t="s">
        <v>552</v>
      </c>
      <c r="B491" s="5">
        <v>42132</v>
      </c>
      <c r="C491" t="s">
        <v>28</v>
      </c>
      <c r="D491" t="s">
        <v>45</v>
      </c>
      <c r="E491" t="s">
        <v>17</v>
      </c>
      <c r="F491" t="s">
        <v>54</v>
      </c>
      <c r="G491">
        <v>15</v>
      </c>
      <c r="H491">
        <v>28</v>
      </c>
      <c r="I491" t="s">
        <v>26</v>
      </c>
      <c r="BF491" t="s">
        <v>99</v>
      </c>
    </row>
    <row r="492" spans="1:58" x14ac:dyDescent="0.3">
      <c r="A492" t="s">
        <v>553</v>
      </c>
      <c r="B492" s="5">
        <v>42132</v>
      </c>
      <c r="C492" t="s">
        <v>11</v>
      </c>
      <c r="D492" t="s">
        <v>45</v>
      </c>
      <c r="E492" t="s">
        <v>13</v>
      </c>
      <c r="F492" t="s">
        <v>56</v>
      </c>
      <c r="G492">
        <v>34.799999999999997</v>
      </c>
      <c r="H492">
        <v>7</v>
      </c>
      <c r="I492" t="s">
        <v>26</v>
      </c>
      <c r="BF492" t="s">
        <v>54</v>
      </c>
    </row>
    <row r="493" spans="1:58" x14ac:dyDescent="0.3">
      <c r="A493" t="s">
        <v>379</v>
      </c>
      <c r="B493" s="5">
        <v>42133</v>
      </c>
      <c r="C493" t="s">
        <v>20</v>
      </c>
      <c r="D493" t="s">
        <v>45</v>
      </c>
      <c r="E493" t="s">
        <v>13</v>
      </c>
      <c r="F493" t="s">
        <v>113</v>
      </c>
      <c r="G493">
        <v>2.5</v>
      </c>
      <c r="H493">
        <v>15</v>
      </c>
      <c r="I493" t="s">
        <v>26</v>
      </c>
      <c r="BF493" t="s">
        <v>22</v>
      </c>
    </row>
    <row r="494" spans="1:58" x14ac:dyDescent="0.3">
      <c r="A494" t="s">
        <v>380</v>
      </c>
      <c r="B494" s="5">
        <v>42133</v>
      </c>
      <c r="C494" t="s">
        <v>28</v>
      </c>
      <c r="D494" t="s">
        <v>45</v>
      </c>
      <c r="E494" t="s">
        <v>34</v>
      </c>
      <c r="F494" t="s">
        <v>64</v>
      </c>
      <c r="G494">
        <v>6</v>
      </c>
      <c r="H494">
        <v>8</v>
      </c>
      <c r="I494" t="s">
        <v>26</v>
      </c>
      <c r="BF494" t="s">
        <v>54</v>
      </c>
    </row>
    <row r="495" spans="1:58" x14ac:dyDescent="0.3">
      <c r="A495" t="s">
        <v>554</v>
      </c>
      <c r="B495" s="5">
        <v>42133</v>
      </c>
      <c r="C495" t="s">
        <v>20</v>
      </c>
      <c r="D495" t="s">
        <v>45</v>
      </c>
      <c r="E495" t="s">
        <v>34</v>
      </c>
      <c r="F495" t="s">
        <v>241</v>
      </c>
      <c r="G495">
        <v>10</v>
      </c>
      <c r="H495">
        <v>135</v>
      </c>
      <c r="I495" t="s">
        <v>26</v>
      </c>
      <c r="BF495" t="s">
        <v>136</v>
      </c>
    </row>
    <row r="496" spans="1:58" x14ac:dyDescent="0.3">
      <c r="A496" t="s">
        <v>382</v>
      </c>
      <c r="B496" s="5">
        <v>42133</v>
      </c>
      <c r="C496" t="s">
        <v>28</v>
      </c>
      <c r="D496" t="s">
        <v>45</v>
      </c>
      <c r="E496" t="s">
        <v>34</v>
      </c>
      <c r="F496" t="s">
        <v>75</v>
      </c>
      <c r="G496">
        <v>20</v>
      </c>
      <c r="H496">
        <v>6</v>
      </c>
      <c r="I496" t="s">
        <v>26</v>
      </c>
      <c r="BF496" t="s">
        <v>97</v>
      </c>
    </row>
    <row r="497" spans="1:58" x14ac:dyDescent="0.3">
      <c r="A497" t="s">
        <v>555</v>
      </c>
      <c r="B497" s="5">
        <v>42136</v>
      </c>
      <c r="C497" t="s">
        <v>20</v>
      </c>
      <c r="D497" t="s">
        <v>24</v>
      </c>
      <c r="E497" t="s">
        <v>17</v>
      </c>
      <c r="F497" t="s">
        <v>32</v>
      </c>
      <c r="G497">
        <v>263.5</v>
      </c>
      <c r="H497">
        <v>12</v>
      </c>
      <c r="I497" t="s">
        <v>15</v>
      </c>
      <c r="BF497" t="s">
        <v>81</v>
      </c>
    </row>
    <row r="498" spans="1:58" x14ac:dyDescent="0.3">
      <c r="A498" t="s">
        <v>556</v>
      </c>
      <c r="B498" s="5">
        <v>42136</v>
      </c>
      <c r="C498" t="s">
        <v>20</v>
      </c>
      <c r="D498" t="s">
        <v>12</v>
      </c>
      <c r="E498" t="s">
        <v>17</v>
      </c>
      <c r="F498" t="s">
        <v>128</v>
      </c>
      <c r="G498">
        <v>4.5</v>
      </c>
      <c r="H498">
        <v>70</v>
      </c>
      <c r="I498" t="s">
        <v>15</v>
      </c>
      <c r="BF498" t="s">
        <v>128</v>
      </c>
    </row>
    <row r="499" spans="1:58" x14ac:dyDescent="0.3">
      <c r="A499" t="s">
        <v>557</v>
      </c>
      <c r="B499" s="5">
        <v>42136</v>
      </c>
      <c r="C499" t="s">
        <v>31</v>
      </c>
      <c r="D499" t="s">
        <v>12</v>
      </c>
      <c r="E499" t="s">
        <v>21</v>
      </c>
      <c r="F499" t="s">
        <v>87</v>
      </c>
      <c r="G499">
        <v>21.05</v>
      </c>
      <c r="H499">
        <v>324</v>
      </c>
      <c r="I499" t="s">
        <v>15</v>
      </c>
      <c r="BF499" t="s">
        <v>111</v>
      </c>
    </row>
    <row r="500" spans="1:58" x14ac:dyDescent="0.3">
      <c r="A500" t="s">
        <v>558</v>
      </c>
      <c r="B500" s="5">
        <v>42140</v>
      </c>
      <c r="C500" t="s">
        <v>28</v>
      </c>
      <c r="D500" t="s">
        <v>45</v>
      </c>
      <c r="E500" t="s">
        <v>13</v>
      </c>
      <c r="F500" t="s">
        <v>121</v>
      </c>
      <c r="G500">
        <v>32</v>
      </c>
      <c r="H500">
        <v>96</v>
      </c>
      <c r="I500" t="s">
        <v>26</v>
      </c>
      <c r="BF500" t="s">
        <v>54</v>
      </c>
    </row>
    <row r="501" spans="1:58" x14ac:dyDescent="0.3">
      <c r="A501" t="s">
        <v>559</v>
      </c>
      <c r="B501" s="5">
        <v>42140</v>
      </c>
      <c r="C501" t="s">
        <v>11</v>
      </c>
      <c r="D501" t="s">
        <v>45</v>
      </c>
      <c r="E501" t="s">
        <v>21</v>
      </c>
      <c r="F501" t="s">
        <v>22</v>
      </c>
      <c r="G501">
        <v>19</v>
      </c>
      <c r="H501">
        <v>240</v>
      </c>
      <c r="I501" t="s">
        <v>26</v>
      </c>
      <c r="BF501" t="s">
        <v>81</v>
      </c>
    </row>
    <row r="502" spans="1:58" x14ac:dyDescent="0.3">
      <c r="A502" t="s">
        <v>560</v>
      </c>
      <c r="B502" s="5">
        <v>42145</v>
      </c>
      <c r="C502" t="s">
        <v>31</v>
      </c>
      <c r="D502" t="s">
        <v>85</v>
      </c>
      <c r="E502" t="s">
        <v>51</v>
      </c>
      <c r="F502" t="s">
        <v>118</v>
      </c>
      <c r="G502">
        <v>39</v>
      </c>
      <c r="H502">
        <v>80</v>
      </c>
      <c r="I502" t="s">
        <v>26</v>
      </c>
      <c r="BF502" t="s">
        <v>47</v>
      </c>
    </row>
    <row r="503" spans="1:58" x14ac:dyDescent="0.3">
      <c r="A503" t="s">
        <v>561</v>
      </c>
      <c r="B503" s="5">
        <v>42145</v>
      </c>
      <c r="C503" t="s">
        <v>20</v>
      </c>
      <c r="D503" t="s">
        <v>85</v>
      </c>
      <c r="E503" t="s">
        <v>21</v>
      </c>
      <c r="F503" t="s">
        <v>22</v>
      </c>
      <c r="G503">
        <v>28.5</v>
      </c>
      <c r="H503">
        <v>70</v>
      </c>
      <c r="I503" t="s">
        <v>26</v>
      </c>
      <c r="BF503" t="s">
        <v>41</v>
      </c>
    </row>
    <row r="504" spans="1:58" x14ac:dyDescent="0.3">
      <c r="A504" t="s">
        <v>562</v>
      </c>
      <c r="B504" s="5">
        <v>42145</v>
      </c>
      <c r="C504" t="s">
        <v>20</v>
      </c>
      <c r="D504" t="s">
        <v>85</v>
      </c>
      <c r="E504" t="s">
        <v>34</v>
      </c>
      <c r="F504" t="s">
        <v>188</v>
      </c>
      <c r="G504">
        <v>9.1999999999999993</v>
      </c>
      <c r="H504">
        <v>70</v>
      </c>
      <c r="I504" t="s">
        <v>26</v>
      </c>
      <c r="BF504" t="s">
        <v>22</v>
      </c>
    </row>
    <row r="505" spans="1:58" x14ac:dyDescent="0.3">
      <c r="A505" t="s">
        <v>563</v>
      </c>
      <c r="B505" s="5">
        <v>42145</v>
      </c>
      <c r="C505" t="s">
        <v>31</v>
      </c>
      <c r="D505" t="s">
        <v>85</v>
      </c>
      <c r="E505" t="s">
        <v>34</v>
      </c>
      <c r="F505" t="s">
        <v>241</v>
      </c>
      <c r="G505">
        <v>10</v>
      </c>
      <c r="H505">
        <v>24</v>
      </c>
      <c r="I505" t="s">
        <v>26</v>
      </c>
      <c r="BF505" t="s">
        <v>241</v>
      </c>
    </row>
    <row r="506" spans="1:58" x14ac:dyDescent="0.3">
      <c r="A506" t="s">
        <v>564</v>
      </c>
      <c r="B506" s="5">
        <v>42152</v>
      </c>
      <c r="C506" t="s">
        <v>20</v>
      </c>
      <c r="D506" t="s">
        <v>45</v>
      </c>
      <c r="E506" t="s">
        <v>51</v>
      </c>
      <c r="F506" t="s">
        <v>138</v>
      </c>
      <c r="G506">
        <v>32.799999999999997</v>
      </c>
      <c r="H506">
        <v>36</v>
      </c>
      <c r="I506" t="s">
        <v>26</v>
      </c>
      <c r="BF506" t="s">
        <v>72</v>
      </c>
    </row>
    <row r="507" spans="1:58" x14ac:dyDescent="0.3">
      <c r="A507" t="s">
        <v>565</v>
      </c>
      <c r="B507" s="5">
        <v>42152</v>
      </c>
      <c r="C507" t="s">
        <v>20</v>
      </c>
      <c r="D507" t="s">
        <v>45</v>
      </c>
      <c r="E507" t="s">
        <v>34</v>
      </c>
      <c r="F507" t="s">
        <v>64</v>
      </c>
      <c r="G507">
        <v>53</v>
      </c>
      <c r="H507">
        <v>80</v>
      </c>
      <c r="I507" t="s">
        <v>26</v>
      </c>
      <c r="BF507" t="s">
        <v>124</v>
      </c>
    </row>
    <row r="508" spans="1:58" x14ac:dyDescent="0.3">
      <c r="A508" t="s">
        <v>566</v>
      </c>
      <c r="B508" s="5">
        <v>42152</v>
      </c>
      <c r="C508" t="s">
        <v>11</v>
      </c>
      <c r="D508" t="s">
        <v>45</v>
      </c>
      <c r="E508" t="s">
        <v>13</v>
      </c>
      <c r="F508" t="s">
        <v>14</v>
      </c>
      <c r="G508">
        <v>7</v>
      </c>
      <c r="H508">
        <v>120</v>
      </c>
      <c r="I508" t="s">
        <v>26</v>
      </c>
      <c r="BF508" t="s">
        <v>81</v>
      </c>
    </row>
    <row r="509" spans="1:58" x14ac:dyDescent="0.3">
      <c r="A509" t="s">
        <v>567</v>
      </c>
      <c r="B509" s="5">
        <v>42152</v>
      </c>
      <c r="C509" t="s">
        <v>28</v>
      </c>
      <c r="D509" t="s">
        <v>45</v>
      </c>
      <c r="E509" t="s">
        <v>17</v>
      </c>
      <c r="F509" t="s">
        <v>54</v>
      </c>
      <c r="G509">
        <v>15</v>
      </c>
      <c r="H509">
        <v>24</v>
      </c>
      <c r="I509" t="s">
        <v>26</v>
      </c>
      <c r="BF509" t="s">
        <v>81</v>
      </c>
    </row>
    <row r="510" spans="1:58" x14ac:dyDescent="0.3">
      <c r="A510" t="s">
        <v>395</v>
      </c>
      <c r="B510" s="5">
        <v>42152</v>
      </c>
      <c r="C510" t="s">
        <v>11</v>
      </c>
      <c r="D510" t="s">
        <v>45</v>
      </c>
      <c r="E510" t="s">
        <v>34</v>
      </c>
      <c r="F510" t="s">
        <v>136</v>
      </c>
      <c r="G510">
        <v>9.5</v>
      </c>
      <c r="H510">
        <v>25</v>
      </c>
      <c r="I510" t="s">
        <v>26</v>
      </c>
      <c r="BF510" t="s">
        <v>81</v>
      </c>
    </row>
    <row r="511" spans="1:58" x14ac:dyDescent="0.3">
      <c r="A511" t="s">
        <v>568</v>
      </c>
      <c r="B511" s="5">
        <v>42158</v>
      </c>
      <c r="C511" t="s">
        <v>28</v>
      </c>
      <c r="D511" t="s">
        <v>12</v>
      </c>
      <c r="E511" t="s">
        <v>51</v>
      </c>
      <c r="F511" t="s">
        <v>81</v>
      </c>
      <c r="G511">
        <v>7</v>
      </c>
      <c r="H511">
        <v>210</v>
      </c>
      <c r="I511" t="s">
        <v>26</v>
      </c>
      <c r="BF511" t="s">
        <v>14</v>
      </c>
    </row>
    <row r="512" spans="1:58" x14ac:dyDescent="0.3">
      <c r="A512" t="s">
        <v>569</v>
      </c>
      <c r="B512" s="5">
        <v>42158</v>
      </c>
      <c r="C512" t="s">
        <v>11</v>
      </c>
      <c r="D512" t="s">
        <v>12</v>
      </c>
      <c r="E512" t="s">
        <v>51</v>
      </c>
      <c r="F512" t="s">
        <v>81</v>
      </c>
      <c r="G512">
        <v>19</v>
      </c>
      <c r="H512">
        <v>75</v>
      </c>
      <c r="I512" t="s">
        <v>26</v>
      </c>
      <c r="BF512" t="s">
        <v>81</v>
      </c>
    </row>
    <row r="513" spans="1:58" x14ac:dyDescent="0.3">
      <c r="A513" t="s">
        <v>570</v>
      </c>
      <c r="B513" s="5">
        <v>42161</v>
      </c>
      <c r="C513" t="s">
        <v>20</v>
      </c>
      <c r="D513" t="s">
        <v>85</v>
      </c>
      <c r="E513" t="s">
        <v>34</v>
      </c>
      <c r="F513" t="s">
        <v>64</v>
      </c>
      <c r="G513">
        <v>31</v>
      </c>
      <c r="H513">
        <v>40</v>
      </c>
      <c r="I513" t="s">
        <v>26</v>
      </c>
      <c r="BF513" t="s">
        <v>22</v>
      </c>
    </row>
    <row r="514" spans="1:58" x14ac:dyDescent="0.3">
      <c r="A514" t="s">
        <v>399</v>
      </c>
      <c r="B514" s="5">
        <v>42172</v>
      </c>
      <c r="C514" t="s">
        <v>11</v>
      </c>
      <c r="D514" t="s">
        <v>45</v>
      </c>
      <c r="E514" t="s">
        <v>17</v>
      </c>
      <c r="F514" t="s">
        <v>72</v>
      </c>
      <c r="G514">
        <v>18</v>
      </c>
      <c r="H514">
        <v>20</v>
      </c>
      <c r="I514" t="s">
        <v>26</v>
      </c>
      <c r="BF514" t="s">
        <v>81</v>
      </c>
    </row>
    <row r="515" spans="1:58" x14ac:dyDescent="0.3">
      <c r="A515" t="s">
        <v>571</v>
      </c>
      <c r="B515" s="5">
        <v>42172</v>
      </c>
      <c r="C515" t="s">
        <v>28</v>
      </c>
      <c r="D515" t="s">
        <v>45</v>
      </c>
      <c r="E515" t="s">
        <v>21</v>
      </c>
      <c r="F515" t="s">
        <v>22</v>
      </c>
      <c r="G515">
        <v>19.5</v>
      </c>
      <c r="H515">
        <v>12</v>
      </c>
      <c r="I515" t="s">
        <v>26</v>
      </c>
      <c r="BF515" t="s">
        <v>134</v>
      </c>
    </row>
    <row r="516" spans="1:58" x14ac:dyDescent="0.3">
      <c r="A516" t="s">
        <v>572</v>
      </c>
      <c r="B516" s="5">
        <v>42174</v>
      </c>
      <c r="C516" t="s">
        <v>11</v>
      </c>
      <c r="D516" t="s">
        <v>12</v>
      </c>
      <c r="E516" t="s">
        <v>17</v>
      </c>
      <c r="F516" t="s">
        <v>25</v>
      </c>
      <c r="G516">
        <v>7.75</v>
      </c>
      <c r="H516">
        <v>100</v>
      </c>
      <c r="I516" t="s">
        <v>15</v>
      </c>
      <c r="BF516" t="s">
        <v>39</v>
      </c>
    </row>
    <row r="517" spans="1:58" x14ac:dyDescent="0.3">
      <c r="A517" t="s">
        <v>402</v>
      </c>
      <c r="B517" s="5">
        <v>42179</v>
      </c>
      <c r="C517" t="s">
        <v>20</v>
      </c>
      <c r="D517" t="s">
        <v>12</v>
      </c>
      <c r="E517" t="s">
        <v>34</v>
      </c>
      <c r="F517" t="s">
        <v>136</v>
      </c>
      <c r="G517">
        <v>9.5</v>
      </c>
      <c r="H517">
        <v>75</v>
      </c>
      <c r="I517" t="s">
        <v>15</v>
      </c>
      <c r="BF517" t="s">
        <v>14</v>
      </c>
    </row>
    <row r="518" spans="1:58" x14ac:dyDescent="0.3">
      <c r="A518" t="s">
        <v>573</v>
      </c>
      <c r="B518" s="5">
        <v>42180</v>
      </c>
      <c r="C518" t="s">
        <v>31</v>
      </c>
      <c r="D518" t="s">
        <v>12</v>
      </c>
      <c r="E518" t="s">
        <v>17</v>
      </c>
      <c r="F518" t="s">
        <v>72</v>
      </c>
      <c r="G518">
        <v>18</v>
      </c>
      <c r="H518">
        <v>40</v>
      </c>
      <c r="I518" t="s">
        <v>15</v>
      </c>
      <c r="BF518" t="s">
        <v>134</v>
      </c>
    </row>
    <row r="519" spans="1:58" x14ac:dyDescent="0.3">
      <c r="A519" t="s">
        <v>574</v>
      </c>
      <c r="B519" s="5">
        <v>42180</v>
      </c>
      <c r="C519" t="s">
        <v>31</v>
      </c>
      <c r="D519" t="s">
        <v>12</v>
      </c>
      <c r="E519" t="s">
        <v>21</v>
      </c>
      <c r="F519" t="s">
        <v>97</v>
      </c>
      <c r="G519">
        <v>13</v>
      </c>
      <c r="H519">
        <v>160</v>
      </c>
      <c r="I519" t="s">
        <v>15</v>
      </c>
      <c r="BF519" t="s">
        <v>66</v>
      </c>
    </row>
    <row r="520" spans="1:58" x14ac:dyDescent="0.3">
      <c r="A520" t="s">
        <v>575</v>
      </c>
      <c r="B520" s="5">
        <v>42193</v>
      </c>
      <c r="C520" t="s">
        <v>31</v>
      </c>
      <c r="D520" t="s">
        <v>45</v>
      </c>
      <c r="E520" t="s">
        <v>34</v>
      </c>
      <c r="F520" t="s">
        <v>90</v>
      </c>
      <c r="G520">
        <v>49.3</v>
      </c>
      <c r="H520">
        <v>100</v>
      </c>
      <c r="I520" t="s">
        <v>26</v>
      </c>
      <c r="BF520" t="s">
        <v>79</v>
      </c>
    </row>
    <row r="521" spans="1:58" x14ac:dyDescent="0.3">
      <c r="A521" t="s">
        <v>576</v>
      </c>
      <c r="B521" s="5">
        <v>42200</v>
      </c>
      <c r="C521" t="s">
        <v>31</v>
      </c>
      <c r="D521" t="s">
        <v>12</v>
      </c>
      <c r="E521" t="s">
        <v>51</v>
      </c>
      <c r="F521" t="s">
        <v>81</v>
      </c>
      <c r="G521">
        <v>24</v>
      </c>
      <c r="H521">
        <v>180</v>
      </c>
      <c r="I521" t="s">
        <v>26</v>
      </c>
      <c r="BF521" t="s">
        <v>186</v>
      </c>
    </row>
    <row r="522" spans="1:58" x14ac:dyDescent="0.3">
      <c r="A522" t="s">
        <v>577</v>
      </c>
      <c r="B522" s="5">
        <v>42200</v>
      </c>
      <c r="C522" t="s">
        <v>31</v>
      </c>
      <c r="D522" t="s">
        <v>12</v>
      </c>
      <c r="E522" t="s">
        <v>21</v>
      </c>
      <c r="F522" t="s">
        <v>111</v>
      </c>
      <c r="G522">
        <v>22</v>
      </c>
      <c r="H522">
        <v>180</v>
      </c>
      <c r="I522" t="s">
        <v>26</v>
      </c>
      <c r="BF522" t="s">
        <v>14</v>
      </c>
    </row>
    <row r="523" spans="1:58" x14ac:dyDescent="0.3">
      <c r="A523" t="s">
        <v>578</v>
      </c>
      <c r="B523" s="5">
        <v>42200</v>
      </c>
      <c r="C523" t="s">
        <v>11</v>
      </c>
      <c r="D523" t="s">
        <v>12</v>
      </c>
      <c r="E523" t="s">
        <v>34</v>
      </c>
      <c r="F523" t="s">
        <v>90</v>
      </c>
      <c r="G523">
        <v>49.3</v>
      </c>
      <c r="H523">
        <v>80</v>
      </c>
      <c r="I523" t="s">
        <v>26</v>
      </c>
      <c r="BF523" t="s">
        <v>99</v>
      </c>
    </row>
    <row r="524" spans="1:58" x14ac:dyDescent="0.3">
      <c r="A524" t="s">
        <v>579</v>
      </c>
      <c r="B524" s="5">
        <v>42214</v>
      </c>
      <c r="C524" t="s">
        <v>11</v>
      </c>
      <c r="D524" t="s">
        <v>45</v>
      </c>
      <c r="E524" t="s">
        <v>17</v>
      </c>
      <c r="F524" t="s">
        <v>54</v>
      </c>
      <c r="G524">
        <v>15</v>
      </c>
      <c r="H524">
        <v>40</v>
      </c>
      <c r="I524" t="s">
        <v>26</v>
      </c>
      <c r="BF524" t="s">
        <v>124</v>
      </c>
    </row>
    <row r="525" spans="1:58" x14ac:dyDescent="0.3">
      <c r="A525" t="s">
        <v>580</v>
      </c>
      <c r="B525" s="5">
        <v>42214</v>
      </c>
      <c r="C525" t="s">
        <v>31</v>
      </c>
      <c r="D525" t="s">
        <v>45</v>
      </c>
      <c r="E525" t="s">
        <v>13</v>
      </c>
      <c r="F525" t="s">
        <v>14</v>
      </c>
      <c r="G525">
        <v>9</v>
      </c>
      <c r="H525">
        <v>90</v>
      </c>
      <c r="I525" t="s">
        <v>26</v>
      </c>
      <c r="BF525" t="s">
        <v>14</v>
      </c>
    </row>
    <row r="526" spans="1:58" x14ac:dyDescent="0.3">
      <c r="A526" t="s">
        <v>581</v>
      </c>
      <c r="B526" s="5">
        <v>42214</v>
      </c>
      <c r="C526" t="s">
        <v>11</v>
      </c>
      <c r="D526" t="s">
        <v>45</v>
      </c>
      <c r="E526" t="s">
        <v>13</v>
      </c>
      <c r="F526" t="s">
        <v>124</v>
      </c>
      <c r="G526">
        <v>21.5</v>
      </c>
      <c r="H526">
        <v>45</v>
      </c>
      <c r="I526" t="s">
        <v>26</v>
      </c>
      <c r="BF526" t="s">
        <v>81</v>
      </c>
    </row>
    <row r="527" spans="1:58" x14ac:dyDescent="0.3">
      <c r="A527" t="s">
        <v>582</v>
      </c>
      <c r="B527" s="5">
        <v>42214</v>
      </c>
      <c r="C527" t="s">
        <v>28</v>
      </c>
      <c r="D527" t="s">
        <v>45</v>
      </c>
      <c r="E527" t="s">
        <v>34</v>
      </c>
      <c r="F527" t="s">
        <v>188</v>
      </c>
      <c r="G527">
        <v>9.1999999999999993</v>
      </c>
      <c r="H527">
        <v>50</v>
      </c>
      <c r="I527" t="s">
        <v>26</v>
      </c>
      <c r="BF527" t="s">
        <v>99</v>
      </c>
    </row>
    <row r="528" spans="1:58" x14ac:dyDescent="0.3">
      <c r="A528" t="s">
        <v>583</v>
      </c>
      <c r="B528" s="5">
        <v>42215</v>
      </c>
      <c r="C528" t="s">
        <v>28</v>
      </c>
      <c r="D528" t="s">
        <v>12</v>
      </c>
      <c r="E528" t="s">
        <v>17</v>
      </c>
      <c r="F528" t="s">
        <v>18</v>
      </c>
      <c r="G528">
        <v>19</v>
      </c>
      <c r="H528">
        <v>120</v>
      </c>
      <c r="I528" t="s">
        <v>26</v>
      </c>
      <c r="BF528" t="s">
        <v>32</v>
      </c>
    </row>
    <row r="529" spans="1:58" x14ac:dyDescent="0.3">
      <c r="A529" t="s">
        <v>109</v>
      </c>
      <c r="B529" s="5">
        <v>42215</v>
      </c>
      <c r="C529" t="s">
        <v>31</v>
      </c>
      <c r="D529" t="s">
        <v>12</v>
      </c>
      <c r="E529" t="s">
        <v>34</v>
      </c>
      <c r="F529" t="s">
        <v>43</v>
      </c>
      <c r="G529">
        <v>12.5</v>
      </c>
      <c r="H529">
        <v>180</v>
      </c>
      <c r="I529" t="s">
        <v>26</v>
      </c>
      <c r="BF529" t="s">
        <v>99</v>
      </c>
    </row>
    <row r="530" spans="1:58" x14ac:dyDescent="0.3">
      <c r="A530" t="s">
        <v>584</v>
      </c>
      <c r="B530" s="5">
        <v>42221</v>
      </c>
      <c r="C530" t="s">
        <v>11</v>
      </c>
      <c r="D530" t="s">
        <v>85</v>
      </c>
      <c r="E530" t="s">
        <v>51</v>
      </c>
      <c r="F530" t="s">
        <v>52</v>
      </c>
      <c r="G530">
        <v>123.79</v>
      </c>
      <c r="H530">
        <v>100</v>
      </c>
      <c r="I530" t="s">
        <v>26</v>
      </c>
      <c r="BF530" t="s">
        <v>47</v>
      </c>
    </row>
    <row r="531" spans="1:58" x14ac:dyDescent="0.3">
      <c r="A531" t="s">
        <v>585</v>
      </c>
      <c r="B531" s="5">
        <v>42221</v>
      </c>
      <c r="C531" t="s">
        <v>20</v>
      </c>
      <c r="D531" t="s">
        <v>85</v>
      </c>
      <c r="E531" t="s">
        <v>51</v>
      </c>
      <c r="F531" t="s">
        <v>81</v>
      </c>
      <c r="G531">
        <v>33.25</v>
      </c>
      <c r="H531">
        <v>18</v>
      </c>
      <c r="I531" t="s">
        <v>26</v>
      </c>
      <c r="BF531" t="s">
        <v>22</v>
      </c>
    </row>
    <row r="532" spans="1:58" x14ac:dyDescent="0.3">
      <c r="A532" t="s">
        <v>417</v>
      </c>
      <c r="B532" s="5">
        <v>42228</v>
      </c>
      <c r="C532" t="s">
        <v>11</v>
      </c>
      <c r="D532" t="s">
        <v>12</v>
      </c>
      <c r="E532" t="s">
        <v>51</v>
      </c>
      <c r="F532" t="s">
        <v>81</v>
      </c>
      <c r="G532">
        <v>38</v>
      </c>
      <c r="H532">
        <v>60</v>
      </c>
      <c r="I532" t="s">
        <v>15</v>
      </c>
      <c r="BF532" t="s">
        <v>54</v>
      </c>
    </row>
    <row r="533" spans="1:58" x14ac:dyDescent="0.3">
      <c r="A533" t="s">
        <v>586</v>
      </c>
      <c r="B533" s="5">
        <v>42228</v>
      </c>
      <c r="C533" t="s">
        <v>28</v>
      </c>
      <c r="D533" t="s">
        <v>12</v>
      </c>
      <c r="E533" t="s">
        <v>13</v>
      </c>
      <c r="F533" t="s">
        <v>14</v>
      </c>
      <c r="G533">
        <v>21</v>
      </c>
      <c r="H533">
        <v>100</v>
      </c>
      <c r="I533" t="s">
        <v>15</v>
      </c>
      <c r="BF533" t="s">
        <v>22</v>
      </c>
    </row>
    <row r="534" spans="1:58" x14ac:dyDescent="0.3">
      <c r="A534" t="s">
        <v>419</v>
      </c>
      <c r="B534" s="5">
        <v>42228</v>
      </c>
      <c r="C534" t="s">
        <v>31</v>
      </c>
      <c r="D534" t="s">
        <v>12</v>
      </c>
      <c r="E534" t="s">
        <v>34</v>
      </c>
      <c r="F534" t="s">
        <v>64</v>
      </c>
      <c r="G534">
        <v>16.25</v>
      </c>
      <c r="H534">
        <v>125</v>
      </c>
      <c r="I534" t="s">
        <v>15</v>
      </c>
      <c r="BF534" t="s">
        <v>268</v>
      </c>
    </row>
    <row r="535" spans="1:58" x14ac:dyDescent="0.3">
      <c r="A535" t="s">
        <v>587</v>
      </c>
      <c r="B535" s="5">
        <v>42234</v>
      </c>
      <c r="C535" t="s">
        <v>11</v>
      </c>
      <c r="D535" t="s">
        <v>12</v>
      </c>
      <c r="E535" t="s">
        <v>17</v>
      </c>
      <c r="F535" t="s">
        <v>29</v>
      </c>
      <c r="G535">
        <v>46</v>
      </c>
      <c r="H535">
        <v>100</v>
      </c>
      <c r="I535" t="s">
        <v>26</v>
      </c>
      <c r="BF535" t="s">
        <v>81</v>
      </c>
    </row>
    <row r="536" spans="1:58" x14ac:dyDescent="0.3">
      <c r="A536" t="s">
        <v>588</v>
      </c>
      <c r="B536" s="5">
        <v>42234</v>
      </c>
      <c r="C536" t="s">
        <v>11</v>
      </c>
      <c r="D536" t="s">
        <v>12</v>
      </c>
      <c r="E536" t="s">
        <v>17</v>
      </c>
      <c r="F536" t="s">
        <v>54</v>
      </c>
      <c r="G536">
        <v>12</v>
      </c>
      <c r="H536">
        <v>63</v>
      </c>
      <c r="I536" t="s">
        <v>26</v>
      </c>
      <c r="BF536" t="s">
        <v>54</v>
      </c>
    </row>
    <row r="537" spans="1:58" x14ac:dyDescent="0.3">
      <c r="A537" t="s">
        <v>422</v>
      </c>
      <c r="B537" s="5">
        <v>42235</v>
      </c>
      <c r="C537" t="s">
        <v>20</v>
      </c>
      <c r="D537" t="s">
        <v>12</v>
      </c>
      <c r="E537" t="s">
        <v>13</v>
      </c>
      <c r="F537" t="s">
        <v>14</v>
      </c>
      <c r="G537">
        <v>19</v>
      </c>
      <c r="H537">
        <v>15</v>
      </c>
      <c r="I537" t="s">
        <v>15</v>
      </c>
      <c r="BF537" t="s">
        <v>81</v>
      </c>
    </row>
    <row r="538" spans="1:58" x14ac:dyDescent="0.3">
      <c r="A538" t="s">
        <v>589</v>
      </c>
      <c r="B538" s="5">
        <v>42235</v>
      </c>
      <c r="C538" t="s">
        <v>31</v>
      </c>
      <c r="D538" t="s">
        <v>85</v>
      </c>
      <c r="E538" t="s">
        <v>17</v>
      </c>
      <c r="F538" t="s">
        <v>54</v>
      </c>
      <c r="G538">
        <v>62.5</v>
      </c>
      <c r="H538">
        <v>200</v>
      </c>
      <c r="I538" t="s">
        <v>15</v>
      </c>
      <c r="BF538" t="s">
        <v>56</v>
      </c>
    </row>
    <row r="539" spans="1:58" x14ac:dyDescent="0.3">
      <c r="A539" t="s">
        <v>424</v>
      </c>
      <c r="B539" s="5">
        <v>42236</v>
      </c>
      <c r="C539" t="s">
        <v>31</v>
      </c>
      <c r="D539" t="s">
        <v>12</v>
      </c>
      <c r="E539" t="s">
        <v>17</v>
      </c>
      <c r="F539" t="s">
        <v>37</v>
      </c>
      <c r="G539">
        <v>18</v>
      </c>
      <c r="H539">
        <v>20</v>
      </c>
      <c r="I539" t="s">
        <v>26</v>
      </c>
      <c r="BF539" t="s">
        <v>90</v>
      </c>
    </row>
    <row r="540" spans="1:58" x14ac:dyDescent="0.3">
      <c r="A540" t="s">
        <v>590</v>
      </c>
      <c r="B540" s="5">
        <v>42236</v>
      </c>
      <c r="C540" t="s">
        <v>11</v>
      </c>
      <c r="D540" t="s">
        <v>12</v>
      </c>
      <c r="E540" t="s">
        <v>34</v>
      </c>
      <c r="F540" t="s">
        <v>188</v>
      </c>
      <c r="G540">
        <v>9.1999999999999993</v>
      </c>
      <c r="H540">
        <v>300</v>
      </c>
      <c r="I540" t="s">
        <v>26</v>
      </c>
      <c r="BF540" t="s">
        <v>268</v>
      </c>
    </row>
    <row r="541" spans="1:58" x14ac:dyDescent="0.3">
      <c r="A541" t="s">
        <v>591</v>
      </c>
      <c r="B541" s="5">
        <v>42237</v>
      </c>
      <c r="C541" t="s">
        <v>20</v>
      </c>
      <c r="D541" t="s">
        <v>12</v>
      </c>
      <c r="E541" t="s">
        <v>17</v>
      </c>
      <c r="F541" t="s">
        <v>128</v>
      </c>
      <c r="G541">
        <v>4.5</v>
      </c>
      <c r="H541">
        <v>90</v>
      </c>
      <c r="I541" t="s">
        <v>26</v>
      </c>
      <c r="BF541" t="s">
        <v>14</v>
      </c>
    </row>
    <row r="542" spans="1:58" x14ac:dyDescent="0.3">
      <c r="A542" t="s">
        <v>592</v>
      </c>
      <c r="B542" s="5">
        <v>42237</v>
      </c>
      <c r="C542" t="s">
        <v>20</v>
      </c>
      <c r="D542" t="s">
        <v>12</v>
      </c>
      <c r="E542" t="s">
        <v>21</v>
      </c>
      <c r="F542" t="s">
        <v>22</v>
      </c>
      <c r="G542">
        <v>21</v>
      </c>
      <c r="H542">
        <v>105</v>
      </c>
      <c r="I542" t="s">
        <v>26</v>
      </c>
      <c r="BF542" t="s">
        <v>118</v>
      </c>
    </row>
    <row r="543" spans="1:58" x14ac:dyDescent="0.3">
      <c r="A543" t="s">
        <v>593</v>
      </c>
      <c r="B543" s="5">
        <v>42238</v>
      </c>
      <c r="C543" t="s">
        <v>20</v>
      </c>
      <c r="D543" t="s">
        <v>12</v>
      </c>
      <c r="E543" t="s">
        <v>51</v>
      </c>
      <c r="F543" t="s">
        <v>268</v>
      </c>
      <c r="G543">
        <v>7.45</v>
      </c>
      <c r="H543">
        <v>150</v>
      </c>
      <c r="I543" t="s">
        <v>26</v>
      </c>
      <c r="BF543" t="s">
        <v>52</v>
      </c>
    </row>
    <row r="544" spans="1:58" x14ac:dyDescent="0.3">
      <c r="A544" t="s">
        <v>594</v>
      </c>
      <c r="B544" s="5">
        <v>42238</v>
      </c>
      <c r="C544" t="s">
        <v>31</v>
      </c>
      <c r="D544" t="s">
        <v>12</v>
      </c>
      <c r="E544" t="s">
        <v>51</v>
      </c>
      <c r="F544" t="s">
        <v>138</v>
      </c>
      <c r="G544">
        <v>32.799999999999997</v>
      </c>
      <c r="H544">
        <v>250</v>
      </c>
      <c r="I544" t="s">
        <v>26</v>
      </c>
      <c r="BF544" t="s">
        <v>66</v>
      </c>
    </row>
    <row r="545" spans="1:58" x14ac:dyDescent="0.3">
      <c r="A545" t="s">
        <v>595</v>
      </c>
      <c r="B545" s="5">
        <v>42238</v>
      </c>
      <c r="C545" t="s">
        <v>20</v>
      </c>
      <c r="D545" t="s">
        <v>12</v>
      </c>
      <c r="E545" t="s">
        <v>17</v>
      </c>
      <c r="F545" t="s">
        <v>54</v>
      </c>
      <c r="G545">
        <v>25.89</v>
      </c>
      <c r="H545">
        <v>240</v>
      </c>
      <c r="I545" t="s">
        <v>26</v>
      </c>
      <c r="BF545" t="s">
        <v>81</v>
      </c>
    </row>
    <row r="546" spans="1:58" x14ac:dyDescent="0.3">
      <c r="A546" t="s">
        <v>596</v>
      </c>
      <c r="B546" s="5">
        <v>42241</v>
      </c>
      <c r="C546" t="s">
        <v>11</v>
      </c>
      <c r="D546" t="s">
        <v>12</v>
      </c>
      <c r="E546" t="s">
        <v>17</v>
      </c>
      <c r="F546" t="s">
        <v>54</v>
      </c>
      <c r="G546">
        <v>14</v>
      </c>
      <c r="H546">
        <v>140</v>
      </c>
      <c r="I546" t="s">
        <v>26</v>
      </c>
    </row>
    <row r="547" spans="1:58" x14ac:dyDescent="0.3">
      <c r="A547" t="s">
        <v>597</v>
      </c>
      <c r="B547" s="5">
        <v>42241</v>
      </c>
      <c r="C547" t="s">
        <v>31</v>
      </c>
      <c r="D547" t="s">
        <v>12</v>
      </c>
      <c r="E547" t="s">
        <v>21</v>
      </c>
      <c r="F547" t="s">
        <v>22</v>
      </c>
      <c r="G547">
        <v>25.89</v>
      </c>
      <c r="H547">
        <v>8</v>
      </c>
      <c r="I547" t="s">
        <v>26</v>
      </c>
    </row>
    <row r="548" spans="1:58" x14ac:dyDescent="0.3">
      <c r="A548" t="s">
        <v>598</v>
      </c>
      <c r="B548" s="5">
        <v>42245</v>
      </c>
      <c r="C548" t="s">
        <v>11</v>
      </c>
      <c r="D548" t="s">
        <v>12</v>
      </c>
      <c r="E548" t="s">
        <v>17</v>
      </c>
      <c r="F548" t="s">
        <v>54</v>
      </c>
      <c r="G548">
        <v>15</v>
      </c>
      <c r="H548">
        <v>320</v>
      </c>
      <c r="I548" t="s">
        <v>26</v>
      </c>
    </row>
    <row r="549" spans="1:58" x14ac:dyDescent="0.3">
      <c r="A549" t="s">
        <v>535</v>
      </c>
      <c r="B549" s="5">
        <v>42245</v>
      </c>
      <c r="C549" t="s">
        <v>31</v>
      </c>
      <c r="D549" t="s">
        <v>12</v>
      </c>
      <c r="E549" t="s">
        <v>13</v>
      </c>
      <c r="F549" t="s">
        <v>99</v>
      </c>
      <c r="G549">
        <v>12.5</v>
      </c>
      <c r="H549">
        <v>40</v>
      </c>
      <c r="I549" t="s">
        <v>26</v>
      </c>
    </row>
    <row r="550" spans="1:58" x14ac:dyDescent="0.3">
      <c r="A550" t="s">
        <v>599</v>
      </c>
      <c r="B550" s="5">
        <v>42245</v>
      </c>
      <c r="C550" t="s">
        <v>31</v>
      </c>
      <c r="D550" t="s">
        <v>12</v>
      </c>
      <c r="E550" t="s">
        <v>17</v>
      </c>
      <c r="F550" t="s">
        <v>54</v>
      </c>
      <c r="G550">
        <v>18.399999999999999</v>
      </c>
      <c r="H550">
        <v>48</v>
      </c>
      <c r="I550" t="s">
        <v>26</v>
      </c>
    </row>
    <row r="551" spans="1:58" x14ac:dyDescent="0.3">
      <c r="A551" t="s">
        <v>600</v>
      </c>
      <c r="B551" s="5">
        <v>42258</v>
      </c>
      <c r="C551" t="s">
        <v>28</v>
      </c>
      <c r="D551" t="s">
        <v>45</v>
      </c>
      <c r="E551" t="s">
        <v>21</v>
      </c>
      <c r="F551" t="s">
        <v>22</v>
      </c>
      <c r="G551">
        <v>9</v>
      </c>
      <c r="H551">
        <v>35</v>
      </c>
      <c r="I551" t="s">
        <v>26</v>
      </c>
    </row>
    <row r="552" spans="1:58" x14ac:dyDescent="0.3">
      <c r="A552" t="s">
        <v>601</v>
      </c>
      <c r="B552" s="5">
        <v>42269</v>
      </c>
      <c r="C552" t="s">
        <v>11</v>
      </c>
      <c r="D552" t="s">
        <v>12</v>
      </c>
      <c r="E552" t="s">
        <v>17</v>
      </c>
      <c r="F552" t="s">
        <v>54</v>
      </c>
      <c r="G552">
        <v>31</v>
      </c>
      <c r="H552">
        <v>120</v>
      </c>
      <c r="I552" t="s">
        <v>26</v>
      </c>
    </row>
    <row r="553" spans="1:58" x14ac:dyDescent="0.3">
      <c r="A553" t="s">
        <v>602</v>
      </c>
      <c r="B553" s="5">
        <v>42269</v>
      </c>
      <c r="C553" t="s">
        <v>20</v>
      </c>
      <c r="D553" t="s">
        <v>12</v>
      </c>
      <c r="E553" t="s">
        <v>34</v>
      </c>
      <c r="F553" t="s">
        <v>136</v>
      </c>
      <c r="G553">
        <v>9.5</v>
      </c>
      <c r="H553">
        <v>150</v>
      </c>
      <c r="I553" t="s">
        <v>26</v>
      </c>
    </row>
    <row r="554" spans="1:58" x14ac:dyDescent="0.3">
      <c r="A554" t="s">
        <v>603</v>
      </c>
      <c r="B554" s="5">
        <v>42272</v>
      </c>
      <c r="C554" t="s">
        <v>20</v>
      </c>
      <c r="D554" t="s">
        <v>12</v>
      </c>
      <c r="E554" t="s">
        <v>21</v>
      </c>
      <c r="F554" t="s">
        <v>97</v>
      </c>
      <c r="G554">
        <v>13</v>
      </c>
      <c r="H554">
        <v>240</v>
      </c>
      <c r="I554" t="s">
        <v>15</v>
      </c>
    </row>
    <row r="555" spans="1:58" x14ac:dyDescent="0.3">
      <c r="A555" t="s">
        <v>604</v>
      </c>
      <c r="B555" s="5">
        <v>42272</v>
      </c>
      <c r="C555" t="s">
        <v>31</v>
      </c>
      <c r="D555" t="s">
        <v>12</v>
      </c>
      <c r="E555" t="s">
        <v>51</v>
      </c>
      <c r="F555" t="s">
        <v>81</v>
      </c>
      <c r="G555">
        <v>38</v>
      </c>
      <c r="H555">
        <v>120</v>
      </c>
      <c r="I555" t="s">
        <v>15</v>
      </c>
    </row>
    <row r="556" spans="1:58" x14ac:dyDescent="0.3">
      <c r="A556" t="s">
        <v>605</v>
      </c>
      <c r="B556" s="5">
        <v>42284</v>
      </c>
      <c r="C556" t="s">
        <v>20</v>
      </c>
      <c r="D556" t="s">
        <v>12</v>
      </c>
      <c r="E556" t="s">
        <v>17</v>
      </c>
      <c r="F556" t="s">
        <v>128</v>
      </c>
      <c r="G556">
        <v>4.5</v>
      </c>
      <c r="H556">
        <v>105</v>
      </c>
      <c r="I556" t="s">
        <v>15</v>
      </c>
    </row>
    <row r="557" spans="1:58" x14ac:dyDescent="0.3">
      <c r="A557" t="s">
        <v>606</v>
      </c>
      <c r="B557" s="5">
        <v>42284</v>
      </c>
      <c r="C557" t="s">
        <v>11</v>
      </c>
      <c r="D557" t="s">
        <v>12</v>
      </c>
      <c r="E557" t="s">
        <v>21</v>
      </c>
      <c r="F557" t="s">
        <v>111</v>
      </c>
      <c r="G557">
        <v>22</v>
      </c>
      <c r="H557">
        <v>18</v>
      </c>
      <c r="I557" t="s">
        <v>15</v>
      </c>
    </row>
    <row r="558" spans="1:58" x14ac:dyDescent="0.3">
      <c r="A558" t="s">
        <v>607</v>
      </c>
      <c r="B558" s="5">
        <v>42284</v>
      </c>
      <c r="C558" t="s">
        <v>31</v>
      </c>
      <c r="D558" t="s">
        <v>12</v>
      </c>
      <c r="E558" t="s">
        <v>34</v>
      </c>
      <c r="F558" t="s">
        <v>339</v>
      </c>
      <c r="G558">
        <v>12.75</v>
      </c>
      <c r="H558">
        <v>120</v>
      </c>
      <c r="I558" t="s">
        <v>15</v>
      </c>
    </row>
    <row r="559" spans="1:58" x14ac:dyDescent="0.3">
      <c r="A559" t="s">
        <v>399</v>
      </c>
      <c r="B559" s="5">
        <v>42286</v>
      </c>
      <c r="C559" t="s">
        <v>11</v>
      </c>
      <c r="D559" t="s">
        <v>45</v>
      </c>
      <c r="E559" t="s">
        <v>17</v>
      </c>
      <c r="F559" t="s">
        <v>54</v>
      </c>
      <c r="G559">
        <v>15</v>
      </c>
      <c r="H559">
        <v>224</v>
      </c>
      <c r="I559" t="s">
        <v>26</v>
      </c>
    </row>
    <row r="560" spans="1:58" x14ac:dyDescent="0.3">
      <c r="A560" t="s">
        <v>608</v>
      </c>
      <c r="B560" s="5">
        <v>42286</v>
      </c>
      <c r="C560" t="s">
        <v>20</v>
      </c>
      <c r="D560" t="s">
        <v>45</v>
      </c>
      <c r="E560" t="s">
        <v>51</v>
      </c>
      <c r="F560" t="s">
        <v>81</v>
      </c>
      <c r="G560">
        <v>24</v>
      </c>
      <c r="H560">
        <v>63</v>
      </c>
      <c r="I560" t="s">
        <v>26</v>
      </c>
    </row>
    <row r="561" spans="1:9" x14ac:dyDescent="0.3">
      <c r="A561" t="s">
        <v>443</v>
      </c>
      <c r="B561" s="5">
        <v>42286</v>
      </c>
      <c r="C561" t="s">
        <v>11</v>
      </c>
      <c r="D561" t="s">
        <v>45</v>
      </c>
      <c r="E561" t="s">
        <v>34</v>
      </c>
      <c r="F561" t="s">
        <v>64</v>
      </c>
      <c r="G561">
        <v>19.5</v>
      </c>
      <c r="H561">
        <v>40</v>
      </c>
      <c r="I561" t="s">
        <v>26</v>
      </c>
    </row>
    <row r="562" spans="1:9" x14ac:dyDescent="0.3">
      <c r="A562" t="s">
        <v>609</v>
      </c>
      <c r="B562" s="5">
        <v>42287</v>
      </c>
      <c r="C562" t="s">
        <v>11</v>
      </c>
      <c r="D562" t="s">
        <v>12</v>
      </c>
      <c r="E562" t="s">
        <v>21</v>
      </c>
      <c r="F562" t="s">
        <v>47</v>
      </c>
      <c r="G562">
        <v>40</v>
      </c>
      <c r="H562">
        <v>200</v>
      </c>
      <c r="I562" t="s">
        <v>26</v>
      </c>
    </row>
    <row r="563" spans="1:9" x14ac:dyDescent="0.3">
      <c r="A563" t="s">
        <v>610</v>
      </c>
      <c r="B563" s="5">
        <v>42287</v>
      </c>
      <c r="C563" t="s">
        <v>11</v>
      </c>
      <c r="D563" t="s">
        <v>12</v>
      </c>
      <c r="E563" t="s">
        <v>34</v>
      </c>
      <c r="F563" t="s">
        <v>64</v>
      </c>
      <c r="G563">
        <v>53</v>
      </c>
      <c r="H563">
        <v>168</v>
      </c>
      <c r="I563" t="s">
        <v>26</v>
      </c>
    </row>
    <row r="564" spans="1:9" x14ac:dyDescent="0.3">
      <c r="A564" t="s">
        <v>446</v>
      </c>
      <c r="B564" s="5">
        <v>42287</v>
      </c>
      <c r="C564" t="s">
        <v>20</v>
      </c>
      <c r="D564" t="s">
        <v>12</v>
      </c>
      <c r="E564" t="s">
        <v>13</v>
      </c>
      <c r="F564" t="s">
        <v>41</v>
      </c>
      <c r="G564">
        <v>34</v>
      </c>
      <c r="H564">
        <v>10</v>
      </c>
      <c r="I564" t="s">
        <v>26</v>
      </c>
    </row>
    <row r="565" spans="1:9" x14ac:dyDescent="0.3">
      <c r="A565" t="s">
        <v>611</v>
      </c>
      <c r="B565" s="5">
        <v>42294</v>
      </c>
      <c r="C565" t="s">
        <v>28</v>
      </c>
      <c r="D565" t="s">
        <v>24</v>
      </c>
      <c r="E565" t="s">
        <v>21</v>
      </c>
      <c r="F565" t="s">
        <v>22</v>
      </c>
      <c r="G565">
        <v>28.5</v>
      </c>
      <c r="H565">
        <v>40</v>
      </c>
      <c r="I565" t="s">
        <v>26</v>
      </c>
    </row>
    <row r="566" spans="1:9" x14ac:dyDescent="0.3">
      <c r="A566" t="s">
        <v>612</v>
      </c>
      <c r="B566" s="5">
        <v>42294</v>
      </c>
      <c r="C566" t="s">
        <v>20</v>
      </c>
      <c r="D566" t="s">
        <v>24</v>
      </c>
      <c r="E566" t="s">
        <v>34</v>
      </c>
      <c r="F566" t="s">
        <v>241</v>
      </c>
      <c r="G566">
        <v>10</v>
      </c>
      <c r="H566">
        <v>20</v>
      </c>
      <c r="I566" t="s">
        <v>26</v>
      </c>
    </row>
    <row r="567" spans="1:9" x14ac:dyDescent="0.3">
      <c r="A567" t="s">
        <v>613</v>
      </c>
      <c r="B567" s="5">
        <v>42298</v>
      </c>
      <c r="C567" t="s">
        <v>28</v>
      </c>
      <c r="D567" t="s">
        <v>12</v>
      </c>
      <c r="E567" t="s">
        <v>17</v>
      </c>
      <c r="F567" t="s">
        <v>72</v>
      </c>
      <c r="G567">
        <v>18</v>
      </c>
      <c r="H567">
        <v>84</v>
      </c>
      <c r="I567" t="s">
        <v>26</v>
      </c>
    </row>
    <row r="568" spans="1:9" x14ac:dyDescent="0.3">
      <c r="A568" t="s">
        <v>614</v>
      </c>
      <c r="B568" s="5">
        <v>42298</v>
      </c>
      <c r="C568" t="s">
        <v>11</v>
      </c>
      <c r="D568" t="s">
        <v>12</v>
      </c>
      <c r="E568" t="s">
        <v>13</v>
      </c>
      <c r="F568" t="s">
        <v>124</v>
      </c>
      <c r="G568">
        <v>21.5</v>
      </c>
      <c r="H568">
        <v>24</v>
      </c>
      <c r="I568" t="s">
        <v>26</v>
      </c>
    </row>
    <row r="569" spans="1:9" x14ac:dyDescent="0.3">
      <c r="A569" t="s">
        <v>615</v>
      </c>
      <c r="B569" s="5">
        <v>42301</v>
      </c>
      <c r="C569" t="s">
        <v>11</v>
      </c>
      <c r="D569" t="s">
        <v>12</v>
      </c>
      <c r="E569" t="s">
        <v>51</v>
      </c>
      <c r="F569" t="s">
        <v>81</v>
      </c>
      <c r="G569">
        <v>24</v>
      </c>
      <c r="H569">
        <v>30</v>
      </c>
      <c r="I569" t="s">
        <v>26</v>
      </c>
    </row>
    <row r="570" spans="1:9" x14ac:dyDescent="0.3">
      <c r="A570" t="s">
        <v>452</v>
      </c>
      <c r="B570" s="5">
        <v>42301</v>
      </c>
      <c r="C570" t="s">
        <v>20</v>
      </c>
      <c r="D570" t="s">
        <v>12</v>
      </c>
      <c r="E570" t="s">
        <v>51</v>
      </c>
      <c r="F570" t="s">
        <v>81</v>
      </c>
      <c r="G570">
        <v>7</v>
      </c>
      <c r="H570">
        <v>4</v>
      </c>
      <c r="I570" t="s">
        <v>26</v>
      </c>
    </row>
    <row r="571" spans="1:9" x14ac:dyDescent="0.3">
      <c r="A571" t="s">
        <v>616</v>
      </c>
      <c r="B571" s="5">
        <v>42301</v>
      </c>
      <c r="C571" t="s">
        <v>28</v>
      </c>
      <c r="D571" t="s">
        <v>12</v>
      </c>
      <c r="E571" t="s">
        <v>51</v>
      </c>
      <c r="F571" t="s">
        <v>81</v>
      </c>
      <c r="G571">
        <v>9.65</v>
      </c>
      <c r="H571">
        <v>120</v>
      </c>
      <c r="I571" t="s">
        <v>26</v>
      </c>
    </row>
    <row r="572" spans="1:9" x14ac:dyDescent="0.3">
      <c r="A572" t="s">
        <v>617</v>
      </c>
      <c r="B572" s="5">
        <v>42304</v>
      </c>
      <c r="C572" t="s">
        <v>28</v>
      </c>
      <c r="D572" t="s">
        <v>45</v>
      </c>
      <c r="E572" t="s">
        <v>13</v>
      </c>
      <c r="F572" t="s">
        <v>14</v>
      </c>
      <c r="G572">
        <v>21</v>
      </c>
      <c r="H572">
        <v>50</v>
      </c>
      <c r="I572" t="s">
        <v>15</v>
      </c>
    </row>
    <row r="573" spans="1:9" x14ac:dyDescent="0.3">
      <c r="A573" t="s">
        <v>618</v>
      </c>
      <c r="B573" s="5">
        <v>42305</v>
      </c>
      <c r="C573" t="s">
        <v>28</v>
      </c>
      <c r="D573" t="s">
        <v>12</v>
      </c>
      <c r="E573" t="s">
        <v>51</v>
      </c>
      <c r="F573" t="s">
        <v>81</v>
      </c>
      <c r="G573">
        <v>24</v>
      </c>
      <c r="H573">
        <v>96</v>
      </c>
      <c r="I573" t="s">
        <v>26</v>
      </c>
    </row>
    <row r="574" spans="1:9" x14ac:dyDescent="0.3">
      <c r="A574" t="s">
        <v>619</v>
      </c>
      <c r="B574" s="5">
        <v>42305</v>
      </c>
      <c r="C574" t="s">
        <v>28</v>
      </c>
      <c r="D574" t="s">
        <v>12</v>
      </c>
      <c r="E574" t="s">
        <v>21</v>
      </c>
      <c r="F574" t="s">
        <v>22</v>
      </c>
      <c r="G574">
        <v>25.89</v>
      </c>
      <c r="H574">
        <v>105</v>
      </c>
      <c r="I574" t="s">
        <v>26</v>
      </c>
    </row>
    <row r="575" spans="1:9" x14ac:dyDescent="0.3">
      <c r="A575" t="s">
        <v>620</v>
      </c>
      <c r="B575" s="5">
        <v>42305</v>
      </c>
      <c r="C575" t="s">
        <v>11</v>
      </c>
      <c r="D575" t="s">
        <v>12</v>
      </c>
      <c r="E575" t="s">
        <v>51</v>
      </c>
      <c r="F575" t="s">
        <v>81</v>
      </c>
      <c r="G575">
        <v>18.399999999999999</v>
      </c>
      <c r="H575">
        <v>42</v>
      </c>
      <c r="I575" t="s">
        <v>26</v>
      </c>
    </row>
    <row r="576" spans="1:9" x14ac:dyDescent="0.3">
      <c r="A576" t="s">
        <v>621</v>
      </c>
      <c r="B576" s="5">
        <v>42308</v>
      </c>
      <c r="C576" t="s">
        <v>20</v>
      </c>
      <c r="D576" t="s">
        <v>12</v>
      </c>
      <c r="E576" t="s">
        <v>17</v>
      </c>
      <c r="F576" t="s">
        <v>134</v>
      </c>
      <c r="G576">
        <v>18</v>
      </c>
      <c r="H576">
        <v>200</v>
      </c>
      <c r="I576" t="s">
        <v>26</v>
      </c>
    </row>
    <row r="577" spans="1:9" x14ac:dyDescent="0.3">
      <c r="A577" t="s">
        <v>622</v>
      </c>
      <c r="B577" s="5">
        <v>42308</v>
      </c>
      <c r="C577" t="s">
        <v>11</v>
      </c>
      <c r="D577" t="s">
        <v>12</v>
      </c>
      <c r="E577" t="s">
        <v>21</v>
      </c>
      <c r="F577" t="s">
        <v>39</v>
      </c>
      <c r="G577">
        <v>25</v>
      </c>
      <c r="H577">
        <v>240</v>
      </c>
      <c r="I577" t="s">
        <v>26</v>
      </c>
    </row>
    <row r="578" spans="1:9" x14ac:dyDescent="0.3">
      <c r="A578" t="s">
        <v>623</v>
      </c>
      <c r="B578" s="5">
        <v>42308</v>
      </c>
      <c r="C578" t="s">
        <v>20</v>
      </c>
      <c r="D578" t="s">
        <v>12</v>
      </c>
      <c r="E578" t="s">
        <v>13</v>
      </c>
      <c r="F578" t="s">
        <v>14</v>
      </c>
      <c r="G578">
        <v>25.89</v>
      </c>
      <c r="H578">
        <v>90</v>
      </c>
      <c r="I578" t="s">
        <v>26</v>
      </c>
    </row>
    <row r="579" spans="1:9" x14ac:dyDescent="0.3">
      <c r="A579" t="s">
        <v>624</v>
      </c>
      <c r="B579" s="5">
        <v>42321</v>
      </c>
      <c r="C579" t="s">
        <v>31</v>
      </c>
      <c r="D579" t="s">
        <v>45</v>
      </c>
      <c r="E579" t="s">
        <v>17</v>
      </c>
      <c r="F579" t="s">
        <v>134</v>
      </c>
      <c r="G579">
        <v>18</v>
      </c>
      <c r="H579">
        <v>60</v>
      </c>
      <c r="I579" t="s">
        <v>26</v>
      </c>
    </row>
    <row r="580" spans="1:9" x14ac:dyDescent="0.3">
      <c r="A580" t="s">
        <v>625</v>
      </c>
      <c r="B580" s="5">
        <v>42321</v>
      </c>
      <c r="C580" t="s">
        <v>11</v>
      </c>
      <c r="D580" t="s">
        <v>45</v>
      </c>
      <c r="E580" t="s">
        <v>34</v>
      </c>
      <c r="F580" t="s">
        <v>64</v>
      </c>
      <c r="G580">
        <v>38</v>
      </c>
      <c r="H580">
        <v>30</v>
      </c>
      <c r="I580" t="s">
        <v>26</v>
      </c>
    </row>
    <row r="581" spans="1:9" x14ac:dyDescent="0.3">
      <c r="A581" t="s">
        <v>626</v>
      </c>
      <c r="B581" s="5">
        <v>42321</v>
      </c>
      <c r="C581" t="s">
        <v>28</v>
      </c>
      <c r="D581" t="s">
        <v>45</v>
      </c>
      <c r="E581" t="s">
        <v>13</v>
      </c>
      <c r="F581" t="s">
        <v>66</v>
      </c>
      <c r="G581">
        <v>55</v>
      </c>
      <c r="H581">
        <v>36</v>
      </c>
      <c r="I581" t="s">
        <v>26</v>
      </c>
    </row>
    <row r="582" spans="1:9" x14ac:dyDescent="0.3">
      <c r="A582" t="s">
        <v>627</v>
      </c>
      <c r="B582" s="5">
        <v>42325</v>
      </c>
      <c r="C582" t="s">
        <v>28</v>
      </c>
      <c r="D582" t="s">
        <v>45</v>
      </c>
      <c r="E582" t="s">
        <v>17</v>
      </c>
      <c r="F582" t="s">
        <v>79</v>
      </c>
      <c r="G582">
        <v>18</v>
      </c>
      <c r="H582">
        <v>32</v>
      </c>
      <c r="I582" t="s">
        <v>26</v>
      </c>
    </row>
    <row r="583" spans="1:9" x14ac:dyDescent="0.3">
      <c r="A583" t="s">
        <v>628</v>
      </c>
      <c r="B583" s="5">
        <v>42325</v>
      </c>
      <c r="C583" t="s">
        <v>11</v>
      </c>
      <c r="D583" t="s">
        <v>45</v>
      </c>
      <c r="E583" t="s">
        <v>13</v>
      </c>
      <c r="F583" t="s">
        <v>186</v>
      </c>
      <c r="G583">
        <v>36</v>
      </c>
      <c r="H583">
        <v>15</v>
      </c>
      <c r="I583" t="s">
        <v>26</v>
      </c>
    </row>
    <row r="584" spans="1:9" x14ac:dyDescent="0.3">
      <c r="A584" t="s">
        <v>629</v>
      </c>
      <c r="B584" s="5">
        <v>42339</v>
      </c>
      <c r="C584" t="s">
        <v>28</v>
      </c>
      <c r="D584" t="s">
        <v>45</v>
      </c>
      <c r="E584" t="s">
        <v>13</v>
      </c>
      <c r="F584" t="s">
        <v>14</v>
      </c>
      <c r="G584">
        <v>21</v>
      </c>
      <c r="H584">
        <v>16</v>
      </c>
      <c r="I584" t="s">
        <v>26</v>
      </c>
    </row>
    <row r="585" spans="1:9" x14ac:dyDescent="0.3">
      <c r="A585" t="s">
        <v>630</v>
      </c>
      <c r="B585" s="5">
        <v>42339</v>
      </c>
      <c r="C585" t="s">
        <v>11</v>
      </c>
      <c r="D585" t="s">
        <v>45</v>
      </c>
      <c r="E585" t="s">
        <v>13</v>
      </c>
      <c r="F585" t="s">
        <v>99</v>
      </c>
      <c r="G585">
        <v>12.5</v>
      </c>
      <c r="H585">
        <v>150</v>
      </c>
      <c r="I585" t="s">
        <v>26</v>
      </c>
    </row>
    <row r="586" spans="1:9" x14ac:dyDescent="0.3">
      <c r="A586" t="s">
        <v>631</v>
      </c>
      <c r="B586" s="5">
        <v>42339</v>
      </c>
      <c r="C586" t="s">
        <v>28</v>
      </c>
      <c r="D586" t="s">
        <v>45</v>
      </c>
      <c r="E586" t="s">
        <v>13</v>
      </c>
      <c r="F586" t="s">
        <v>124</v>
      </c>
      <c r="G586">
        <v>21.5</v>
      </c>
      <c r="H586">
        <v>108</v>
      </c>
      <c r="I586" t="s">
        <v>26</v>
      </c>
    </row>
    <row r="587" spans="1:9" x14ac:dyDescent="0.3">
      <c r="A587" t="s">
        <v>632</v>
      </c>
      <c r="B587" s="5">
        <v>42340</v>
      </c>
      <c r="C587" t="s">
        <v>20</v>
      </c>
      <c r="D587" t="s">
        <v>12</v>
      </c>
      <c r="E587" t="s">
        <v>13</v>
      </c>
      <c r="F587" t="s">
        <v>14</v>
      </c>
      <c r="G587">
        <v>21</v>
      </c>
      <c r="H587">
        <v>45</v>
      </c>
      <c r="I587" t="s">
        <v>26</v>
      </c>
    </row>
    <row r="588" spans="1:9" x14ac:dyDescent="0.3">
      <c r="A588" t="s">
        <v>633</v>
      </c>
      <c r="B588" s="5">
        <v>42346</v>
      </c>
      <c r="C588" t="s">
        <v>20</v>
      </c>
      <c r="D588" t="s">
        <v>12</v>
      </c>
      <c r="E588" t="s">
        <v>51</v>
      </c>
      <c r="F588" t="s">
        <v>81</v>
      </c>
      <c r="G588">
        <v>14</v>
      </c>
      <c r="H588">
        <v>100</v>
      </c>
      <c r="I588" t="s">
        <v>26</v>
      </c>
    </row>
    <row r="589" spans="1:9" x14ac:dyDescent="0.3">
      <c r="A589" t="s">
        <v>634</v>
      </c>
      <c r="B589" s="5">
        <v>42348</v>
      </c>
      <c r="C589" t="s">
        <v>31</v>
      </c>
      <c r="D589" t="s">
        <v>24</v>
      </c>
      <c r="E589" t="s">
        <v>13</v>
      </c>
      <c r="F589" t="s">
        <v>99</v>
      </c>
      <c r="G589">
        <v>12.5</v>
      </c>
      <c r="H589">
        <v>4</v>
      </c>
      <c r="I589" t="s">
        <v>26</v>
      </c>
    </row>
    <row r="590" spans="1:9" x14ac:dyDescent="0.3">
      <c r="A590" t="s">
        <v>635</v>
      </c>
      <c r="B590" s="5">
        <v>42349</v>
      </c>
      <c r="C590" t="s">
        <v>11</v>
      </c>
      <c r="D590" t="s">
        <v>12</v>
      </c>
      <c r="E590" t="s">
        <v>17</v>
      </c>
      <c r="F590" t="s">
        <v>32</v>
      </c>
      <c r="G590">
        <v>263.5</v>
      </c>
      <c r="H590">
        <v>50</v>
      </c>
      <c r="I590" t="s">
        <v>26</v>
      </c>
    </row>
    <row r="591" spans="1:9" x14ac:dyDescent="0.3">
      <c r="A591" t="s">
        <v>636</v>
      </c>
      <c r="B591" s="5">
        <v>42349</v>
      </c>
      <c r="C591" t="s">
        <v>11</v>
      </c>
      <c r="D591" t="s">
        <v>12</v>
      </c>
      <c r="E591" t="s">
        <v>13</v>
      </c>
      <c r="F591" t="s">
        <v>99</v>
      </c>
      <c r="G591">
        <v>12.5</v>
      </c>
      <c r="H591">
        <v>80</v>
      </c>
      <c r="I591" t="s">
        <v>26</v>
      </c>
    </row>
    <row r="592" spans="1:9" x14ac:dyDescent="0.3">
      <c r="A592" t="s">
        <v>474</v>
      </c>
      <c r="B592" s="5">
        <v>42350</v>
      </c>
      <c r="C592" t="s">
        <v>20</v>
      </c>
      <c r="D592" t="s">
        <v>12</v>
      </c>
      <c r="E592" t="s">
        <v>21</v>
      </c>
      <c r="F592" t="s">
        <v>47</v>
      </c>
      <c r="G592">
        <v>40</v>
      </c>
      <c r="H592">
        <v>180</v>
      </c>
      <c r="I592" t="s">
        <v>15</v>
      </c>
    </row>
    <row r="593" spans="1:9" x14ac:dyDescent="0.3">
      <c r="A593" t="s">
        <v>637</v>
      </c>
      <c r="B593" s="5">
        <v>42350</v>
      </c>
      <c r="C593" t="s">
        <v>28</v>
      </c>
      <c r="D593" t="s">
        <v>12</v>
      </c>
      <c r="E593" t="s">
        <v>21</v>
      </c>
      <c r="F593" t="s">
        <v>22</v>
      </c>
      <c r="G593">
        <v>25.89</v>
      </c>
      <c r="H593">
        <v>120</v>
      </c>
      <c r="I593" t="s">
        <v>15</v>
      </c>
    </row>
    <row r="594" spans="1:9" x14ac:dyDescent="0.3">
      <c r="A594" t="s">
        <v>638</v>
      </c>
      <c r="B594" s="5">
        <v>42353</v>
      </c>
      <c r="C594" t="s">
        <v>31</v>
      </c>
      <c r="D594" t="s">
        <v>12</v>
      </c>
      <c r="E594" t="s">
        <v>17</v>
      </c>
      <c r="F594" t="s">
        <v>54</v>
      </c>
      <c r="G594">
        <v>30</v>
      </c>
      <c r="H594">
        <v>18</v>
      </c>
      <c r="I594" t="s">
        <v>15</v>
      </c>
    </row>
    <row r="595" spans="1:9" x14ac:dyDescent="0.3">
      <c r="A595" t="s">
        <v>639</v>
      </c>
      <c r="B595" s="5">
        <v>42353</v>
      </c>
      <c r="C595" t="s">
        <v>20</v>
      </c>
      <c r="D595" t="s">
        <v>12</v>
      </c>
      <c r="E595" t="s">
        <v>21</v>
      </c>
      <c r="F595" t="s">
        <v>22</v>
      </c>
      <c r="G595">
        <v>38</v>
      </c>
      <c r="H595">
        <v>180</v>
      </c>
      <c r="I595" t="s">
        <v>15</v>
      </c>
    </row>
    <row r="596" spans="1:9" x14ac:dyDescent="0.3">
      <c r="A596" t="s">
        <v>640</v>
      </c>
      <c r="B596" s="5">
        <v>42355</v>
      </c>
      <c r="C596" t="s">
        <v>11</v>
      </c>
      <c r="D596" t="s">
        <v>12</v>
      </c>
      <c r="E596" t="s">
        <v>51</v>
      </c>
      <c r="F596" t="s">
        <v>268</v>
      </c>
      <c r="G596">
        <v>7.45</v>
      </c>
      <c r="H596">
        <v>24</v>
      </c>
      <c r="I596" t="s">
        <v>15</v>
      </c>
    </row>
    <row r="597" spans="1:9" x14ac:dyDescent="0.3">
      <c r="A597" t="s">
        <v>479</v>
      </c>
      <c r="B597" s="5">
        <v>42355</v>
      </c>
      <c r="C597" t="s">
        <v>11</v>
      </c>
      <c r="D597" t="s">
        <v>12</v>
      </c>
      <c r="E597" t="s">
        <v>51</v>
      </c>
      <c r="F597" t="s">
        <v>81</v>
      </c>
      <c r="G597">
        <v>23.25</v>
      </c>
      <c r="H597">
        <v>15</v>
      </c>
      <c r="I597" t="s">
        <v>15</v>
      </c>
    </row>
    <row r="598" spans="1:9" x14ac:dyDescent="0.3">
      <c r="A598" t="s">
        <v>641</v>
      </c>
      <c r="B598" s="5">
        <v>42355</v>
      </c>
      <c r="C598" t="s">
        <v>28</v>
      </c>
      <c r="D598" t="s">
        <v>45</v>
      </c>
      <c r="E598" t="s">
        <v>17</v>
      </c>
      <c r="F598" t="s">
        <v>54</v>
      </c>
      <c r="G598">
        <v>7</v>
      </c>
      <c r="H598">
        <v>56</v>
      </c>
      <c r="I598" t="s">
        <v>26</v>
      </c>
    </row>
    <row r="599" spans="1:9" x14ac:dyDescent="0.3">
      <c r="A599" t="s">
        <v>642</v>
      </c>
      <c r="B599" s="5">
        <v>42355</v>
      </c>
      <c r="C599" t="s">
        <v>28</v>
      </c>
      <c r="D599" t="s">
        <v>45</v>
      </c>
      <c r="E599" t="s">
        <v>51</v>
      </c>
      <c r="F599" t="s">
        <v>81</v>
      </c>
      <c r="G599">
        <v>9.65</v>
      </c>
      <c r="H599">
        <v>98</v>
      </c>
      <c r="I599" t="s">
        <v>26</v>
      </c>
    </row>
    <row r="600" spans="1:9" x14ac:dyDescent="0.3">
      <c r="A600" t="s">
        <v>482</v>
      </c>
      <c r="B600" s="5">
        <v>42357</v>
      </c>
      <c r="C600" t="s">
        <v>31</v>
      </c>
      <c r="D600" t="s">
        <v>45</v>
      </c>
      <c r="E600" t="s">
        <v>13</v>
      </c>
      <c r="F600" t="s">
        <v>56</v>
      </c>
      <c r="G600">
        <v>34.799999999999997</v>
      </c>
      <c r="H600">
        <v>10</v>
      </c>
      <c r="I600" t="s">
        <v>15</v>
      </c>
    </row>
    <row r="601" spans="1:9" x14ac:dyDescent="0.3">
      <c r="A601" t="s">
        <v>483</v>
      </c>
      <c r="B601" s="5">
        <v>42357</v>
      </c>
      <c r="C601" t="s">
        <v>28</v>
      </c>
      <c r="D601" t="s">
        <v>45</v>
      </c>
      <c r="E601" t="s">
        <v>34</v>
      </c>
      <c r="F601" t="s">
        <v>90</v>
      </c>
      <c r="G601">
        <v>49.3</v>
      </c>
      <c r="H601">
        <v>2</v>
      </c>
      <c r="I601" t="s">
        <v>15</v>
      </c>
    </row>
    <row r="602" spans="1:9" x14ac:dyDescent="0.3">
      <c r="A602" t="s">
        <v>643</v>
      </c>
      <c r="B602" s="5">
        <v>42357</v>
      </c>
      <c r="C602" t="s">
        <v>28</v>
      </c>
      <c r="D602" t="s">
        <v>45</v>
      </c>
      <c r="E602" t="s">
        <v>51</v>
      </c>
      <c r="F602" t="s">
        <v>268</v>
      </c>
      <c r="G602">
        <v>7.45</v>
      </c>
      <c r="H602">
        <v>56</v>
      </c>
      <c r="I602" t="s">
        <v>26</v>
      </c>
    </row>
    <row r="603" spans="1:9" x14ac:dyDescent="0.3">
      <c r="A603" t="s">
        <v>644</v>
      </c>
      <c r="B603" s="5">
        <v>42357</v>
      </c>
      <c r="C603" t="s">
        <v>31</v>
      </c>
      <c r="D603" t="s">
        <v>45</v>
      </c>
      <c r="E603" t="s">
        <v>34</v>
      </c>
      <c r="F603" t="s">
        <v>64</v>
      </c>
      <c r="G603">
        <v>53</v>
      </c>
      <c r="H603">
        <v>40</v>
      </c>
      <c r="I603" t="s">
        <v>26</v>
      </c>
    </row>
    <row r="604" spans="1:9" x14ac:dyDescent="0.3">
      <c r="A604" t="s">
        <v>645</v>
      </c>
      <c r="B604" s="5">
        <v>42357</v>
      </c>
      <c r="C604" t="s">
        <v>20</v>
      </c>
      <c r="D604" t="s">
        <v>45</v>
      </c>
      <c r="E604" t="s">
        <v>13</v>
      </c>
      <c r="F604" t="s">
        <v>14</v>
      </c>
      <c r="G604">
        <v>21</v>
      </c>
      <c r="H604">
        <v>350</v>
      </c>
      <c r="I604" t="s">
        <v>26</v>
      </c>
    </row>
    <row r="605" spans="1:9" x14ac:dyDescent="0.3">
      <c r="A605" t="s">
        <v>646</v>
      </c>
      <c r="B605" s="5">
        <v>42360</v>
      </c>
      <c r="C605" t="s">
        <v>11</v>
      </c>
      <c r="D605" t="s">
        <v>85</v>
      </c>
      <c r="E605" t="s">
        <v>51</v>
      </c>
      <c r="F605" t="s">
        <v>118</v>
      </c>
      <c r="G605">
        <v>39</v>
      </c>
      <c r="H605">
        <v>120</v>
      </c>
      <c r="I605" t="s">
        <v>26</v>
      </c>
    </row>
    <row r="606" spans="1:9" x14ac:dyDescent="0.3">
      <c r="A606" t="s">
        <v>647</v>
      </c>
      <c r="B606" s="5">
        <v>42360</v>
      </c>
      <c r="C606" t="s">
        <v>11</v>
      </c>
      <c r="D606" t="s">
        <v>85</v>
      </c>
      <c r="E606" t="s">
        <v>51</v>
      </c>
      <c r="F606" t="s">
        <v>52</v>
      </c>
      <c r="G606">
        <v>123.79</v>
      </c>
      <c r="H606">
        <v>180</v>
      </c>
      <c r="I606" t="s">
        <v>26</v>
      </c>
    </row>
    <row r="607" spans="1:9" x14ac:dyDescent="0.3">
      <c r="A607" t="s">
        <v>648</v>
      </c>
      <c r="B607" s="5">
        <v>42361</v>
      </c>
      <c r="C607" t="s">
        <v>20</v>
      </c>
      <c r="D607" t="s">
        <v>12</v>
      </c>
      <c r="E607" t="s">
        <v>13</v>
      </c>
      <c r="F607" t="s">
        <v>66</v>
      </c>
      <c r="G607">
        <v>55</v>
      </c>
      <c r="H607">
        <v>135</v>
      </c>
      <c r="I607" t="s">
        <v>15</v>
      </c>
    </row>
    <row r="608" spans="1:9" x14ac:dyDescent="0.3">
      <c r="A608" t="s">
        <v>649</v>
      </c>
      <c r="B608" s="5">
        <v>42361</v>
      </c>
      <c r="C608" t="s">
        <v>11</v>
      </c>
      <c r="D608" t="s">
        <v>12</v>
      </c>
      <c r="E608" t="s">
        <v>34</v>
      </c>
      <c r="F608" t="s">
        <v>188</v>
      </c>
      <c r="G608">
        <v>9.1999999999999993</v>
      </c>
      <c r="H608">
        <v>216</v>
      </c>
      <c r="I608" t="s">
        <v>15</v>
      </c>
    </row>
    <row r="609" spans="1:9" x14ac:dyDescent="0.3">
      <c r="A609" t="s">
        <v>650</v>
      </c>
      <c r="B609" s="5">
        <v>42361</v>
      </c>
      <c r="C609" t="s">
        <v>20</v>
      </c>
      <c r="D609" t="s">
        <v>12</v>
      </c>
      <c r="E609" t="s">
        <v>34</v>
      </c>
      <c r="F609" t="s">
        <v>68</v>
      </c>
      <c r="G609">
        <v>14</v>
      </c>
      <c r="H609">
        <v>75</v>
      </c>
      <c r="I609" t="s">
        <v>15</v>
      </c>
    </row>
    <row r="610" spans="1:9" x14ac:dyDescent="0.3">
      <c r="A610" t="s">
        <v>651</v>
      </c>
      <c r="B610" s="5">
        <v>42361</v>
      </c>
      <c r="C610" t="s">
        <v>28</v>
      </c>
      <c r="D610" t="s">
        <v>45</v>
      </c>
      <c r="E610" t="s">
        <v>51</v>
      </c>
      <c r="F610" t="s">
        <v>81</v>
      </c>
      <c r="G610">
        <v>45.6</v>
      </c>
      <c r="H610">
        <v>120</v>
      </c>
      <c r="I610" t="s">
        <v>26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B6701-0484-4D39-A8B7-926D89BFA685}">
  <sheetPr codeName="Hoja3"/>
  <dimension ref="A1:AV610"/>
  <sheetViews>
    <sheetView topLeftCell="Y1" zoomScale="80" zoomScaleNormal="80" workbookViewId="0">
      <selection activeCell="AQ40" sqref="AQ40"/>
    </sheetView>
  </sheetViews>
  <sheetFormatPr baseColWidth="10" defaultRowHeight="14.4" x14ac:dyDescent="0.3"/>
  <cols>
    <col min="2" max="2" width="14" style="5" customWidth="1"/>
    <col min="4" max="4" width="18" customWidth="1"/>
    <col min="5" max="5" width="20" customWidth="1"/>
    <col min="6" max="6" width="18.88671875" customWidth="1"/>
    <col min="7" max="7" width="15.5546875" customWidth="1"/>
    <col min="10" max="10" width="16.109375" customWidth="1"/>
    <col min="13" max="13" width="18.44140625" customWidth="1"/>
    <col min="17" max="18" width="0" hidden="1" customWidth="1"/>
    <col min="19" max="19" width="14.33203125" customWidth="1"/>
    <col min="22" max="22" width="15.33203125" customWidth="1"/>
    <col min="36" max="36" width="17.88671875" customWidth="1"/>
    <col min="39" max="39" width="32" customWidth="1"/>
    <col min="45" max="45" width="17.6640625" customWidth="1"/>
    <col min="48" max="48" width="17.5546875" customWidth="1"/>
  </cols>
  <sheetData>
    <row r="1" spans="1:48" s="6" customFormat="1" ht="28.5" customHeight="1" x14ac:dyDescent="0.3">
      <c r="A1" s="8" t="s">
        <v>0</v>
      </c>
      <c r="B1" s="21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</row>
    <row r="2" spans="1:48" x14ac:dyDescent="0.3">
      <c r="A2" t="s">
        <v>10</v>
      </c>
      <c r="B2" s="5">
        <v>42011</v>
      </c>
      <c r="C2" t="s">
        <v>11</v>
      </c>
      <c r="D2" t="s">
        <v>12</v>
      </c>
      <c r="E2" t="s">
        <v>13</v>
      </c>
      <c r="F2" t="s">
        <v>14</v>
      </c>
      <c r="G2">
        <v>7</v>
      </c>
      <c r="H2">
        <v>20</v>
      </c>
      <c r="I2">
        <v>140</v>
      </c>
      <c r="J2" t="s">
        <v>15</v>
      </c>
    </row>
    <row r="3" spans="1:48" x14ac:dyDescent="0.3">
      <c r="A3" t="s">
        <v>16</v>
      </c>
      <c r="B3" s="5">
        <v>42015</v>
      </c>
      <c r="C3" t="s">
        <v>11</v>
      </c>
      <c r="D3" t="s">
        <v>12</v>
      </c>
      <c r="E3" t="s">
        <v>17</v>
      </c>
      <c r="F3" t="s">
        <v>18</v>
      </c>
      <c r="G3">
        <v>19</v>
      </c>
      <c r="H3">
        <v>12</v>
      </c>
      <c r="I3">
        <v>228</v>
      </c>
      <c r="J3" t="s">
        <v>15</v>
      </c>
      <c r="Q3" s="64" t="s">
        <v>0</v>
      </c>
      <c r="R3" s="64" t="s">
        <v>2</v>
      </c>
    </row>
    <row r="4" spans="1:48" x14ac:dyDescent="0.3">
      <c r="A4" t="s">
        <v>19</v>
      </c>
      <c r="B4" s="5">
        <v>42015</v>
      </c>
      <c r="C4" t="s">
        <v>20</v>
      </c>
      <c r="D4" t="s">
        <v>12</v>
      </c>
      <c r="E4" t="s">
        <v>21</v>
      </c>
      <c r="F4" t="s">
        <v>22</v>
      </c>
      <c r="G4">
        <v>12</v>
      </c>
      <c r="H4">
        <v>35</v>
      </c>
      <c r="I4">
        <v>420</v>
      </c>
      <c r="J4" t="s">
        <v>15</v>
      </c>
      <c r="Q4" t="s">
        <v>10</v>
      </c>
      <c r="R4" t="s">
        <v>11</v>
      </c>
    </row>
    <row r="5" spans="1:48" x14ac:dyDescent="0.3">
      <c r="A5" t="s">
        <v>23</v>
      </c>
      <c r="B5" s="5">
        <v>42017</v>
      </c>
      <c r="C5" t="s">
        <v>20</v>
      </c>
      <c r="D5" t="s">
        <v>24</v>
      </c>
      <c r="E5" t="s">
        <v>17</v>
      </c>
      <c r="F5" t="s">
        <v>25</v>
      </c>
      <c r="G5">
        <v>7.75</v>
      </c>
      <c r="H5">
        <v>20</v>
      </c>
      <c r="I5">
        <v>155</v>
      </c>
      <c r="J5" t="s">
        <v>26</v>
      </c>
      <c r="L5" s="68"/>
      <c r="N5" s="88" t="s">
        <v>0</v>
      </c>
      <c r="P5" s="88" t="s">
        <v>0</v>
      </c>
      <c r="S5" s="89" t="s">
        <v>2</v>
      </c>
    </row>
    <row r="6" spans="1:48" x14ac:dyDescent="0.3">
      <c r="A6" t="s">
        <v>27</v>
      </c>
      <c r="B6" s="5">
        <v>42017</v>
      </c>
      <c r="C6" t="s">
        <v>28</v>
      </c>
      <c r="D6" t="s">
        <v>24</v>
      </c>
      <c r="E6" t="s">
        <v>17</v>
      </c>
      <c r="F6" t="s">
        <v>29</v>
      </c>
      <c r="G6">
        <v>46</v>
      </c>
      <c r="H6">
        <v>7</v>
      </c>
      <c r="I6">
        <v>322</v>
      </c>
      <c r="J6" t="s">
        <v>26</v>
      </c>
      <c r="N6" t="s">
        <v>745</v>
      </c>
      <c r="P6" t="s">
        <v>10</v>
      </c>
      <c r="Q6" t="s">
        <v>23</v>
      </c>
      <c r="R6" t="s">
        <v>20</v>
      </c>
      <c r="S6" t="s">
        <v>11</v>
      </c>
      <c r="X6" s="88" t="s">
        <v>0</v>
      </c>
      <c r="Z6" s="88" t="s">
        <v>0</v>
      </c>
      <c r="AI6" s="88" t="s">
        <v>0</v>
      </c>
      <c r="AJ6" s="89" t="s">
        <v>5</v>
      </c>
      <c r="AL6" s="88" t="s">
        <v>0</v>
      </c>
      <c r="AM6" s="89" t="s">
        <v>5</v>
      </c>
      <c r="AR6" s="88" t="s">
        <v>0</v>
      </c>
      <c r="AS6" s="89" t="s">
        <v>3</v>
      </c>
      <c r="AU6" s="88" t="s">
        <v>0</v>
      </c>
      <c r="AV6" s="89" t="s">
        <v>3</v>
      </c>
    </row>
    <row r="7" spans="1:48" x14ac:dyDescent="0.3">
      <c r="A7" t="s">
        <v>30</v>
      </c>
      <c r="B7" s="5">
        <v>42023</v>
      </c>
      <c r="C7" t="s">
        <v>31</v>
      </c>
      <c r="D7" t="s">
        <v>24</v>
      </c>
      <c r="E7" t="s">
        <v>17</v>
      </c>
      <c r="F7" t="s">
        <v>32</v>
      </c>
      <c r="G7">
        <v>263.5</v>
      </c>
      <c r="H7">
        <v>2</v>
      </c>
      <c r="I7">
        <v>527</v>
      </c>
      <c r="J7" t="s">
        <v>15</v>
      </c>
      <c r="P7" t="s">
        <v>19</v>
      </c>
      <c r="Q7" t="s">
        <v>27</v>
      </c>
      <c r="R7" t="s">
        <v>28</v>
      </c>
      <c r="S7" t="s">
        <v>20</v>
      </c>
      <c r="X7" t="s">
        <v>746</v>
      </c>
      <c r="Z7" t="s">
        <v>23</v>
      </c>
      <c r="AI7" t="s">
        <v>746</v>
      </c>
      <c r="AJ7" t="s">
        <v>747</v>
      </c>
      <c r="AL7" t="s">
        <v>23</v>
      </c>
      <c r="AM7" t="s">
        <v>25</v>
      </c>
      <c r="AR7" t="s">
        <v>746</v>
      </c>
      <c r="AS7" t="s">
        <v>748</v>
      </c>
      <c r="AU7" t="s">
        <v>23</v>
      </c>
      <c r="AV7" t="s">
        <v>24</v>
      </c>
    </row>
    <row r="8" spans="1:48" x14ac:dyDescent="0.3">
      <c r="A8" t="s">
        <v>33</v>
      </c>
      <c r="B8" s="5">
        <v>42023</v>
      </c>
      <c r="C8" t="s">
        <v>20</v>
      </c>
      <c r="D8" t="s">
        <v>24</v>
      </c>
      <c r="E8" t="s">
        <v>34</v>
      </c>
      <c r="F8" t="s">
        <v>35</v>
      </c>
      <c r="G8">
        <v>81</v>
      </c>
      <c r="H8">
        <v>5</v>
      </c>
      <c r="I8">
        <v>405</v>
      </c>
      <c r="J8" t="s">
        <v>15</v>
      </c>
      <c r="P8" t="s">
        <v>23</v>
      </c>
      <c r="Q8" t="s">
        <v>33</v>
      </c>
      <c r="R8" t="s">
        <v>20</v>
      </c>
      <c r="S8" t="s">
        <v>20</v>
      </c>
      <c r="Z8" t="s">
        <v>27</v>
      </c>
      <c r="AU8" t="s">
        <v>27</v>
      </c>
      <c r="AV8" t="s">
        <v>24</v>
      </c>
    </row>
    <row r="9" spans="1:48" x14ac:dyDescent="0.3">
      <c r="A9" t="s">
        <v>36</v>
      </c>
      <c r="B9" s="5">
        <v>42023</v>
      </c>
      <c r="C9" t="s">
        <v>20</v>
      </c>
      <c r="D9" t="s">
        <v>12</v>
      </c>
      <c r="E9" t="s">
        <v>17</v>
      </c>
      <c r="F9" t="s">
        <v>37</v>
      </c>
      <c r="G9">
        <v>18</v>
      </c>
      <c r="H9">
        <v>28</v>
      </c>
      <c r="I9">
        <v>504</v>
      </c>
      <c r="J9" t="s">
        <v>26</v>
      </c>
      <c r="P9" t="s">
        <v>27</v>
      </c>
      <c r="Q9" t="s">
        <v>42</v>
      </c>
      <c r="R9" t="s">
        <v>31</v>
      </c>
      <c r="S9" t="s">
        <v>28</v>
      </c>
      <c r="Z9" t="s">
        <v>33</v>
      </c>
      <c r="AU9" t="s">
        <v>33</v>
      </c>
      <c r="AV9" t="s">
        <v>24</v>
      </c>
    </row>
    <row r="10" spans="1:48" x14ac:dyDescent="0.3">
      <c r="A10" t="s">
        <v>38</v>
      </c>
      <c r="B10" s="5">
        <v>42023</v>
      </c>
      <c r="C10" t="s">
        <v>11</v>
      </c>
      <c r="D10" t="s">
        <v>12</v>
      </c>
      <c r="E10" t="s">
        <v>21</v>
      </c>
      <c r="F10" t="s">
        <v>39</v>
      </c>
      <c r="G10">
        <v>25</v>
      </c>
      <c r="H10">
        <v>6</v>
      </c>
      <c r="I10">
        <v>150</v>
      </c>
      <c r="J10" t="s">
        <v>26</v>
      </c>
      <c r="P10" t="s">
        <v>33</v>
      </c>
      <c r="Q10" t="s">
        <v>50</v>
      </c>
      <c r="R10" t="s">
        <v>11</v>
      </c>
      <c r="S10" t="s">
        <v>20</v>
      </c>
      <c r="Z10" t="s">
        <v>104</v>
      </c>
      <c r="AU10" t="s">
        <v>104</v>
      </c>
      <c r="AV10" t="s">
        <v>24</v>
      </c>
    </row>
    <row r="11" spans="1:48" x14ac:dyDescent="0.3">
      <c r="A11" t="s">
        <v>40</v>
      </c>
      <c r="B11" s="5">
        <v>42023</v>
      </c>
      <c r="C11" t="s">
        <v>20</v>
      </c>
      <c r="D11" t="s">
        <v>12</v>
      </c>
      <c r="E11" t="s">
        <v>13</v>
      </c>
      <c r="F11" t="s">
        <v>41</v>
      </c>
      <c r="G11">
        <v>34</v>
      </c>
      <c r="H11">
        <v>30</v>
      </c>
      <c r="I11">
        <v>1020</v>
      </c>
      <c r="J11" t="s">
        <v>26</v>
      </c>
      <c r="P11" t="s">
        <v>42</v>
      </c>
      <c r="Q11" t="s">
        <v>55</v>
      </c>
      <c r="R11" t="s">
        <v>28</v>
      </c>
      <c r="S11" t="s">
        <v>31</v>
      </c>
      <c r="Z11" t="s">
        <v>157</v>
      </c>
      <c r="AU11" t="s">
        <v>157</v>
      </c>
      <c r="AV11" t="s">
        <v>24</v>
      </c>
    </row>
    <row r="12" spans="1:48" x14ac:dyDescent="0.3">
      <c r="A12" t="s">
        <v>42</v>
      </c>
      <c r="B12" s="5">
        <v>42023</v>
      </c>
      <c r="C12" t="s">
        <v>31</v>
      </c>
      <c r="D12" t="s">
        <v>12</v>
      </c>
      <c r="E12" t="s">
        <v>34</v>
      </c>
      <c r="F12" t="s">
        <v>43</v>
      </c>
      <c r="G12">
        <v>12.5</v>
      </c>
      <c r="H12">
        <v>24</v>
      </c>
      <c r="I12">
        <v>300</v>
      </c>
      <c r="J12" t="s">
        <v>26</v>
      </c>
      <c r="P12" t="s">
        <v>50</v>
      </c>
      <c r="Q12" t="s">
        <v>60</v>
      </c>
      <c r="R12" t="s">
        <v>28</v>
      </c>
      <c r="S12" t="s">
        <v>11</v>
      </c>
      <c r="Z12" t="s">
        <v>216</v>
      </c>
      <c r="AU12" t="s">
        <v>216</v>
      </c>
      <c r="AV12" t="s">
        <v>24</v>
      </c>
    </row>
    <row r="13" spans="1:48" x14ac:dyDescent="0.3">
      <c r="A13" t="s">
        <v>44</v>
      </c>
      <c r="B13" s="5">
        <v>42023</v>
      </c>
      <c r="C13" t="s">
        <v>31</v>
      </c>
      <c r="D13" t="s">
        <v>45</v>
      </c>
      <c r="E13" t="s">
        <v>17</v>
      </c>
      <c r="F13" t="s">
        <v>18</v>
      </c>
      <c r="G13">
        <v>19</v>
      </c>
      <c r="H13">
        <v>10</v>
      </c>
      <c r="I13">
        <v>190</v>
      </c>
      <c r="J13" t="s">
        <v>15</v>
      </c>
      <c r="P13" t="s">
        <v>55</v>
      </c>
      <c r="Q13" t="s">
        <v>67</v>
      </c>
      <c r="R13" t="s">
        <v>11</v>
      </c>
      <c r="S13" t="s">
        <v>28</v>
      </c>
      <c r="Z13" t="s">
        <v>231</v>
      </c>
      <c r="AU13" t="s">
        <v>231</v>
      </c>
      <c r="AV13" t="s">
        <v>24</v>
      </c>
    </row>
    <row r="14" spans="1:48" x14ac:dyDescent="0.3">
      <c r="A14" t="s">
        <v>46</v>
      </c>
      <c r="B14" s="5">
        <v>42023</v>
      </c>
      <c r="C14" t="s">
        <v>11</v>
      </c>
      <c r="D14" t="s">
        <v>45</v>
      </c>
      <c r="E14" t="s">
        <v>21</v>
      </c>
      <c r="F14" t="s">
        <v>47</v>
      </c>
      <c r="G14">
        <v>40</v>
      </c>
      <c r="H14">
        <v>20</v>
      </c>
      <c r="I14">
        <v>800</v>
      </c>
      <c r="J14" t="s">
        <v>15</v>
      </c>
      <c r="P14" t="s">
        <v>60</v>
      </c>
      <c r="Q14" t="s">
        <v>69</v>
      </c>
      <c r="R14" t="s">
        <v>31</v>
      </c>
      <c r="S14" t="s">
        <v>28</v>
      </c>
      <c r="Z14" t="s">
        <v>234</v>
      </c>
      <c r="AU14" t="s">
        <v>234</v>
      </c>
      <c r="AV14" t="s">
        <v>24</v>
      </c>
    </row>
    <row r="15" spans="1:48" x14ac:dyDescent="0.3">
      <c r="A15" t="s">
        <v>48</v>
      </c>
      <c r="B15" s="5">
        <v>42023</v>
      </c>
      <c r="C15" t="s">
        <v>11</v>
      </c>
      <c r="D15" t="s">
        <v>45</v>
      </c>
      <c r="E15" t="s">
        <v>13</v>
      </c>
      <c r="F15" t="s">
        <v>41</v>
      </c>
      <c r="G15">
        <v>34</v>
      </c>
      <c r="H15">
        <v>21</v>
      </c>
      <c r="I15">
        <v>714</v>
      </c>
      <c r="J15" t="s">
        <v>15</v>
      </c>
      <c r="P15" t="s">
        <v>67</v>
      </c>
      <c r="Q15" t="s">
        <v>71</v>
      </c>
      <c r="R15" t="s">
        <v>28</v>
      </c>
      <c r="S15" t="s">
        <v>11</v>
      </c>
      <c r="Z15" t="s">
        <v>247</v>
      </c>
      <c r="AU15" t="s">
        <v>247</v>
      </c>
      <c r="AV15" t="s">
        <v>24</v>
      </c>
    </row>
    <row r="16" spans="1:48" x14ac:dyDescent="0.3">
      <c r="A16" t="s">
        <v>49</v>
      </c>
      <c r="B16" s="5">
        <v>42023</v>
      </c>
      <c r="C16" t="s">
        <v>20</v>
      </c>
      <c r="D16" t="s">
        <v>45</v>
      </c>
      <c r="E16" t="s">
        <v>13</v>
      </c>
      <c r="F16" t="s">
        <v>14</v>
      </c>
      <c r="G16">
        <v>6</v>
      </c>
      <c r="H16">
        <v>10</v>
      </c>
      <c r="I16">
        <v>60</v>
      </c>
      <c r="J16" t="s">
        <v>15</v>
      </c>
      <c r="P16" t="s">
        <v>69</v>
      </c>
      <c r="Q16" t="s">
        <v>76</v>
      </c>
      <c r="R16" t="s">
        <v>31</v>
      </c>
      <c r="S16" t="s">
        <v>31</v>
      </c>
      <c r="Z16" t="s">
        <v>336</v>
      </c>
      <c r="AU16" t="s">
        <v>336</v>
      </c>
      <c r="AV16" t="s">
        <v>24</v>
      </c>
    </row>
    <row r="17" spans="1:48" x14ac:dyDescent="0.3">
      <c r="A17" t="s">
        <v>50</v>
      </c>
      <c r="B17" s="5">
        <v>42025</v>
      </c>
      <c r="C17" t="s">
        <v>11</v>
      </c>
      <c r="D17" t="s">
        <v>12</v>
      </c>
      <c r="E17" t="s">
        <v>51</v>
      </c>
      <c r="F17" t="s">
        <v>52</v>
      </c>
      <c r="G17">
        <v>123.79</v>
      </c>
      <c r="H17">
        <v>8</v>
      </c>
      <c r="I17">
        <v>990.32</v>
      </c>
      <c r="J17" t="s">
        <v>26</v>
      </c>
      <c r="P17" t="s">
        <v>71</v>
      </c>
      <c r="Q17" t="s">
        <v>91</v>
      </c>
      <c r="R17" t="s">
        <v>20</v>
      </c>
      <c r="S17" t="s">
        <v>28</v>
      </c>
      <c r="Z17" t="s">
        <v>366</v>
      </c>
      <c r="AU17" t="s">
        <v>366</v>
      </c>
      <c r="AV17" t="s">
        <v>24</v>
      </c>
    </row>
    <row r="18" spans="1:48" x14ac:dyDescent="0.3">
      <c r="A18" t="s">
        <v>53</v>
      </c>
      <c r="B18" s="5">
        <v>42025</v>
      </c>
      <c r="C18" t="s">
        <v>31</v>
      </c>
      <c r="D18" t="s">
        <v>12</v>
      </c>
      <c r="E18" t="s">
        <v>17</v>
      </c>
      <c r="F18" t="s">
        <v>54</v>
      </c>
      <c r="G18">
        <v>25.89</v>
      </c>
      <c r="H18">
        <v>20</v>
      </c>
      <c r="I18">
        <v>517.79999999999995</v>
      </c>
      <c r="J18" t="s">
        <v>26</v>
      </c>
      <c r="P18" t="s">
        <v>76</v>
      </c>
      <c r="Q18" t="s">
        <v>93</v>
      </c>
      <c r="R18" t="s">
        <v>11</v>
      </c>
      <c r="S18" t="s">
        <v>31</v>
      </c>
      <c r="Z18" t="s">
        <v>383</v>
      </c>
      <c r="AU18" t="s">
        <v>383</v>
      </c>
      <c r="AV18" t="s">
        <v>24</v>
      </c>
    </row>
    <row r="19" spans="1:48" x14ac:dyDescent="0.3">
      <c r="A19" t="s">
        <v>55</v>
      </c>
      <c r="B19" s="5">
        <v>42029</v>
      </c>
      <c r="C19" t="s">
        <v>28</v>
      </c>
      <c r="D19" t="s">
        <v>12</v>
      </c>
      <c r="E19" t="s">
        <v>13</v>
      </c>
      <c r="F19" t="s">
        <v>56</v>
      </c>
      <c r="G19">
        <v>34.799999999999997</v>
      </c>
      <c r="H19">
        <v>15</v>
      </c>
      <c r="I19">
        <v>522</v>
      </c>
      <c r="J19" t="s">
        <v>26</v>
      </c>
      <c r="P19" t="s">
        <v>91</v>
      </c>
      <c r="Q19" t="s">
        <v>101</v>
      </c>
      <c r="R19" t="s">
        <v>11</v>
      </c>
      <c r="S19" t="s">
        <v>20</v>
      </c>
      <c r="Z19" t="s">
        <v>448</v>
      </c>
      <c r="AU19" t="s">
        <v>448</v>
      </c>
      <c r="AV19" t="s">
        <v>24</v>
      </c>
    </row>
    <row r="20" spans="1:48" x14ac:dyDescent="0.3">
      <c r="A20" t="s">
        <v>57</v>
      </c>
      <c r="B20" s="5">
        <v>42029</v>
      </c>
      <c r="C20" t="s">
        <v>20</v>
      </c>
      <c r="D20" t="s">
        <v>12</v>
      </c>
      <c r="E20" t="s">
        <v>17</v>
      </c>
      <c r="F20" t="s">
        <v>54</v>
      </c>
      <c r="G20">
        <v>13.25</v>
      </c>
      <c r="H20">
        <v>30</v>
      </c>
      <c r="I20">
        <v>397.5</v>
      </c>
      <c r="J20" t="s">
        <v>26</v>
      </c>
      <c r="P20" t="s">
        <v>93</v>
      </c>
      <c r="Q20" t="s">
        <v>104</v>
      </c>
      <c r="R20" t="s">
        <v>11</v>
      </c>
      <c r="S20" t="s">
        <v>11</v>
      </c>
      <c r="Z20" t="s">
        <v>471</v>
      </c>
      <c r="AU20" t="s">
        <v>471</v>
      </c>
      <c r="AV20" t="s">
        <v>24</v>
      </c>
    </row>
    <row r="21" spans="1:48" x14ac:dyDescent="0.3">
      <c r="A21" t="s">
        <v>58</v>
      </c>
      <c r="B21" s="5">
        <v>42033</v>
      </c>
      <c r="C21" t="s">
        <v>11</v>
      </c>
      <c r="D21" t="s">
        <v>45</v>
      </c>
      <c r="E21" t="s">
        <v>51</v>
      </c>
      <c r="F21" t="s">
        <v>59</v>
      </c>
      <c r="G21">
        <v>97</v>
      </c>
      <c r="H21">
        <v>3</v>
      </c>
      <c r="I21">
        <v>291</v>
      </c>
      <c r="J21" t="s">
        <v>26</v>
      </c>
      <c r="L21" s="68"/>
      <c r="P21" t="s">
        <v>101</v>
      </c>
      <c r="Q21" t="s">
        <v>105</v>
      </c>
      <c r="R21" t="s">
        <v>28</v>
      </c>
      <c r="S21" t="s">
        <v>11</v>
      </c>
      <c r="Z21" t="s">
        <v>517</v>
      </c>
      <c r="AU21" t="s">
        <v>517</v>
      </c>
      <c r="AV21" t="s">
        <v>24</v>
      </c>
    </row>
    <row r="22" spans="1:48" x14ac:dyDescent="0.3">
      <c r="A22" t="s">
        <v>60</v>
      </c>
      <c r="B22" s="5">
        <v>42033</v>
      </c>
      <c r="C22" t="s">
        <v>28</v>
      </c>
      <c r="D22" t="s">
        <v>45</v>
      </c>
      <c r="E22" t="s">
        <v>21</v>
      </c>
      <c r="F22" t="s">
        <v>61</v>
      </c>
      <c r="G22">
        <v>21.35</v>
      </c>
      <c r="H22">
        <v>30</v>
      </c>
      <c r="I22">
        <v>640.5</v>
      </c>
      <c r="J22" t="s">
        <v>26</v>
      </c>
      <c r="P22" t="s">
        <v>104</v>
      </c>
      <c r="Q22" t="s">
        <v>114</v>
      </c>
      <c r="R22" t="s">
        <v>28</v>
      </c>
      <c r="S22" t="s">
        <v>11</v>
      </c>
      <c r="Z22" t="s">
        <v>542</v>
      </c>
      <c r="AU22" t="s">
        <v>542</v>
      </c>
      <c r="AV22" t="s">
        <v>24</v>
      </c>
    </row>
    <row r="23" spans="1:48" x14ac:dyDescent="0.3">
      <c r="A23" t="s">
        <v>62</v>
      </c>
      <c r="B23" s="5">
        <v>42036</v>
      </c>
      <c r="C23" t="s">
        <v>11</v>
      </c>
      <c r="D23" t="s">
        <v>12</v>
      </c>
      <c r="E23" t="s">
        <v>17</v>
      </c>
      <c r="F23" t="s">
        <v>18</v>
      </c>
      <c r="G23">
        <v>19</v>
      </c>
      <c r="H23">
        <v>5</v>
      </c>
      <c r="I23">
        <v>95</v>
      </c>
      <c r="J23" t="s">
        <v>15</v>
      </c>
      <c r="P23" t="s">
        <v>105</v>
      </c>
      <c r="Q23" t="s">
        <v>115</v>
      </c>
      <c r="R23" t="s">
        <v>31</v>
      </c>
      <c r="S23" t="s">
        <v>28</v>
      </c>
      <c r="Z23" t="s">
        <v>555</v>
      </c>
      <c r="AU23" t="s">
        <v>555</v>
      </c>
      <c r="AV23" t="s">
        <v>24</v>
      </c>
    </row>
    <row r="24" spans="1:48" x14ac:dyDescent="0.3">
      <c r="A24" t="s">
        <v>63</v>
      </c>
      <c r="B24" s="5">
        <v>42036</v>
      </c>
      <c r="C24" t="s">
        <v>11</v>
      </c>
      <c r="D24" t="s">
        <v>12</v>
      </c>
      <c r="E24" t="s">
        <v>34</v>
      </c>
      <c r="F24" t="s">
        <v>64</v>
      </c>
      <c r="G24">
        <v>19.5</v>
      </c>
      <c r="H24">
        <v>10</v>
      </c>
      <c r="I24">
        <v>195</v>
      </c>
      <c r="J24" t="s">
        <v>15</v>
      </c>
      <c r="P24" t="s">
        <v>114</v>
      </c>
      <c r="Q24" t="s">
        <v>125</v>
      </c>
      <c r="R24" t="s">
        <v>20</v>
      </c>
      <c r="S24" t="s">
        <v>28</v>
      </c>
      <c r="Z24" t="s">
        <v>612</v>
      </c>
      <c r="AU24" t="s">
        <v>612</v>
      </c>
      <c r="AV24" t="s">
        <v>24</v>
      </c>
    </row>
    <row r="25" spans="1:48" x14ac:dyDescent="0.3">
      <c r="A25" t="s">
        <v>65</v>
      </c>
      <c r="B25" s="5">
        <v>42036</v>
      </c>
      <c r="C25" t="s">
        <v>28</v>
      </c>
      <c r="D25" t="s">
        <v>12</v>
      </c>
      <c r="E25" t="s">
        <v>13</v>
      </c>
      <c r="F25" t="s">
        <v>66</v>
      </c>
      <c r="G25">
        <v>55</v>
      </c>
      <c r="H25">
        <v>42</v>
      </c>
      <c r="I25">
        <v>2310</v>
      </c>
      <c r="J25" t="s">
        <v>15</v>
      </c>
      <c r="P25" t="s">
        <v>115</v>
      </c>
      <c r="Q25" t="s">
        <v>126</v>
      </c>
      <c r="R25" t="s">
        <v>28</v>
      </c>
      <c r="S25" t="s">
        <v>31</v>
      </c>
      <c r="Z25" t="s">
        <v>634</v>
      </c>
      <c r="AU25" t="s">
        <v>634</v>
      </c>
      <c r="AV25" t="s">
        <v>24</v>
      </c>
    </row>
    <row r="26" spans="1:48" x14ac:dyDescent="0.3">
      <c r="A26" t="s">
        <v>67</v>
      </c>
      <c r="B26" s="5">
        <v>42036</v>
      </c>
      <c r="C26" t="s">
        <v>11</v>
      </c>
      <c r="D26" t="s">
        <v>12</v>
      </c>
      <c r="E26" t="s">
        <v>34</v>
      </c>
      <c r="F26" t="s">
        <v>68</v>
      </c>
      <c r="G26">
        <v>14</v>
      </c>
      <c r="H26">
        <v>10</v>
      </c>
      <c r="I26">
        <v>140</v>
      </c>
      <c r="J26" t="s">
        <v>15</v>
      </c>
      <c r="P26" t="s">
        <v>125</v>
      </c>
      <c r="Q26" t="s">
        <v>132</v>
      </c>
      <c r="R26" t="s">
        <v>11</v>
      </c>
      <c r="S26" t="s">
        <v>20</v>
      </c>
    </row>
    <row r="27" spans="1:48" x14ac:dyDescent="0.3">
      <c r="A27" t="s">
        <v>69</v>
      </c>
      <c r="B27" s="5">
        <v>42043</v>
      </c>
      <c r="C27" t="s">
        <v>31</v>
      </c>
      <c r="D27" t="s">
        <v>45</v>
      </c>
      <c r="E27" t="s">
        <v>17</v>
      </c>
      <c r="F27" t="s">
        <v>70</v>
      </c>
      <c r="G27">
        <v>14</v>
      </c>
      <c r="H27">
        <v>15</v>
      </c>
      <c r="I27">
        <v>210</v>
      </c>
      <c r="J27" t="s">
        <v>26</v>
      </c>
      <c r="P27" t="s">
        <v>126</v>
      </c>
      <c r="Q27" t="s">
        <v>139</v>
      </c>
      <c r="R27" t="s">
        <v>11</v>
      </c>
      <c r="S27" t="s">
        <v>28</v>
      </c>
    </row>
    <row r="28" spans="1:48" x14ac:dyDescent="0.3">
      <c r="A28" t="s">
        <v>71</v>
      </c>
      <c r="B28" s="5">
        <v>42043</v>
      </c>
      <c r="C28" t="s">
        <v>28</v>
      </c>
      <c r="D28" t="s">
        <v>45</v>
      </c>
      <c r="E28" t="s">
        <v>17</v>
      </c>
      <c r="F28" t="s">
        <v>72</v>
      </c>
      <c r="G28">
        <v>18</v>
      </c>
      <c r="H28">
        <v>4</v>
      </c>
      <c r="I28">
        <v>72</v>
      </c>
      <c r="J28" t="s">
        <v>26</v>
      </c>
      <c r="P28" t="s">
        <v>132</v>
      </c>
      <c r="Q28" t="s">
        <v>142</v>
      </c>
      <c r="R28" t="s">
        <v>31</v>
      </c>
      <c r="S28" t="s">
        <v>11</v>
      </c>
    </row>
    <row r="29" spans="1:48" x14ac:dyDescent="0.3">
      <c r="A29" t="s">
        <v>73</v>
      </c>
      <c r="B29" s="5">
        <v>42045</v>
      </c>
      <c r="C29" t="s">
        <v>20</v>
      </c>
      <c r="D29" t="s">
        <v>12</v>
      </c>
      <c r="E29" t="s">
        <v>17</v>
      </c>
      <c r="F29" t="s">
        <v>72</v>
      </c>
      <c r="G29">
        <v>18</v>
      </c>
      <c r="H29">
        <v>30</v>
      </c>
      <c r="I29">
        <v>540</v>
      </c>
      <c r="J29" t="s">
        <v>26</v>
      </c>
      <c r="P29" t="s">
        <v>139</v>
      </c>
      <c r="Q29" t="s">
        <v>157</v>
      </c>
      <c r="R29" t="s">
        <v>20</v>
      </c>
      <c r="S29" t="s">
        <v>11</v>
      </c>
    </row>
    <row r="30" spans="1:48" x14ac:dyDescent="0.3">
      <c r="A30" t="s">
        <v>74</v>
      </c>
      <c r="B30" s="5">
        <v>42045</v>
      </c>
      <c r="C30" t="s">
        <v>11</v>
      </c>
      <c r="D30" t="s">
        <v>12</v>
      </c>
      <c r="E30" t="s">
        <v>34</v>
      </c>
      <c r="F30" t="s">
        <v>75</v>
      </c>
      <c r="G30">
        <v>20</v>
      </c>
      <c r="H30">
        <v>42</v>
      </c>
      <c r="I30">
        <v>840</v>
      </c>
      <c r="J30" t="s">
        <v>26</v>
      </c>
      <c r="P30" t="s">
        <v>142</v>
      </c>
      <c r="Q30" t="s">
        <v>158</v>
      </c>
      <c r="R30" t="s">
        <v>11</v>
      </c>
      <c r="S30" t="s">
        <v>31</v>
      </c>
    </row>
    <row r="31" spans="1:48" x14ac:dyDescent="0.3">
      <c r="A31" t="s">
        <v>76</v>
      </c>
      <c r="B31" s="5">
        <v>42045</v>
      </c>
      <c r="C31" t="s">
        <v>31</v>
      </c>
      <c r="D31" t="s">
        <v>12</v>
      </c>
      <c r="E31" t="s">
        <v>34</v>
      </c>
      <c r="F31" t="s">
        <v>77</v>
      </c>
      <c r="G31">
        <v>31.23</v>
      </c>
      <c r="H31">
        <v>20</v>
      </c>
      <c r="I31">
        <v>624.6</v>
      </c>
      <c r="J31" t="s">
        <v>26</v>
      </c>
      <c r="P31" t="s">
        <v>157</v>
      </c>
      <c r="Q31" t="s">
        <v>162</v>
      </c>
      <c r="R31" t="s">
        <v>11</v>
      </c>
      <c r="S31" t="s">
        <v>20</v>
      </c>
    </row>
    <row r="32" spans="1:48" x14ac:dyDescent="0.3">
      <c r="A32" t="s">
        <v>78</v>
      </c>
      <c r="B32" s="5">
        <v>42045</v>
      </c>
      <c r="C32" t="s">
        <v>20</v>
      </c>
      <c r="D32" t="s">
        <v>45</v>
      </c>
      <c r="E32" t="s">
        <v>17</v>
      </c>
      <c r="F32" t="s">
        <v>79</v>
      </c>
      <c r="G32">
        <v>18</v>
      </c>
      <c r="H32">
        <v>40</v>
      </c>
      <c r="I32">
        <v>720</v>
      </c>
      <c r="J32" t="s">
        <v>15</v>
      </c>
      <c r="P32" t="s">
        <v>158</v>
      </c>
      <c r="Q32" t="s">
        <v>163</v>
      </c>
      <c r="R32" t="s">
        <v>28</v>
      </c>
      <c r="S32" t="s">
        <v>11</v>
      </c>
    </row>
    <row r="33" spans="1:19" x14ac:dyDescent="0.3">
      <c r="A33" t="s">
        <v>80</v>
      </c>
      <c r="B33" s="5">
        <v>42045</v>
      </c>
      <c r="C33" t="s">
        <v>20</v>
      </c>
      <c r="D33" t="s">
        <v>45</v>
      </c>
      <c r="E33" t="s">
        <v>51</v>
      </c>
      <c r="F33" t="s">
        <v>81</v>
      </c>
      <c r="G33">
        <v>9</v>
      </c>
      <c r="H33">
        <v>50</v>
      </c>
      <c r="I33">
        <v>450</v>
      </c>
      <c r="J33" t="s">
        <v>15</v>
      </c>
      <c r="P33" t="s">
        <v>162</v>
      </c>
      <c r="Q33" t="s">
        <v>171</v>
      </c>
      <c r="R33" t="s">
        <v>11</v>
      </c>
      <c r="S33" t="s">
        <v>11</v>
      </c>
    </row>
    <row r="34" spans="1:19" x14ac:dyDescent="0.3">
      <c r="A34" t="s">
        <v>82</v>
      </c>
      <c r="B34" s="5">
        <v>42045</v>
      </c>
      <c r="C34" t="s">
        <v>28</v>
      </c>
      <c r="D34" t="s">
        <v>45</v>
      </c>
      <c r="E34" t="s">
        <v>13</v>
      </c>
      <c r="F34" t="s">
        <v>14</v>
      </c>
      <c r="G34">
        <v>21</v>
      </c>
      <c r="H34">
        <v>10</v>
      </c>
      <c r="I34">
        <v>210</v>
      </c>
      <c r="J34" t="s">
        <v>15</v>
      </c>
      <c r="P34" t="s">
        <v>163</v>
      </c>
      <c r="Q34" t="s">
        <v>173</v>
      </c>
      <c r="R34" t="s">
        <v>20</v>
      </c>
      <c r="S34" t="s">
        <v>28</v>
      </c>
    </row>
    <row r="35" spans="1:19" x14ac:dyDescent="0.3">
      <c r="A35" t="s">
        <v>83</v>
      </c>
      <c r="B35" s="5">
        <v>42045</v>
      </c>
      <c r="C35" t="s">
        <v>11</v>
      </c>
      <c r="D35" t="s">
        <v>45</v>
      </c>
      <c r="E35" t="s">
        <v>34</v>
      </c>
      <c r="F35" t="s">
        <v>43</v>
      </c>
      <c r="G35">
        <v>12.5</v>
      </c>
      <c r="H35">
        <v>20</v>
      </c>
      <c r="I35">
        <v>250</v>
      </c>
      <c r="J35" t="s">
        <v>15</v>
      </c>
      <c r="P35" t="s">
        <v>171</v>
      </c>
      <c r="Q35" t="s">
        <v>176</v>
      </c>
      <c r="R35" t="s">
        <v>31</v>
      </c>
      <c r="S35" t="s">
        <v>11</v>
      </c>
    </row>
    <row r="36" spans="1:19" x14ac:dyDescent="0.3">
      <c r="A36" t="s">
        <v>84</v>
      </c>
      <c r="B36" s="5">
        <v>42046</v>
      </c>
      <c r="C36" t="s">
        <v>20</v>
      </c>
      <c r="D36" t="s">
        <v>85</v>
      </c>
      <c r="E36" t="s">
        <v>51</v>
      </c>
      <c r="F36" t="s">
        <v>81</v>
      </c>
      <c r="G36">
        <v>24</v>
      </c>
      <c r="H36">
        <v>10</v>
      </c>
      <c r="I36">
        <v>240</v>
      </c>
      <c r="J36" t="s">
        <v>26</v>
      </c>
      <c r="P36" t="s">
        <v>173</v>
      </c>
      <c r="Q36" t="s">
        <v>187</v>
      </c>
      <c r="R36" t="s">
        <v>20</v>
      </c>
      <c r="S36" t="s">
        <v>20</v>
      </c>
    </row>
    <row r="37" spans="1:19" x14ac:dyDescent="0.3">
      <c r="A37" t="s">
        <v>86</v>
      </c>
      <c r="B37" s="5">
        <v>42046</v>
      </c>
      <c r="C37" t="s">
        <v>11</v>
      </c>
      <c r="D37" t="s">
        <v>85</v>
      </c>
      <c r="E37" t="s">
        <v>21</v>
      </c>
      <c r="F37" t="s">
        <v>87</v>
      </c>
      <c r="G37">
        <v>21.05</v>
      </c>
      <c r="H37">
        <v>21</v>
      </c>
      <c r="I37">
        <v>442.05</v>
      </c>
      <c r="J37" t="s">
        <v>26</v>
      </c>
      <c r="L37" s="68"/>
      <c r="M37" s="68"/>
      <c r="P37" t="s">
        <v>176</v>
      </c>
      <c r="Q37" t="s">
        <v>194</v>
      </c>
      <c r="R37" t="s">
        <v>31</v>
      </c>
      <c r="S37" t="s">
        <v>31</v>
      </c>
    </row>
    <row r="38" spans="1:19" x14ac:dyDescent="0.3">
      <c r="A38" t="s">
        <v>88</v>
      </c>
      <c r="B38" s="5">
        <v>42046</v>
      </c>
      <c r="C38" t="s">
        <v>31</v>
      </c>
      <c r="D38" t="s">
        <v>85</v>
      </c>
      <c r="E38" t="s">
        <v>21</v>
      </c>
      <c r="F38" t="s">
        <v>22</v>
      </c>
      <c r="G38">
        <v>33.25</v>
      </c>
      <c r="H38">
        <v>15</v>
      </c>
      <c r="I38">
        <v>498.75</v>
      </c>
      <c r="J38" t="s">
        <v>26</v>
      </c>
      <c r="P38" t="s">
        <v>187</v>
      </c>
      <c r="Q38" t="s">
        <v>199</v>
      </c>
      <c r="R38" t="s">
        <v>31</v>
      </c>
      <c r="S38" t="s">
        <v>20</v>
      </c>
    </row>
    <row r="39" spans="1:19" x14ac:dyDescent="0.3">
      <c r="A39" t="s">
        <v>89</v>
      </c>
      <c r="B39" s="5">
        <v>42046</v>
      </c>
      <c r="C39" t="s">
        <v>31</v>
      </c>
      <c r="D39" t="s">
        <v>85</v>
      </c>
      <c r="E39" t="s">
        <v>34</v>
      </c>
      <c r="F39" t="s">
        <v>90</v>
      </c>
      <c r="G39">
        <v>49.3</v>
      </c>
      <c r="H39">
        <v>20</v>
      </c>
      <c r="I39">
        <v>986</v>
      </c>
      <c r="J39" t="s">
        <v>26</v>
      </c>
      <c r="P39" t="s">
        <v>194</v>
      </c>
      <c r="Q39" t="s">
        <v>202</v>
      </c>
      <c r="R39" t="s">
        <v>31</v>
      </c>
      <c r="S39" t="s">
        <v>31</v>
      </c>
    </row>
    <row r="40" spans="1:19" x14ac:dyDescent="0.3">
      <c r="A40" t="s">
        <v>91</v>
      </c>
      <c r="B40" s="5">
        <v>42047</v>
      </c>
      <c r="C40" t="s">
        <v>20</v>
      </c>
      <c r="D40" t="s">
        <v>85</v>
      </c>
      <c r="E40" t="s">
        <v>21</v>
      </c>
      <c r="F40" t="s">
        <v>22</v>
      </c>
      <c r="G40">
        <v>31</v>
      </c>
      <c r="H40">
        <v>10</v>
      </c>
      <c r="I40">
        <v>310</v>
      </c>
      <c r="J40" t="s">
        <v>26</v>
      </c>
      <c r="P40" t="s">
        <v>199</v>
      </c>
      <c r="Q40" t="s">
        <v>204</v>
      </c>
      <c r="R40" t="s">
        <v>11</v>
      </c>
      <c r="S40" t="s">
        <v>31</v>
      </c>
    </row>
    <row r="41" spans="1:19" x14ac:dyDescent="0.3">
      <c r="A41" t="s">
        <v>92</v>
      </c>
      <c r="B41" s="5">
        <v>42050</v>
      </c>
      <c r="C41" t="s">
        <v>28</v>
      </c>
      <c r="D41" t="s">
        <v>12</v>
      </c>
      <c r="E41" t="s">
        <v>17</v>
      </c>
      <c r="F41" t="s">
        <v>54</v>
      </c>
      <c r="G41">
        <v>62.5</v>
      </c>
      <c r="H41">
        <v>25</v>
      </c>
      <c r="I41">
        <v>1562.5</v>
      </c>
      <c r="J41" t="s">
        <v>15</v>
      </c>
      <c r="P41" t="s">
        <v>202</v>
      </c>
      <c r="Q41" t="s">
        <v>211</v>
      </c>
      <c r="R41" t="s">
        <v>11</v>
      </c>
      <c r="S41" t="s">
        <v>31</v>
      </c>
    </row>
    <row r="42" spans="1:19" x14ac:dyDescent="0.3">
      <c r="A42" t="s">
        <v>93</v>
      </c>
      <c r="B42" s="5">
        <v>42050</v>
      </c>
      <c r="C42" t="s">
        <v>11</v>
      </c>
      <c r="D42" t="s">
        <v>12</v>
      </c>
      <c r="E42" t="s">
        <v>34</v>
      </c>
      <c r="F42" t="s">
        <v>94</v>
      </c>
      <c r="G42">
        <v>17.45</v>
      </c>
      <c r="H42">
        <v>30</v>
      </c>
      <c r="I42">
        <v>523.5</v>
      </c>
      <c r="J42" t="s">
        <v>15</v>
      </c>
      <c r="P42" t="s">
        <v>204</v>
      </c>
      <c r="Q42" t="s">
        <v>212</v>
      </c>
      <c r="R42" t="s">
        <v>11</v>
      </c>
      <c r="S42" t="s">
        <v>11</v>
      </c>
    </row>
    <row r="43" spans="1:19" x14ac:dyDescent="0.3">
      <c r="A43" t="s">
        <v>95</v>
      </c>
      <c r="B43" s="5">
        <v>42052</v>
      </c>
      <c r="C43" t="s">
        <v>31</v>
      </c>
      <c r="D43" t="s">
        <v>24</v>
      </c>
      <c r="E43" t="s">
        <v>17</v>
      </c>
      <c r="F43" t="s">
        <v>54</v>
      </c>
      <c r="G43">
        <v>15</v>
      </c>
      <c r="H43">
        <v>10</v>
      </c>
      <c r="I43">
        <v>150</v>
      </c>
      <c r="J43" t="s">
        <v>15</v>
      </c>
      <c r="P43" t="s">
        <v>211</v>
      </c>
      <c r="Q43" t="s">
        <v>216</v>
      </c>
      <c r="R43" t="s">
        <v>31</v>
      </c>
      <c r="S43" t="s">
        <v>11</v>
      </c>
    </row>
    <row r="44" spans="1:19" x14ac:dyDescent="0.3">
      <c r="A44" t="s">
        <v>96</v>
      </c>
      <c r="B44" s="5">
        <v>42054</v>
      </c>
      <c r="C44" t="s">
        <v>31</v>
      </c>
      <c r="D44" t="s">
        <v>12</v>
      </c>
      <c r="E44" t="s">
        <v>21</v>
      </c>
      <c r="F44" t="s">
        <v>97</v>
      </c>
      <c r="G44">
        <v>13</v>
      </c>
      <c r="H44">
        <v>40</v>
      </c>
      <c r="I44">
        <v>520</v>
      </c>
      <c r="J44" t="s">
        <v>15</v>
      </c>
      <c r="P44" t="s">
        <v>212</v>
      </c>
      <c r="Q44" t="s">
        <v>228</v>
      </c>
      <c r="R44" t="s">
        <v>31</v>
      </c>
      <c r="S44" t="s">
        <v>11</v>
      </c>
    </row>
    <row r="45" spans="1:19" x14ac:dyDescent="0.3">
      <c r="A45" t="s">
        <v>98</v>
      </c>
      <c r="B45" s="5">
        <v>42054</v>
      </c>
      <c r="C45" t="s">
        <v>20</v>
      </c>
      <c r="D45" t="s">
        <v>12</v>
      </c>
      <c r="E45" t="s">
        <v>13</v>
      </c>
      <c r="F45" t="s">
        <v>99</v>
      </c>
      <c r="G45">
        <v>12.5</v>
      </c>
      <c r="H45">
        <v>35</v>
      </c>
      <c r="I45">
        <v>437.5</v>
      </c>
      <c r="J45" t="s">
        <v>15</v>
      </c>
      <c r="P45" t="s">
        <v>216</v>
      </c>
      <c r="Q45" t="s">
        <v>229</v>
      </c>
      <c r="R45" t="s">
        <v>11</v>
      </c>
      <c r="S45" t="s">
        <v>31</v>
      </c>
    </row>
    <row r="46" spans="1:19" x14ac:dyDescent="0.3">
      <c r="A46" t="s">
        <v>100</v>
      </c>
      <c r="B46" s="5">
        <v>42054</v>
      </c>
      <c r="C46" t="s">
        <v>28</v>
      </c>
      <c r="D46" t="s">
        <v>12</v>
      </c>
      <c r="E46" t="s">
        <v>21</v>
      </c>
      <c r="F46" t="s">
        <v>22</v>
      </c>
      <c r="G46">
        <v>31</v>
      </c>
      <c r="H46">
        <v>70</v>
      </c>
      <c r="I46">
        <v>2170</v>
      </c>
      <c r="J46" t="s">
        <v>15</v>
      </c>
      <c r="P46" t="s">
        <v>228</v>
      </c>
      <c r="Q46" t="s">
        <v>231</v>
      </c>
      <c r="R46" t="s">
        <v>20</v>
      </c>
      <c r="S46" t="s">
        <v>31</v>
      </c>
    </row>
    <row r="47" spans="1:19" x14ac:dyDescent="0.3">
      <c r="A47" t="s">
        <v>101</v>
      </c>
      <c r="B47" s="5">
        <v>42054</v>
      </c>
      <c r="C47" t="s">
        <v>11</v>
      </c>
      <c r="D47" t="s">
        <v>85</v>
      </c>
      <c r="E47" t="s">
        <v>34</v>
      </c>
      <c r="F47" t="s">
        <v>68</v>
      </c>
      <c r="G47">
        <v>14</v>
      </c>
      <c r="H47">
        <v>5</v>
      </c>
      <c r="I47">
        <v>70</v>
      </c>
      <c r="J47" t="s">
        <v>26</v>
      </c>
      <c r="P47" t="s">
        <v>229</v>
      </c>
      <c r="Q47" t="s">
        <v>234</v>
      </c>
      <c r="R47" t="s">
        <v>31</v>
      </c>
      <c r="S47" t="s">
        <v>11</v>
      </c>
    </row>
    <row r="48" spans="1:19" x14ac:dyDescent="0.3">
      <c r="A48" t="s">
        <v>102</v>
      </c>
      <c r="B48" s="5">
        <v>42057</v>
      </c>
      <c r="C48" t="s">
        <v>11</v>
      </c>
      <c r="D48" t="s">
        <v>85</v>
      </c>
      <c r="E48" t="s">
        <v>17</v>
      </c>
      <c r="F48" t="s">
        <v>18</v>
      </c>
      <c r="G48">
        <v>19</v>
      </c>
      <c r="H48">
        <v>20</v>
      </c>
      <c r="I48">
        <v>380</v>
      </c>
      <c r="J48" t="s">
        <v>26</v>
      </c>
      <c r="P48" t="s">
        <v>231</v>
      </c>
      <c r="Q48" t="s">
        <v>238</v>
      </c>
      <c r="R48" t="s">
        <v>20</v>
      </c>
      <c r="S48" t="s">
        <v>20</v>
      </c>
    </row>
    <row r="49" spans="1:19" x14ac:dyDescent="0.3">
      <c r="A49" t="s">
        <v>103</v>
      </c>
      <c r="B49" s="5">
        <v>42057</v>
      </c>
      <c r="C49" t="s">
        <v>31</v>
      </c>
      <c r="D49" t="s">
        <v>85</v>
      </c>
      <c r="E49" t="s">
        <v>34</v>
      </c>
      <c r="F49" t="s">
        <v>43</v>
      </c>
      <c r="G49">
        <v>12.5</v>
      </c>
      <c r="H49">
        <v>18</v>
      </c>
      <c r="I49">
        <v>225</v>
      </c>
      <c r="J49" t="s">
        <v>26</v>
      </c>
      <c r="P49" t="s">
        <v>234</v>
      </c>
      <c r="Q49" t="s">
        <v>240</v>
      </c>
      <c r="R49" t="s">
        <v>28</v>
      </c>
      <c r="S49" t="s">
        <v>31</v>
      </c>
    </row>
    <row r="50" spans="1:19" x14ac:dyDescent="0.3">
      <c r="A50" t="s">
        <v>104</v>
      </c>
      <c r="B50" s="5">
        <v>42061</v>
      </c>
      <c r="C50" t="s">
        <v>11</v>
      </c>
      <c r="D50" t="s">
        <v>24</v>
      </c>
      <c r="E50" t="s">
        <v>13</v>
      </c>
      <c r="F50" t="s">
        <v>14</v>
      </c>
      <c r="G50">
        <v>6</v>
      </c>
      <c r="H50">
        <v>5</v>
      </c>
      <c r="I50">
        <v>30</v>
      </c>
      <c r="J50" t="s">
        <v>26</v>
      </c>
      <c r="L50" s="69"/>
      <c r="M50" s="69"/>
      <c r="P50" t="s">
        <v>238</v>
      </c>
      <c r="Q50" t="s">
        <v>242</v>
      </c>
      <c r="R50" t="s">
        <v>31</v>
      </c>
      <c r="S50" t="s">
        <v>20</v>
      </c>
    </row>
    <row r="51" spans="1:19" x14ac:dyDescent="0.3">
      <c r="A51" t="s">
        <v>105</v>
      </c>
      <c r="B51" s="5">
        <v>42061</v>
      </c>
      <c r="C51" t="s">
        <v>28</v>
      </c>
      <c r="D51" t="s">
        <v>12</v>
      </c>
      <c r="E51" t="s">
        <v>17</v>
      </c>
      <c r="F51" t="s">
        <v>54</v>
      </c>
      <c r="G51">
        <v>15</v>
      </c>
      <c r="H51">
        <v>3</v>
      </c>
      <c r="I51">
        <v>45</v>
      </c>
      <c r="J51" t="s">
        <v>26</v>
      </c>
      <c r="P51" t="s">
        <v>240</v>
      </c>
      <c r="Q51" t="s">
        <v>247</v>
      </c>
      <c r="R51" t="s">
        <v>20</v>
      </c>
      <c r="S51" t="s">
        <v>28</v>
      </c>
    </row>
    <row r="52" spans="1:19" x14ac:dyDescent="0.3">
      <c r="A52" t="s">
        <v>106</v>
      </c>
      <c r="B52" s="5">
        <v>42065</v>
      </c>
      <c r="C52" t="s">
        <v>11</v>
      </c>
      <c r="D52" t="s">
        <v>12</v>
      </c>
      <c r="E52" t="s">
        <v>17</v>
      </c>
      <c r="F52" t="s">
        <v>79</v>
      </c>
      <c r="G52">
        <v>18</v>
      </c>
      <c r="H52">
        <v>20</v>
      </c>
      <c r="I52">
        <v>360</v>
      </c>
      <c r="J52" t="s">
        <v>26</v>
      </c>
      <c r="P52" t="s">
        <v>242</v>
      </c>
      <c r="Q52" t="s">
        <v>254</v>
      </c>
      <c r="R52" t="s">
        <v>20</v>
      </c>
      <c r="S52" t="s">
        <v>31</v>
      </c>
    </row>
    <row r="53" spans="1:19" x14ac:dyDescent="0.3">
      <c r="A53" t="s">
        <v>107</v>
      </c>
      <c r="B53" s="5">
        <v>42065</v>
      </c>
      <c r="C53" t="s">
        <v>28</v>
      </c>
      <c r="D53" t="s">
        <v>12</v>
      </c>
      <c r="E53" t="s">
        <v>21</v>
      </c>
      <c r="F53" t="s">
        <v>87</v>
      </c>
      <c r="G53">
        <v>21.05</v>
      </c>
      <c r="H53">
        <v>21</v>
      </c>
      <c r="I53">
        <v>442.05</v>
      </c>
      <c r="J53" t="s">
        <v>26</v>
      </c>
      <c r="P53" t="s">
        <v>247</v>
      </c>
      <c r="Q53" t="s">
        <v>260</v>
      </c>
      <c r="R53" t="s">
        <v>31</v>
      </c>
      <c r="S53" t="s">
        <v>20</v>
      </c>
    </row>
    <row r="54" spans="1:19" x14ac:dyDescent="0.3">
      <c r="A54" t="s">
        <v>108</v>
      </c>
      <c r="B54" s="5">
        <v>42065</v>
      </c>
      <c r="C54" t="s">
        <v>31</v>
      </c>
      <c r="D54" t="s">
        <v>12</v>
      </c>
      <c r="E54" t="s">
        <v>21</v>
      </c>
      <c r="F54" t="s">
        <v>22</v>
      </c>
      <c r="G54">
        <v>6</v>
      </c>
      <c r="H54">
        <v>40</v>
      </c>
      <c r="I54">
        <v>240</v>
      </c>
      <c r="J54" t="s">
        <v>26</v>
      </c>
      <c r="P54" t="s">
        <v>254</v>
      </c>
      <c r="Q54" t="s">
        <v>269</v>
      </c>
      <c r="R54" t="s">
        <v>20</v>
      </c>
      <c r="S54" t="s">
        <v>20</v>
      </c>
    </row>
    <row r="55" spans="1:19" x14ac:dyDescent="0.3">
      <c r="A55" t="s">
        <v>109</v>
      </c>
      <c r="B55" s="5">
        <v>42065</v>
      </c>
      <c r="C55" t="s">
        <v>31</v>
      </c>
      <c r="D55" t="s">
        <v>12</v>
      </c>
      <c r="E55" t="s">
        <v>34</v>
      </c>
      <c r="F55" t="s">
        <v>43</v>
      </c>
      <c r="G55">
        <v>12.5</v>
      </c>
      <c r="H55">
        <v>20</v>
      </c>
      <c r="I55">
        <v>250</v>
      </c>
      <c r="J55" t="s">
        <v>26</v>
      </c>
      <c r="P55" t="s">
        <v>260</v>
      </c>
      <c r="Q55" t="s">
        <v>270</v>
      </c>
      <c r="R55" t="s">
        <v>11</v>
      </c>
      <c r="S55" t="s">
        <v>31</v>
      </c>
    </row>
    <row r="56" spans="1:19" x14ac:dyDescent="0.3">
      <c r="A56" t="s">
        <v>110</v>
      </c>
      <c r="B56" s="5">
        <v>42067</v>
      </c>
      <c r="C56" t="s">
        <v>20</v>
      </c>
      <c r="D56" t="s">
        <v>12</v>
      </c>
      <c r="E56" t="s">
        <v>21</v>
      </c>
      <c r="F56" t="s">
        <v>111</v>
      </c>
      <c r="G56">
        <v>22</v>
      </c>
      <c r="H56">
        <v>30</v>
      </c>
      <c r="I56">
        <v>660</v>
      </c>
      <c r="J56" t="s">
        <v>15</v>
      </c>
      <c r="P56" t="s">
        <v>269</v>
      </c>
      <c r="Q56" t="s">
        <v>271</v>
      </c>
      <c r="R56" t="s">
        <v>20</v>
      </c>
      <c r="S56" t="s">
        <v>20</v>
      </c>
    </row>
    <row r="57" spans="1:19" x14ac:dyDescent="0.3">
      <c r="A57" t="s">
        <v>112</v>
      </c>
      <c r="B57" s="5">
        <v>42067</v>
      </c>
      <c r="C57" t="s">
        <v>20</v>
      </c>
      <c r="D57" t="s">
        <v>12</v>
      </c>
      <c r="E57" t="s">
        <v>13</v>
      </c>
      <c r="F57" t="s">
        <v>113</v>
      </c>
      <c r="G57">
        <v>2.5</v>
      </c>
      <c r="H57">
        <v>40</v>
      </c>
      <c r="I57">
        <v>100</v>
      </c>
      <c r="J57" t="s">
        <v>15</v>
      </c>
      <c r="P57" t="s">
        <v>270</v>
      </c>
      <c r="Q57" t="s">
        <v>273</v>
      </c>
      <c r="R57" t="s">
        <v>11</v>
      </c>
      <c r="S57" t="s">
        <v>11</v>
      </c>
    </row>
    <row r="58" spans="1:19" x14ac:dyDescent="0.3">
      <c r="A58" t="s">
        <v>114</v>
      </c>
      <c r="B58" s="5">
        <v>42067</v>
      </c>
      <c r="C58" t="s">
        <v>28</v>
      </c>
      <c r="D58" t="s">
        <v>12</v>
      </c>
      <c r="E58" t="s">
        <v>21</v>
      </c>
      <c r="F58" t="s">
        <v>22</v>
      </c>
      <c r="G58">
        <v>13.25</v>
      </c>
      <c r="H58">
        <v>15</v>
      </c>
      <c r="I58">
        <v>198.75</v>
      </c>
      <c r="J58" t="s">
        <v>15</v>
      </c>
      <c r="P58" t="s">
        <v>271</v>
      </c>
      <c r="Q58" t="s">
        <v>274</v>
      </c>
      <c r="R58" t="s">
        <v>31</v>
      </c>
      <c r="S58" t="s">
        <v>20</v>
      </c>
    </row>
    <row r="59" spans="1:19" x14ac:dyDescent="0.3">
      <c r="A59" t="s">
        <v>115</v>
      </c>
      <c r="B59" s="5">
        <v>42067</v>
      </c>
      <c r="C59" t="s">
        <v>31</v>
      </c>
      <c r="D59" t="s">
        <v>85</v>
      </c>
      <c r="E59" t="s">
        <v>17</v>
      </c>
      <c r="F59" t="s">
        <v>70</v>
      </c>
      <c r="G59">
        <v>14</v>
      </c>
      <c r="H59">
        <v>15</v>
      </c>
      <c r="I59">
        <v>210</v>
      </c>
      <c r="J59" t="s">
        <v>15</v>
      </c>
      <c r="P59" t="s">
        <v>273</v>
      </c>
      <c r="Q59" t="s">
        <v>277</v>
      </c>
      <c r="R59" t="s">
        <v>11</v>
      </c>
      <c r="S59" t="s">
        <v>11</v>
      </c>
    </row>
    <row r="60" spans="1:19" x14ac:dyDescent="0.3">
      <c r="A60" t="s">
        <v>116</v>
      </c>
      <c r="B60" s="5">
        <v>42067</v>
      </c>
      <c r="C60" t="s">
        <v>20</v>
      </c>
      <c r="D60" t="s">
        <v>85</v>
      </c>
      <c r="E60" t="s">
        <v>17</v>
      </c>
      <c r="F60" t="s">
        <v>79</v>
      </c>
      <c r="G60">
        <v>18</v>
      </c>
      <c r="H60">
        <v>10</v>
      </c>
      <c r="I60">
        <v>180</v>
      </c>
      <c r="J60" t="s">
        <v>15</v>
      </c>
      <c r="P60" t="s">
        <v>274</v>
      </c>
      <c r="Q60" t="s">
        <v>278</v>
      </c>
      <c r="R60" t="s">
        <v>11</v>
      </c>
      <c r="S60" t="s">
        <v>31</v>
      </c>
    </row>
    <row r="61" spans="1:19" x14ac:dyDescent="0.3">
      <c r="A61" t="s">
        <v>117</v>
      </c>
      <c r="B61" s="5">
        <v>42067</v>
      </c>
      <c r="C61" t="s">
        <v>31</v>
      </c>
      <c r="D61" t="s">
        <v>85</v>
      </c>
      <c r="E61" t="s">
        <v>51</v>
      </c>
      <c r="F61" t="s">
        <v>118</v>
      </c>
      <c r="G61">
        <v>39</v>
      </c>
      <c r="H61">
        <v>12</v>
      </c>
      <c r="I61">
        <v>468</v>
      </c>
      <c r="J61" t="s">
        <v>15</v>
      </c>
      <c r="P61" t="s">
        <v>277</v>
      </c>
      <c r="Q61" t="s">
        <v>281</v>
      </c>
      <c r="R61" t="s">
        <v>28</v>
      </c>
      <c r="S61" t="s">
        <v>11</v>
      </c>
    </row>
    <row r="62" spans="1:19" x14ac:dyDescent="0.3">
      <c r="A62" t="s">
        <v>119</v>
      </c>
      <c r="B62" s="5">
        <v>42068</v>
      </c>
      <c r="C62" t="s">
        <v>11</v>
      </c>
      <c r="D62" t="s">
        <v>24</v>
      </c>
      <c r="E62" t="s">
        <v>13</v>
      </c>
      <c r="F62" t="s">
        <v>14</v>
      </c>
      <c r="G62">
        <v>19.5</v>
      </c>
      <c r="H62">
        <v>80</v>
      </c>
      <c r="I62">
        <v>1560</v>
      </c>
      <c r="J62" t="s">
        <v>26</v>
      </c>
      <c r="P62" t="s">
        <v>278</v>
      </c>
      <c r="Q62" t="s">
        <v>290</v>
      </c>
      <c r="R62" t="s">
        <v>31</v>
      </c>
      <c r="S62" t="s">
        <v>11</v>
      </c>
    </row>
    <row r="63" spans="1:19" x14ac:dyDescent="0.3">
      <c r="A63" t="s">
        <v>120</v>
      </c>
      <c r="B63" s="5">
        <v>42068</v>
      </c>
      <c r="C63" t="s">
        <v>11</v>
      </c>
      <c r="D63" t="s">
        <v>24</v>
      </c>
      <c r="E63" t="s">
        <v>13</v>
      </c>
      <c r="F63" t="s">
        <v>121</v>
      </c>
      <c r="G63">
        <v>32</v>
      </c>
      <c r="H63">
        <v>6</v>
      </c>
      <c r="I63">
        <v>192</v>
      </c>
      <c r="J63" t="s">
        <v>26</v>
      </c>
      <c r="P63" t="s">
        <v>281</v>
      </c>
      <c r="Q63" t="s">
        <v>294</v>
      </c>
      <c r="R63" t="s">
        <v>28</v>
      </c>
      <c r="S63" t="s">
        <v>28</v>
      </c>
    </row>
    <row r="64" spans="1:19" x14ac:dyDescent="0.3">
      <c r="A64" t="s">
        <v>122</v>
      </c>
      <c r="B64" s="5">
        <v>42068</v>
      </c>
      <c r="C64" t="s">
        <v>11</v>
      </c>
      <c r="D64" t="s">
        <v>24</v>
      </c>
      <c r="E64" t="s">
        <v>34</v>
      </c>
      <c r="F64" t="s">
        <v>94</v>
      </c>
      <c r="G64">
        <v>17.45</v>
      </c>
      <c r="H64">
        <v>6</v>
      </c>
      <c r="I64">
        <v>104.69999999999999</v>
      </c>
      <c r="J64" t="s">
        <v>26</v>
      </c>
      <c r="P64" t="s">
        <v>290</v>
      </c>
      <c r="Q64" t="s">
        <v>295</v>
      </c>
      <c r="R64" t="s">
        <v>20</v>
      </c>
      <c r="S64" t="s">
        <v>31</v>
      </c>
    </row>
    <row r="65" spans="1:19" x14ac:dyDescent="0.3">
      <c r="A65" t="s">
        <v>123</v>
      </c>
      <c r="B65" s="5">
        <v>42068</v>
      </c>
      <c r="C65" t="s">
        <v>31</v>
      </c>
      <c r="D65" t="s">
        <v>12</v>
      </c>
      <c r="E65" t="s">
        <v>13</v>
      </c>
      <c r="F65" t="s">
        <v>124</v>
      </c>
      <c r="G65">
        <v>21.5</v>
      </c>
      <c r="H65">
        <v>25</v>
      </c>
      <c r="I65">
        <v>537.5</v>
      </c>
      <c r="J65" t="s">
        <v>15</v>
      </c>
      <c r="P65" t="s">
        <v>294</v>
      </c>
      <c r="Q65" t="s">
        <v>303</v>
      </c>
      <c r="R65" t="s">
        <v>31</v>
      </c>
      <c r="S65" t="s">
        <v>28</v>
      </c>
    </row>
    <row r="66" spans="1:19" x14ac:dyDescent="0.3">
      <c r="A66" t="s">
        <v>125</v>
      </c>
      <c r="B66" s="5">
        <v>42071</v>
      </c>
      <c r="C66" t="s">
        <v>20</v>
      </c>
      <c r="D66" t="s">
        <v>85</v>
      </c>
      <c r="E66" t="s">
        <v>13</v>
      </c>
      <c r="F66" t="s">
        <v>41</v>
      </c>
      <c r="G66">
        <v>34</v>
      </c>
      <c r="H66">
        <v>10</v>
      </c>
      <c r="I66">
        <v>340</v>
      </c>
      <c r="J66" t="s">
        <v>26</v>
      </c>
      <c r="P66" t="s">
        <v>295</v>
      </c>
      <c r="Q66" t="s">
        <v>304</v>
      </c>
      <c r="R66" t="s">
        <v>28</v>
      </c>
      <c r="S66" t="s">
        <v>20</v>
      </c>
    </row>
    <row r="67" spans="1:19" x14ac:dyDescent="0.3">
      <c r="A67" t="s">
        <v>126</v>
      </c>
      <c r="B67" s="5">
        <v>42071</v>
      </c>
      <c r="C67" t="s">
        <v>28</v>
      </c>
      <c r="D67" t="s">
        <v>85</v>
      </c>
      <c r="E67" t="s">
        <v>17</v>
      </c>
      <c r="F67" t="s">
        <v>54</v>
      </c>
      <c r="G67">
        <v>25.89</v>
      </c>
      <c r="H67">
        <v>1</v>
      </c>
      <c r="I67">
        <v>25.89</v>
      </c>
      <c r="J67" t="s">
        <v>26</v>
      </c>
      <c r="P67" t="s">
        <v>303</v>
      </c>
      <c r="Q67" t="s">
        <v>308</v>
      </c>
      <c r="R67" t="s">
        <v>20</v>
      </c>
      <c r="S67" t="s">
        <v>31</v>
      </c>
    </row>
    <row r="68" spans="1:19" x14ac:dyDescent="0.3">
      <c r="A68" t="s">
        <v>127</v>
      </c>
      <c r="B68" s="5">
        <v>42072</v>
      </c>
      <c r="C68" t="s">
        <v>31</v>
      </c>
      <c r="D68" t="s">
        <v>12</v>
      </c>
      <c r="E68" t="s">
        <v>17</v>
      </c>
      <c r="F68" t="s">
        <v>128</v>
      </c>
      <c r="G68">
        <v>4.5</v>
      </c>
      <c r="H68">
        <v>35</v>
      </c>
      <c r="I68">
        <v>157.5</v>
      </c>
      <c r="J68" t="s">
        <v>26</v>
      </c>
      <c r="P68" t="s">
        <v>304</v>
      </c>
      <c r="Q68" t="s">
        <v>42</v>
      </c>
      <c r="R68" t="s">
        <v>20</v>
      </c>
      <c r="S68" t="s">
        <v>28</v>
      </c>
    </row>
    <row r="69" spans="1:19" x14ac:dyDescent="0.3">
      <c r="A69" t="s">
        <v>129</v>
      </c>
      <c r="B69" s="5">
        <v>42072</v>
      </c>
      <c r="C69" t="s">
        <v>20</v>
      </c>
      <c r="D69" t="s">
        <v>12</v>
      </c>
      <c r="E69" t="s">
        <v>51</v>
      </c>
      <c r="F69" t="s">
        <v>118</v>
      </c>
      <c r="G69">
        <v>39</v>
      </c>
      <c r="H69">
        <v>15</v>
      </c>
      <c r="I69">
        <v>585</v>
      </c>
      <c r="J69" t="s">
        <v>26</v>
      </c>
      <c r="P69" t="s">
        <v>308</v>
      </c>
      <c r="Q69" t="s">
        <v>318</v>
      </c>
      <c r="R69" t="s">
        <v>28</v>
      </c>
      <c r="S69" t="s">
        <v>20</v>
      </c>
    </row>
    <row r="70" spans="1:19" x14ac:dyDescent="0.3">
      <c r="A70" t="s">
        <v>130</v>
      </c>
      <c r="B70" s="5">
        <v>42072</v>
      </c>
      <c r="C70" t="s">
        <v>20</v>
      </c>
      <c r="D70" t="s">
        <v>45</v>
      </c>
      <c r="E70" t="s">
        <v>34</v>
      </c>
      <c r="F70" t="s">
        <v>64</v>
      </c>
      <c r="G70">
        <v>16.25</v>
      </c>
      <c r="H70">
        <v>24</v>
      </c>
      <c r="I70">
        <v>390</v>
      </c>
      <c r="J70" t="s">
        <v>26</v>
      </c>
      <c r="P70" t="s">
        <v>42</v>
      </c>
      <c r="Q70" t="s">
        <v>329</v>
      </c>
      <c r="R70" t="s">
        <v>11</v>
      </c>
      <c r="S70" t="s">
        <v>20</v>
      </c>
    </row>
    <row r="71" spans="1:19" x14ac:dyDescent="0.3">
      <c r="A71" t="s">
        <v>131</v>
      </c>
      <c r="B71" s="5">
        <v>42073</v>
      </c>
      <c r="C71" t="s">
        <v>11</v>
      </c>
      <c r="D71" t="s">
        <v>12</v>
      </c>
      <c r="E71" t="s">
        <v>13</v>
      </c>
      <c r="F71" t="s">
        <v>14</v>
      </c>
      <c r="G71">
        <v>7</v>
      </c>
      <c r="H71">
        <v>12</v>
      </c>
      <c r="I71">
        <v>84</v>
      </c>
      <c r="J71" t="s">
        <v>15</v>
      </c>
      <c r="P71" t="s">
        <v>318</v>
      </c>
      <c r="Q71" t="s">
        <v>336</v>
      </c>
      <c r="R71" t="s">
        <v>11</v>
      </c>
      <c r="S71" t="s">
        <v>28</v>
      </c>
    </row>
    <row r="72" spans="1:19" x14ac:dyDescent="0.3">
      <c r="A72" t="s">
        <v>132</v>
      </c>
      <c r="B72" s="5">
        <v>42073</v>
      </c>
      <c r="C72" t="s">
        <v>11</v>
      </c>
      <c r="D72" t="s">
        <v>12</v>
      </c>
      <c r="E72" t="s">
        <v>51</v>
      </c>
      <c r="F72" t="s">
        <v>81</v>
      </c>
      <c r="G72">
        <v>19</v>
      </c>
      <c r="H72">
        <v>25</v>
      </c>
      <c r="I72">
        <v>475</v>
      </c>
      <c r="J72" t="s">
        <v>15</v>
      </c>
      <c r="P72" t="s">
        <v>329</v>
      </c>
      <c r="Q72" t="s">
        <v>338</v>
      </c>
      <c r="R72" t="s">
        <v>31</v>
      </c>
      <c r="S72" t="s">
        <v>11</v>
      </c>
    </row>
    <row r="73" spans="1:19" x14ac:dyDescent="0.3">
      <c r="A73" t="s">
        <v>133</v>
      </c>
      <c r="B73" s="5">
        <v>42074</v>
      </c>
      <c r="C73" t="s">
        <v>20</v>
      </c>
      <c r="D73" t="s">
        <v>85</v>
      </c>
      <c r="E73" t="s">
        <v>17</v>
      </c>
      <c r="F73" t="s">
        <v>134</v>
      </c>
      <c r="G73">
        <v>18</v>
      </c>
      <c r="H73">
        <v>5</v>
      </c>
      <c r="I73">
        <v>90</v>
      </c>
      <c r="J73" t="s">
        <v>15</v>
      </c>
      <c r="P73" t="s">
        <v>336</v>
      </c>
      <c r="Q73" t="s">
        <v>345</v>
      </c>
      <c r="R73" t="s">
        <v>11</v>
      </c>
      <c r="S73" t="s">
        <v>11</v>
      </c>
    </row>
    <row r="74" spans="1:19" x14ac:dyDescent="0.3">
      <c r="A74" t="s">
        <v>135</v>
      </c>
      <c r="B74" s="5">
        <v>42074</v>
      </c>
      <c r="C74" t="s">
        <v>20</v>
      </c>
      <c r="D74" t="s">
        <v>85</v>
      </c>
      <c r="E74" t="s">
        <v>34</v>
      </c>
      <c r="F74" t="s">
        <v>136</v>
      </c>
      <c r="G74">
        <v>9.5</v>
      </c>
      <c r="H74">
        <v>5</v>
      </c>
      <c r="I74">
        <v>47.5</v>
      </c>
      <c r="J74" t="s">
        <v>15</v>
      </c>
      <c r="P74" t="s">
        <v>338</v>
      </c>
      <c r="Q74" t="s">
        <v>352</v>
      </c>
      <c r="R74" t="s">
        <v>11</v>
      </c>
      <c r="S74" t="s">
        <v>31</v>
      </c>
    </row>
    <row r="75" spans="1:19" x14ac:dyDescent="0.3">
      <c r="A75" t="s">
        <v>137</v>
      </c>
      <c r="B75" s="5">
        <v>42075</v>
      </c>
      <c r="C75" t="s">
        <v>28</v>
      </c>
      <c r="D75" t="s">
        <v>45</v>
      </c>
      <c r="E75" t="s">
        <v>51</v>
      </c>
      <c r="F75" t="s">
        <v>138</v>
      </c>
      <c r="G75">
        <v>32.799999999999997</v>
      </c>
      <c r="H75">
        <v>2</v>
      </c>
      <c r="I75">
        <v>65.599999999999994</v>
      </c>
      <c r="J75" t="s">
        <v>26</v>
      </c>
      <c r="P75" t="s">
        <v>345</v>
      </c>
      <c r="Q75" t="s">
        <v>356</v>
      </c>
      <c r="R75" t="s">
        <v>20</v>
      </c>
      <c r="S75" t="s">
        <v>11</v>
      </c>
    </row>
    <row r="76" spans="1:19" x14ac:dyDescent="0.3">
      <c r="A76" t="s">
        <v>139</v>
      </c>
      <c r="B76" s="5">
        <v>42075</v>
      </c>
      <c r="C76" t="s">
        <v>11</v>
      </c>
      <c r="D76" t="s">
        <v>45</v>
      </c>
      <c r="E76" t="s">
        <v>21</v>
      </c>
      <c r="F76" t="s">
        <v>22</v>
      </c>
      <c r="G76">
        <v>28.5</v>
      </c>
      <c r="H76">
        <v>30</v>
      </c>
      <c r="I76">
        <v>855</v>
      </c>
      <c r="J76" t="s">
        <v>26</v>
      </c>
      <c r="P76" t="s">
        <v>352</v>
      </c>
      <c r="Q76" t="s">
        <v>358</v>
      </c>
      <c r="R76" t="s">
        <v>31</v>
      </c>
      <c r="S76" t="s">
        <v>11</v>
      </c>
    </row>
    <row r="77" spans="1:19" x14ac:dyDescent="0.3">
      <c r="A77" t="s">
        <v>140</v>
      </c>
      <c r="B77" s="5">
        <v>42078</v>
      </c>
      <c r="C77" t="s">
        <v>11</v>
      </c>
      <c r="D77" t="s">
        <v>12</v>
      </c>
      <c r="E77" t="s">
        <v>17</v>
      </c>
      <c r="F77" t="s">
        <v>79</v>
      </c>
      <c r="G77">
        <v>18</v>
      </c>
      <c r="H77">
        <v>21</v>
      </c>
      <c r="I77">
        <v>378</v>
      </c>
      <c r="J77" t="s">
        <v>26</v>
      </c>
      <c r="P77" t="s">
        <v>356</v>
      </c>
      <c r="Q77" t="s">
        <v>362</v>
      </c>
      <c r="R77" t="s">
        <v>11</v>
      </c>
      <c r="S77" t="s">
        <v>20</v>
      </c>
    </row>
    <row r="78" spans="1:19" x14ac:dyDescent="0.3">
      <c r="A78" t="s">
        <v>141</v>
      </c>
      <c r="B78" s="5">
        <v>42078</v>
      </c>
      <c r="C78" t="s">
        <v>31</v>
      </c>
      <c r="D78" t="s">
        <v>12</v>
      </c>
      <c r="E78" t="s">
        <v>34</v>
      </c>
      <c r="F78" t="s">
        <v>64</v>
      </c>
      <c r="G78">
        <v>9</v>
      </c>
      <c r="H78">
        <v>8</v>
      </c>
      <c r="I78">
        <v>72</v>
      </c>
      <c r="J78" t="s">
        <v>26</v>
      </c>
      <c r="P78" t="s">
        <v>358</v>
      </c>
      <c r="Q78" t="s">
        <v>366</v>
      </c>
      <c r="R78" t="s">
        <v>31</v>
      </c>
      <c r="S78" t="s">
        <v>31</v>
      </c>
    </row>
    <row r="79" spans="1:19" x14ac:dyDescent="0.3">
      <c r="A79" t="s">
        <v>142</v>
      </c>
      <c r="B79" s="5">
        <v>42078</v>
      </c>
      <c r="C79" t="s">
        <v>31</v>
      </c>
      <c r="D79" t="s">
        <v>12</v>
      </c>
      <c r="E79" t="s">
        <v>51</v>
      </c>
      <c r="F79" t="s">
        <v>81</v>
      </c>
      <c r="G79">
        <v>62.5</v>
      </c>
      <c r="H79">
        <v>4</v>
      </c>
      <c r="I79">
        <v>250</v>
      </c>
      <c r="J79" t="s">
        <v>26</v>
      </c>
      <c r="P79" t="s">
        <v>362</v>
      </c>
      <c r="Q79" t="s">
        <v>369</v>
      </c>
      <c r="R79" t="s">
        <v>28</v>
      </c>
      <c r="S79" t="s">
        <v>11</v>
      </c>
    </row>
    <row r="80" spans="1:19" x14ac:dyDescent="0.3">
      <c r="A80" t="s">
        <v>143</v>
      </c>
      <c r="B80" s="5">
        <v>42079</v>
      </c>
      <c r="C80" t="s">
        <v>11</v>
      </c>
      <c r="D80" t="s">
        <v>24</v>
      </c>
      <c r="E80" t="s">
        <v>17</v>
      </c>
      <c r="F80" t="s">
        <v>144</v>
      </c>
      <c r="G80">
        <v>14</v>
      </c>
      <c r="H80">
        <v>20</v>
      </c>
      <c r="I80">
        <v>280</v>
      </c>
      <c r="J80" t="s">
        <v>26</v>
      </c>
      <c r="P80" t="s">
        <v>366</v>
      </c>
      <c r="Q80" t="s">
        <v>376</v>
      </c>
      <c r="R80" t="s">
        <v>20</v>
      </c>
      <c r="S80" t="s">
        <v>31</v>
      </c>
    </row>
    <row r="81" spans="1:19" x14ac:dyDescent="0.3">
      <c r="A81" t="s">
        <v>145</v>
      </c>
      <c r="B81" s="5">
        <v>42079</v>
      </c>
      <c r="C81" t="s">
        <v>28</v>
      </c>
      <c r="D81" t="s">
        <v>24</v>
      </c>
      <c r="E81" t="s">
        <v>13</v>
      </c>
      <c r="F81" t="s">
        <v>14</v>
      </c>
      <c r="G81">
        <v>45.6</v>
      </c>
      <c r="H81">
        <v>8</v>
      </c>
      <c r="I81">
        <v>364.8</v>
      </c>
      <c r="J81" t="s">
        <v>26</v>
      </c>
      <c r="P81" t="s">
        <v>369</v>
      </c>
      <c r="Q81" t="s">
        <v>382</v>
      </c>
      <c r="R81" t="s">
        <v>28</v>
      </c>
      <c r="S81" t="s">
        <v>28</v>
      </c>
    </row>
    <row r="82" spans="1:19" x14ac:dyDescent="0.3">
      <c r="A82" t="s">
        <v>146</v>
      </c>
      <c r="B82" s="5">
        <v>42080</v>
      </c>
      <c r="C82" t="s">
        <v>11</v>
      </c>
      <c r="D82" t="s">
        <v>45</v>
      </c>
      <c r="E82" t="s">
        <v>21</v>
      </c>
      <c r="F82" t="s">
        <v>22</v>
      </c>
      <c r="G82">
        <v>21</v>
      </c>
      <c r="H82">
        <v>21</v>
      </c>
      <c r="I82">
        <v>441</v>
      </c>
      <c r="J82" t="s">
        <v>26</v>
      </c>
      <c r="P82" t="s">
        <v>376</v>
      </c>
      <c r="Q82" t="s">
        <v>383</v>
      </c>
      <c r="R82" t="s">
        <v>20</v>
      </c>
      <c r="S82" t="s">
        <v>20</v>
      </c>
    </row>
    <row r="83" spans="1:19" x14ac:dyDescent="0.3">
      <c r="A83" t="s">
        <v>147</v>
      </c>
      <c r="B83" s="5">
        <v>42080</v>
      </c>
      <c r="C83" t="s">
        <v>31</v>
      </c>
      <c r="D83" t="s">
        <v>45</v>
      </c>
      <c r="E83" t="s">
        <v>21</v>
      </c>
      <c r="F83" t="s">
        <v>22</v>
      </c>
      <c r="G83">
        <v>6</v>
      </c>
      <c r="H83">
        <v>15</v>
      </c>
      <c r="I83">
        <v>90</v>
      </c>
      <c r="J83" t="s">
        <v>26</v>
      </c>
      <c r="P83" t="s">
        <v>382</v>
      </c>
      <c r="Q83" t="s">
        <v>393</v>
      </c>
      <c r="R83" t="s">
        <v>11</v>
      </c>
      <c r="S83" t="s">
        <v>28</v>
      </c>
    </row>
    <row r="84" spans="1:19" x14ac:dyDescent="0.3">
      <c r="A84" t="s">
        <v>148</v>
      </c>
      <c r="B84" s="5">
        <v>42080</v>
      </c>
      <c r="C84" t="s">
        <v>31</v>
      </c>
      <c r="D84" t="s">
        <v>45</v>
      </c>
      <c r="E84" t="s">
        <v>51</v>
      </c>
      <c r="F84" t="s">
        <v>81</v>
      </c>
      <c r="G84">
        <v>12</v>
      </c>
      <c r="H84">
        <v>15</v>
      </c>
      <c r="I84">
        <v>180</v>
      </c>
      <c r="J84" t="s">
        <v>26</v>
      </c>
      <c r="P84" t="s">
        <v>383</v>
      </c>
      <c r="Q84" t="s">
        <v>398</v>
      </c>
      <c r="R84" t="s">
        <v>20</v>
      </c>
      <c r="S84" t="s">
        <v>20</v>
      </c>
    </row>
    <row r="85" spans="1:19" x14ac:dyDescent="0.3">
      <c r="A85" t="s">
        <v>149</v>
      </c>
      <c r="B85" s="5">
        <v>42082</v>
      </c>
      <c r="C85" t="s">
        <v>31</v>
      </c>
      <c r="D85" t="s">
        <v>85</v>
      </c>
      <c r="E85" t="s">
        <v>51</v>
      </c>
      <c r="F85" t="s">
        <v>81</v>
      </c>
      <c r="G85">
        <v>24</v>
      </c>
      <c r="H85">
        <v>4</v>
      </c>
      <c r="I85">
        <v>96</v>
      </c>
      <c r="J85" t="s">
        <v>26</v>
      </c>
      <c r="P85" t="s">
        <v>393</v>
      </c>
      <c r="Q85" t="s">
        <v>400</v>
      </c>
      <c r="R85" t="s">
        <v>28</v>
      </c>
      <c r="S85" t="s">
        <v>11</v>
      </c>
    </row>
    <row r="86" spans="1:19" x14ac:dyDescent="0.3">
      <c r="A86" t="s">
        <v>150</v>
      </c>
      <c r="B86" s="5">
        <v>42082</v>
      </c>
      <c r="C86" t="s">
        <v>11</v>
      </c>
      <c r="D86" t="s">
        <v>85</v>
      </c>
      <c r="E86" t="s">
        <v>34</v>
      </c>
      <c r="F86" t="s">
        <v>64</v>
      </c>
      <c r="G86">
        <v>53</v>
      </c>
      <c r="H86">
        <v>40</v>
      </c>
      <c r="I86">
        <v>2120</v>
      </c>
      <c r="J86" t="s">
        <v>26</v>
      </c>
      <c r="P86" t="s">
        <v>398</v>
      </c>
      <c r="Q86" t="s">
        <v>402</v>
      </c>
      <c r="R86" t="s">
        <v>20</v>
      </c>
      <c r="S86" t="s">
        <v>20</v>
      </c>
    </row>
    <row r="87" spans="1:19" x14ac:dyDescent="0.3">
      <c r="A87" t="s">
        <v>151</v>
      </c>
      <c r="B87" s="5">
        <v>42082</v>
      </c>
      <c r="C87" t="s">
        <v>31</v>
      </c>
      <c r="D87" t="s">
        <v>85</v>
      </c>
      <c r="E87" t="s">
        <v>34</v>
      </c>
      <c r="F87" t="s">
        <v>64</v>
      </c>
      <c r="G87">
        <v>16.25</v>
      </c>
      <c r="H87">
        <v>9</v>
      </c>
      <c r="I87">
        <v>146.25</v>
      </c>
      <c r="J87" t="s">
        <v>26</v>
      </c>
      <c r="P87" t="s">
        <v>400</v>
      </c>
      <c r="Q87" t="s">
        <v>408</v>
      </c>
      <c r="R87" t="s">
        <v>11</v>
      </c>
      <c r="S87" t="s">
        <v>28</v>
      </c>
    </row>
    <row r="88" spans="1:19" x14ac:dyDescent="0.3">
      <c r="A88" t="s">
        <v>152</v>
      </c>
      <c r="B88" s="5">
        <v>42082</v>
      </c>
      <c r="C88" t="s">
        <v>28</v>
      </c>
      <c r="D88" t="s">
        <v>45</v>
      </c>
      <c r="E88" t="s">
        <v>13</v>
      </c>
      <c r="F88" t="s">
        <v>66</v>
      </c>
      <c r="G88">
        <v>55</v>
      </c>
      <c r="H88">
        <v>4</v>
      </c>
      <c r="I88">
        <v>220</v>
      </c>
      <c r="J88" t="s">
        <v>26</v>
      </c>
      <c r="P88" t="s">
        <v>402</v>
      </c>
      <c r="Q88" t="s">
        <v>412</v>
      </c>
      <c r="R88" t="s">
        <v>28</v>
      </c>
      <c r="S88" t="s">
        <v>20</v>
      </c>
    </row>
    <row r="89" spans="1:19" x14ac:dyDescent="0.3">
      <c r="A89" t="s">
        <v>153</v>
      </c>
      <c r="B89" s="5">
        <v>42085</v>
      </c>
      <c r="C89" t="s">
        <v>11</v>
      </c>
      <c r="D89" t="s">
        <v>45</v>
      </c>
      <c r="E89" t="s">
        <v>13</v>
      </c>
      <c r="F89" t="s">
        <v>99</v>
      </c>
      <c r="G89">
        <v>12.5</v>
      </c>
      <c r="H89">
        <v>50</v>
      </c>
      <c r="I89">
        <v>625</v>
      </c>
      <c r="J89" t="s">
        <v>26</v>
      </c>
      <c r="P89" t="s">
        <v>408</v>
      </c>
      <c r="Q89" t="s">
        <v>419</v>
      </c>
      <c r="R89" t="s">
        <v>31</v>
      </c>
      <c r="S89" t="s">
        <v>11</v>
      </c>
    </row>
    <row r="90" spans="1:19" x14ac:dyDescent="0.3">
      <c r="A90" t="s">
        <v>154</v>
      </c>
      <c r="B90" s="5">
        <v>42085</v>
      </c>
      <c r="C90" t="s">
        <v>11</v>
      </c>
      <c r="D90" t="s">
        <v>45</v>
      </c>
      <c r="E90" t="s">
        <v>34</v>
      </c>
      <c r="F90" t="s">
        <v>35</v>
      </c>
      <c r="G90">
        <v>81</v>
      </c>
      <c r="H90">
        <v>50</v>
      </c>
      <c r="I90">
        <v>4050</v>
      </c>
      <c r="J90" t="s">
        <v>26</v>
      </c>
      <c r="P90" t="s">
        <v>412</v>
      </c>
      <c r="Q90" t="s">
        <v>420</v>
      </c>
      <c r="R90" t="s">
        <v>11</v>
      </c>
      <c r="S90" t="s">
        <v>28</v>
      </c>
    </row>
    <row r="91" spans="1:19" x14ac:dyDescent="0.3">
      <c r="A91" t="s">
        <v>155</v>
      </c>
      <c r="B91" s="5">
        <v>42087</v>
      </c>
      <c r="C91" t="s">
        <v>20</v>
      </c>
      <c r="D91" t="s">
        <v>24</v>
      </c>
      <c r="E91" t="s">
        <v>21</v>
      </c>
      <c r="F91" t="s">
        <v>61</v>
      </c>
      <c r="G91">
        <v>21.35</v>
      </c>
      <c r="H91">
        <v>20</v>
      </c>
      <c r="I91">
        <v>427</v>
      </c>
      <c r="J91" t="s">
        <v>26</v>
      </c>
      <c r="P91" t="s">
        <v>419</v>
      </c>
      <c r="Q91" t="s">
        <v>422</v>
      </c>
      <c r="R91" t="s">
        <v>20</v>
      </c>
      <c r="S91" t="s">
        <v>31</v>
      </c>
    </row>
    <row r="92" spans="1:19" x14ac:dyDescent="0.3">
      <c r="A92" t="s">
        <v>156</v>
      </c>
      <c r="B92" s="5">
        <v>42087</v>
      </c>
      <c r="C92" t="s">
        <v>11</v>
      </c>
      <c r="D92" t="s">
        <v>24</v>
      </c>
      <c r="E92" t="s">
        <v>51</v>
      </c>
      <c r="F92" t="s">
        <v>81</v>
      </c>
      <c r="G92">
        <v>30</v>
      </c>
      <c r="H92">
        <v>6</v>
      </c>
      <c r="I92">
        <v>180</v>
      </c>
      <c r="J92" t="s">
        <v>26</v>
      </c>
      <c r="P92" t="s">
        <v>420</v>
      </c>
      <c r="Q92" t="s">
        <v>423</v>
      </c>
      <c r="R92" t="s">
        <v>31</v>
      </c>
      <c r="S92" t="s">
        <v>11</v>
      </c>
    </row>
    <row r="93" spans="1:19" x14ac:dyDescent="0.3">
      <c r="A93" t="s">
        <v>157</v>
      </c>
      <c r="B93" s="5">
        <v>42087</v>
      </c>
      <c r="C93" t="s">
        <v>20</v>
      </c>
      <c r="D93" t="s">
        <v>24</v>
      </c>
      <c r="E93" t="s">
        <v>13</v>
      </c>
      <c r="F93" t="s">
        <v>56</v>
      </c>
      <c r="G93">
        <v>34.799999999999997</v>
      </c>
      <c r="H93">
        <v>5</v>
      </c>
      <c r="I93">
        <v>174</v>
      </c>
      <c r="J93" t="s">
        <v>26</v>
      </c>
      <c r="P93" t="s">
        <v>422</v>
      </c>
      <c r="Q93" t="s">
        <v>425</v>
      </c>
      <c r="R93" t="s">
        <v>11</v>
      </c>
      <c r="S93" t="s">
        <v>20</v>
      </c>
    </row>
    <row r="94" spans="1:19" x14ac:dyDescent="0.3">
      <c r="A94" t="s">
        <v>158</v>
      </c>
      <c r="B94" s="5">
        <v>42087</v>
      </c>
      <c r="C94" t="s">
        <v>11</v>
      </c>
      <c r="D94" t="s">
        <v>12</v>
      </c>
      <c r="E94" t="s">
        <v>17</v>
      </c>
      <c r="F94" t="s">
        <v>25</v>
      </c>
      <c r="G94">
        <v>7.75</v>
      </c>
      <c r="H94">
        <v>20</v>
      </c>
      <c r="I94">
        <v>155</v>
      </c>
      <c r="J94" t="s">
        <v>26</v>
      </c>
      <c r="P94" t="s">
        <v>423</v>
      </c>
      <c r="Q94" t="s">
        <v>428</v>
      </c>
      <c r="R94" t="s">
        <v>31</v>
      </c>
      <c r="S94" t="s">
        <v>31</v>
      </c>
    </row>
    <row r="95" spans="1:19" x14ac:dyDescent="0.3">
      <c r="A95" t="s">
        <v>159</v>
      </c>
      <c r="B95" s="5">
        <v>42088</v>
      </c>
      <c r="C95" t="s">
        <v>11</v>
      </c>
      <c r="D95" t="s">
        <v>24</v>
      </c>
      <c r="E95" t="s">
        <v>17</v>
      </c>
      <c r="F95" t="s">
        <v>134</v>
      </c>
      <c r="G95">
        <v>18</v>
      </c>
      <c r="H95">
        <v>60</v>
      </c>
      <c r="I95">
        <v>1080</v>
      </c>
      <c r="J95" t="s">
        <v>15</v>
      </c>
      <c r="P95" t="s">
        <v>425</v>
      </c>
      <c r="Q95" t="s">
        <v>429</v>
      </c>
      <c r="R95" t="s">
        <v>20</v>
      </c>
      <c r="S95" t="s">
        <v>11</v>
      </c>
    </row>
    <row r="96" spans="1:19" x14ac:dyDescent="0.3">
      <c r="A96" t="s">
        <v>160</v>
      </c>
      <c r="B96" s="5">
        <v>42088</v>
      </c>
      <c r="C96" t="s">
        <v>20</v>
      </c>
      <c r="D96" t="s">
        <v>12</v>
      </c>
      <c r="E96" t="s">
        <v>21</v>
      </c>
      <c r="F96" t="s">
        <v>22</v>
      </c>
      <c r="G96">
        <v>7</v>
      </c>
      <c r="H96">
        <v>6</v>
      </c>
      <c r="I96">
        <v>42</v>
      </c>
      <c r="J96" t="s">
        <v>15</v>
      </c>
      <c r="P96" t="s">
        <v>428</v>
      </c>
      <c r="Q96" t="s">
        <v>431</v>
      </c>
      <c r="R96" t="s">
        <v>31</v>
      </c>
      <c r="S96" t="s">
        <v>31</v>
      </c>
    </row>
    <row r="97" spans="1:19" x14ac:dyDescent="0.3">
      <c r="A97" t="s">
        <v>161</v>
      </c>
      <c r="B97" s="5">
        <v>42092</v>
      </c>
      <c r="C97" t="s">
        <v>11</v>
      </c>
      <c r="D97" t="s">
        <v>12</v>
      </c>
      <c r="E97" t="s">
        <v>51</v>
      </c>
      <c r="F97" t="s">
        <v>81</v>
      </c>
      <c r="G97">
        <v>12</v>
      </c>
      <c r="H97">
        <v>9</v>
      </c>
      <c r="I97">
        <v>108</v>
      </c>
      <c r="J97" t="s">
        <v>26</v>
      </c>
      <c r="P97" t="s">
        <v>429</v>
      </c>
      <c r="Q97" t="s">
        <v>358</v>
      </c>
      <c r="R97" t="s">
        <v>31</v>
      </c>
      <c r="S97" t="s">
        <v>20</v>
      </c>
    </row>
    <row r="98" spans="1:19" x14ac:dyDescent="0.3">
      <c r="A98" t="s">
        <v>162</v>
      </c>
      <c r="B98" s="5">
        <v>42093</v>
      </c>
      <c r="C98" t="s">
        <v>11</v>
      </c>
      <c r="D98" t="s">
        <v>85</v>
      </c>
      <c r="E98" t="s">
        <v>21</v>
      </c>
      <c r="F98" t="s">
        <v>22</v>
      </c>
      <c r="G98">
        <v>7</v>
      </c>
      <c r="H98">
        <v>40</v>
      </c>
      <c r="I98">
        <v>280</v>
      </c>
      <c r="J98" t="s">
        <v>15</v>
      </c>
      <c r="P98" t="s">
        <v>431</v>
      </c>
      <c r="Q98" t="s">
        <v>434</v>
      </c>
      <c r="R98" t="s">
        <v>28</v>
      </c>
      <c r="S98" t="s">
        <v>31</v>
      </c>
    </row>
    <row r="99" spans="1:19" x14ac:dyDescent="0.3">
      <c r="A99" t="s">
        <v>163</v>
      </c>
      <c r="B99" s="5">
        <v>42096</v>
      </c>
      <c r="C99" t="s">
        <v>28</v>
      </c>
      <c r="D99" t="s">
        <v>85</v>
      </c>
      <c r="E99" t="s">
        <v>17</v>
      </c>
      <c r="F99" t="s">
        <v>32</v>
      </c>
      <c r="G99">
        <v>263.5</v>
      </c>
      <c r="H99">
        <v>60</v>
      </c>
      <c r="I99">
        <v>15810</v>
      </c>
      <c r="J99" t="s">
        <v>26</v>
      </c>
      <c r="P99" t="s">
        <v>358</v>
      </c>
      <c r="Q99" t="s">
        <v>438</v>
      </c>
      <c r="R99" t="s">
        <v>31</v>
      </c>
      <c r="S99" t="s">
        <v>31</v>
      </c>
    </row>
    <row r="100" spans="1:19" x14ac:dyDescent="0.3">
      <c r="A100" t="s">
        <v>164</v>
      </c>
      <c r="B100" s="5">
        <v>42099</v>
      </c>
      <c r="C100" t="s">
        <v>28</v>
      </c>
      <c r="D100" t="s">
        <v>24</v>
      </c>
      <c r="E100" t="s">
        <v>17</v>
      </c>
      <c r="F100" t="s">
        <v>134</v>
      </c>
      <c r="G100">
        <v>18</v>
      </c>
      <c r="H100">
        <v>10</v>
      </c>
      <c r="I100">
        <v>180</v>
      </c>
      <c r="J100" t="s">
        <v>26</v>
      </c>
      <c r="P100" t="s">
        <v>434</v>
      </c>
      <c r="Q100" t="s">
        <v>440</v>
      </c>
      <c r="R100" t="s">
        <v>31</v>
      </c>
      <c r="S100" t="s">
        <v>28</v>
      </c>
    </row>
    <row r="101" spans="1:19" x14ac:dyDescent="0.3">
      <c r="A101" t="s">
        <v>165</v>
      </c>
      <c r="B101" s="5">
        <v>42099</v>
      </c>
      <c r="C101" t="s">
        <v>20</v>
      </c>
      <c r="D101" t="s">
        <v>24</v>
      </c>
      <c r="E101" t="s">
        <v>21</v>
      </c>
      <c r="F101" t="s">
        <v>97</v>
      </c>
      <c r="G101">
        <v>13</v>
      </c>
      <c r="H101">
        <v>15</v>
      </c>
      <c r="I101">
        <v>195</v>
      </c>
      <c r="J101" t="s">
        <v>26</v>
      </c>
      <c r="P101" t="s">
        <v>438</v>
      </c>
      <c r="Q101" t="s">
        <v>448</v>
      </c>
      <c r="R101" t="s">
        <v>20</v>
      </c>
      <c r="S101" t="s">
        <v>31</v>
      </c>
    </row>
    <row r="102" spans="1:19" x14ac:dyDescent="0.3">
      <c r="A102" t="s">
        <v>166</v>
      </c>
      <c r="B102" s="5">
        <v>42099</v>
      </c>
      <c r="C102" t="s">
        <v>11</v>
      </c>
      <c r="D102" t="s">
        <v>24</v>
      </c>
      <c r="E102" t="s">
        <v>13</v>
      </c>
      <c r="F102" t="s">
        <v>14</v>
      </c>
      <c r="G102">
        <v>21</v>
      </c>
      <c r="H102">
        <v>30</v>
      </c>
      <c r="I102">
        <v>630</v>
      </c>
      <c r="J102" t="s">
        <v>26</v>
      </c>
      <c r="P102" t="s">
        <v>440</v>
      </c>
      <c r="Q102" t="s">
        <v>457</v>
      </c>
      <c r="R102" t="s">
        <v>11</v>
      </c>
      <c r="S102" t="s">
        <v>31</v>
      </c>
    </row>
    <row r="103" spans="1:19" x14ac:dyDescent="0.3">
      <c r="A103" t="s">
        <v>167</v>
      </c>
      <c r="B103" s="5">
        <v>42099</v>
      </c>
      <c r="C103" t="s">
        <v>20</v>
      </c>
      <c r="D103" t="s">
        <v>24</v>
      </c>
      <c r="E103" t="s">
        <v>34</v>
      </c>
      <c r="F103" t="s">
        <v>35</v>
      </c>
      <c r="G103">
        <v>81</v>
      </c>
      <c r="H103">
        <v>15</v>
      </c>
      <c r="I103">
        <v>1215</v>
      </c>
      <c r="J103" t="s">
        <v>26</v>
      </c>
      <c r="P103" t="s">
        <v>448</v>
      </c>
      <c r="Q103" t="s">
        <v>460</v>
      </c>
      <c r="R103" t="s">
        <v>20</v>
      </c>
      <c r="S103" t="s">
        <v>20</v>
      </c>
    </row>
    <row r="104" spans="1:19" x14ac:dyDescent="0.3">
      <c r="A104" t="s">
        <v>168</v>
      </c>
      <c r="B104" s="5">
        <v>42100</v>
      </c>
      <c r="C104" t="s">
        <v>28</v>
      </c>
      <c r="D104" t="s">
        <v>12</v>
      </c>
      <c r="E104" t="s">
        <v>21</v>
      </c>
      <c r="F104" t="s">
        <v>39</v>
      </c>
      <c r="G104">
        <v>25</v>
      </c>
      <c r="H104">
        <v>40</v>
      </c>
      <c r="I104">
        <v>1000</v>
      </c>
      <c r="J104" t="s">
        <v>15</v>
      </c>
      <c r="P104" t="s">
        <v>457</v>
      </c>
      <c r="Q104" t="s">
        <v>463</v>
      </c>
      <c r="R104" t="s">
        <v>28</v>
      </c>
      <c r="S104" t="s">
        <v>11</v>
      </c>
    </row>
    <row r="105" spans="1:19" x14ac:dyDescent="0.3">
      <c r="A105" t="s">
        <v>169</v>
      </c>
      <c r="B105" s="5">
        <v>42100</v>
      </c>
      <c r="C105" t="s">
        <v>11</v>
      </c>
      <c r="D105" t="s">
        <v>12</v>
      </c>
      <c r="E105" t="s">
        <v>13</v>
      </c>
      <c r="F105" t="s">
        <v>14</v>
      </c>
      <c r="G105">
        <v>21</v>
      </c>
      <c r="H105">
        <v>15</v>
      </c>
      <c r="I105">
        <v>315</v>
      </c>
      <c r="J105" t="s">
        <v>15</v>
      </c>
      <c r="P105" t="s">
        <v>460</v>
      </c>
      <c r="Q105" t="s">
        <v>471</v>
      </c>
      <c r="R105" t="s">
        <v>31</v>
      </c>
      <c r="S105" t="s">
        <v>20</v>
      </c>
    </row>
    <row r="106" spans="1:19" x14ac:dyDescent="0.3">
      <c r="A106" t="s">
        <v>170</v>
      </c>
      <c r="B106" s="5">
        <v>42100</v>
      </c>
      <c r="C106" t="s">
        <v>11</v>
      </c>
      <c r="D106" t="s">
        <v>12</v>
      </c>
      <c r="E106" t="s">
        <v>34</v>
      </c>
      <c r="F106" t="s">
        <v>64</v>
      </c>
      <c r="G106">
        <v>9.65</v>
      </c>
      <c r="H106">
        <v>4</v>
      </c>
      <c r="I106">
        <v>38.6</v>
      </c>
      <c r="J106" t="s">
        <v>15</v>
      </c>
      <c r="P106" t="s">
        <v>463</v>
      </c>
      <c r="Q106" t="s">
        <v>475</v>
      </c>
      <c r="R106" t="s">
        <v>28</v>
      </c>
      <c r="S106" t="s">
        <v>28</v>
      </c>
    </row>
    <row r="107" spans="1:19" x14ac:dyDescent="0.3">
      <c r="A107" t="s">
        <v>171</v>
      </c>
      <c r="B107" s="5">
        <v>42100</v>
      </c>
      <c r="C107" t="s">
        <v>11</v>
      </c>
      <c r="D107" t="s">
        <v>45</v>
      </c>
      <c r="E107" t="s">
        <v>13</v>
      </c>
      <c r="F107" t="s">
        <v>14</v>
      </c>
      <c r="G107">
        <v>30</v>
      </c>
      <c r="H107">
        <v>60</v>
      </c>
      <c r="I107">
        <v>1800</v>
      </c>
      <c r="J107" t="s">
        <v>15</v>
      </c>
      <c r="P107" t="s">
        <v>471</v>
      </c>
      <c r="Q107" t="s">
        <v>479</v>
      </c>
      <c r="R107" t="s">
        <v>11</v>
      </c>
      <c r="S107" t="s">
        <v>31</v>
      </c>
    </row>
    <row r="108" spans="1:19" x14ac:dyDescent="0.3">
      <c r="A108" t="s">
        <v>172</v>
      </c>
      <c r="B108" s="5">
        <v>42100</v>
      </c>
      <c r="C108" t="s">
        <v>28</v>
      </c>
      <c r="D108" t="s">
        <v>45</v>
      </c>
      <c r="E108" t="s">
        <v>17</v>
      </c>
      <c r="F108" t="s">
        <v>29</v>
      </c>
      <c r="G108">
        <v>46</v>
      </c>
      <c r="H108">
        <v>6</v>
      </c>
      <c r="I108">
        <v>276</v>
      </c>
      <c r="J108" t="s">
        <v>15</v>
      </c>
      <c r="P108" t="s">
        <v>475</v>
      </c>
      <c r="Q108" t="s">
        <v>498</v>
      </c>
      <c r="R108" t="s">
        <v>20</v>
      </c>
      <c r="S108" t="s">
        <v>28</v>
      </c>
    </row>
    <row r="109" spans="1:19" x14ac:dyDescent="0.3">
      <c r="A109" t="s">
        <v>173</v>
      </c>
      <c r="B109" s="5">
        <v>42100</v>
      </c>
      <c r="C109" t="s">
        <v>20</v>
      </c>
      <c r="D109" t="s">
        <v>45</v>
      </c>
      <c r="E109" t="s">
        <v>13</v>
      </c>
      <c r="F109" t="s">
        <v>56</v>
      </c>
      <c r="G109">
        <v>34.799999999999997</v>
      </c>
      <c r="H109">
        <v>20</v>
      </c>
      <c r="I109">
        <v>696</v>
      </c>
      <c r="J109" t="s">
        <v>15</v>
      </c>
      <c r="P109" t="s">
        <v>479</v>
      </c>
      <c r="Q109" t="s">
        <v>318</v>
      </c>
      <c r="R109" t="s">
        <v>28</v>
      </c>
      <c r="S109" t="s">
        <v>11</v>
      </c>
    </row>
    <row r="110" spans="1:19" x14ac:dyDescent="0.3">
      <c r="A110" t="s">
        <v>174</v>
      </c>
      <c r="B110" s="5">
        <v>42108</v>
      </c>
      <c r="C110" t="s">
        <v>31</v>
      </c>
      <c r="D110" t="s">
        <v>85</v>
      </c>
      <c r="E110" t="s">
        <v>17</v>
      </c>
      <c r="F110" t="s">
        <v>128</v>
      </c>
      <c r="G110">
        <v>4.5</v>
      </c>
      <c r="H110">
        <v>12</v>
      </c>
      <c r="I110">
        <v>54</v>
      </c>
      <c r="J110" t="s">
        <v>15</v>
      </c>
      <c r="P110" t="s">
        <v>498</v>
      </c>
      <c r="Q110" t="s">
        <v>512</v>
      </c>
      <c r="R110" t="s">
        <v>11</v>
      </c>
      <c r="S110" t="s">
        <v>20</v>
      </c>
    </row>
    <row r="111" spans="1:19" x14ac:dyDescent="0.3">
      <c r="A111" t="s">
        <v>175</v>
      </c>
      <c r="B111" s="5">
        <v>42108</v>
      </c>
      <c r="C111" t="s">
        <v>20</v>
      </c>
      <c r="D111" t="s">
        <v>85</v>
      </c>
      <c r="E111" t="s">
        <v>13</v>
      </c>
      <c r="F111" t="s">
        <v>41</v>
      </c>
      <c r="G111">
        <v>34</v>
      </c>
      <c r="H111">
        <v>9</v>
      </c>
      <c r="I111">
        <v>306</v>
      </c>
      <c r="J111" t="s">
        <v>15</v>
      </c>
      <c r="P111" t="s">
        <v>318</v>
      </c>
      <c r="Q111" t="s">
        <v>517</v>
      </c>
      <c r="R111" t="s">
        <v>11</v>
      </c>
      <c r="S111" t="s">
        <v>28</v>
      </c>
    </row>
    <row r="112" spans="1:19" x14ac:dyDescent="0.3">
      <c r="A112" t="s">
        <v>176</v>
      </c>
      <c r="B112" s="5">
        <v>42108</v>
      </c>
      <c r="C112" t="s">
        <v>31</v>
      </c>
      <c r="D112" t="s">
        <v>85</v>
      </c>
      <c r="E112" t="s">
        <v>13</v>
      </c>
      <c r="F112" t="s">
        <v>14</v>
      </c>
      <c r="G112">
        <v>19</v>
      </c>
      <c r="H112">
        <v>18</v>
      </c>
      <c r="I112">
        <v>342</v>
      </c>
      <c r="J112" t="s">
        <v>15</v>
      </c>
      <c r="P112" t="s">
        <v>512</v>
      </c>
      <c r="Q112" t="s">
        <v>338</v>
      </c>
      <c r="R112" t="s">
        <v>31</v>
      </c>
      <c r="S112" t="s">
        <v>11</v>
      </c>
    </row>
    <row r="113" spans="1:19" x14ac:dyDescent="0.3">
      <c r="A113" t="s">
        <v>177</v>
      </c>
      <c r="B113" s="5">
        <v>42109</v>
      </c>
      <c r="C113" t="s">
        <v>20</v>
      </c>
      <c r="D113" t="s">
        <v>85</v>
      </c>
      <c r="E113" t="s">
        <v>17</v>
      </c>
      <c r="F113" t="s">
        <v>54</v>
      </c>
      <c r="G113">
        <v>9</v>
      </c>
      <c r="H113">
        <v>10</v>
      </c>
      <c r="I113">
        <v>90</v>
      </c>
      <c r="J113" t="s">
        <v>15</v>
      </c>
      <c r="P113" t="s">
        <v>517</v>
      </c>
      <c r="Q113" t="s">
        <v>523</v>
      </c>
      <c r="R113" t="s">
        <v>11</v>
      </c>
      <c r="S113" t="s">
        <v>11</v>
      </c>
    </row>
    <row r="114" spans="1:19" x14ac:dyDescent="0.3">
      <c r="A114" t="s">
        <v>178</v>
      </c>
      <c r="B114" s="5">
        <v>42109</v>
      </c>
      <c r="C114" t="s">
        <v>31</v>
      </c>
      <c r="D114" t="s">
        <v>85</v>
      </c>
      <c r="E114" t="s">
        <v>34</v>
      </c>
      <c r="F114" t="s">
        <v>64</v>
      </c>
      <c r="G114">
        <v>14</v>
      </c>
      <c r="H114">
        <v>4</v>
      </c>
      <c r="I114">
        <v>56</v>
      </c>
      <c r="J114" t="s">
        <v>15</v>
      </c>
      <c r="P114" t="s">
        <v>338</v>
      </c>
      <c r="Q114" t="s">
        <v>530</v>
      </c>
      <c r="R114" t="s">
        <v>11</v>
      </c>
      <c r="S114" t="s">
        <v>31</v>
      </c>
    </row>
    <row r="115" spans="1:19" x14ac:dyDescent="0.3">
      <c r="A115" t="s">
        <v>179</v>
      </c>
      <c r="B115" s="5">
        <v>42109</v>
      </c>
      <c r="C115" t="s">
        <v>20</v>
      </c>
      <c r="D115" t="s">
        <v>85</v>
      </c>
      <c r="E115" t="s">
        <v>13</v>
      </c>
      <c r="F115" t="s">
        <v>14</v>
      </c>
      <c r="G115">
        <v>9.5</v>
      </c>
      <c r="H115">
        <v>20</v>
      </c>
      <c r="I115">
        <v>190</v>
      </c>
      <c r="J115" t="s">
        <v>15</v>
      </c>
      <c r="P115" t="s">
        <v>523</v>
      </c>
      <c r="Q115" t="s">
        <v>533</v>
      </c>
      <c r="R115" t="s">
        <v>20</v>
      </c>
      <c r="S115" t="s">
        <v>11</v>
      </c>
    </row>
    <row r="116" spans="1:19" x14ac:dyDescent="0.3">
      <c r="A116" t="s">
        <v>180</v>
      </c>
      <c r="B116" s="5">
        <v>42109</v>
      </c>
      <c r="C116" t="s">
        <v>28</v>
      </c>
      <c r="D116" t="s">
        <v>85</v>
      </c>
      <c r="E116" t="s">
        <v>34</v>
      </c>
      <c r="F116" t="s">
        <v>43</v>
      </c>
      <c r="G116">
        <v>12.5</v>
      </c>
      <c r="H116">
        <v>2</v>
      </c>
      <c r="I116">
        <v>25</v>
      </c>
      <c r="J116" t="s">
        <v>15</v>
      </c>
      <c r="P116" t="s">
        <v>530</v>
      </c>
      <c r="Q116" t="s">
        <v>535</v>
      </c>
      <c r="R116" t="s">
        <v>31</v>
      </c>
      <c r="S116" t="s">
        <v>11</v>
      </c>
    </row>
    <row r="117" spans="1:19" x14ac:dyDescent="0.3">
      <c r="A117" t="s">
        <v>181</v>
      </c>
      <c r="B117" s="5">
        <v>42110</v>
      </c>
      <c r="C117" t="s">
        <v>20</v>
      </c>
      <c r="D117" t="s">
        <v>45</v>
      </c>
      <c r="E117" t="s">
        <v>13</v>
      </c>
      <c r="F117" t="s">
        <v>99</v>
      </c>
      <c r="G117">
        <v>12.5</v>
      </c>
      <c r="H117">
        <v>15</v>
      </c>
      <c r="I117">
        <v>187.5</v>
      </c>
      <c r="J117" t="s">
        <v>26</v>
      </c>
      <c r="P117" t="s">
        <v>533</v>
      </c>
      <c r="Q117" t="s">
        <v>538</v>
      </c>
      <c r="R117" t="s">
        <v>11</v>
      </c>
      <c r="S117" t="s">
        <v>20</v>
      </c>
    </row>
    <row r="118" spans="1:19" x14ac:dyDescent="0.3">
      <c r="A118" t="s">
        <v>182</v>
      </c>
      <c r="B118" s="5">
        <v>42110</v>
      </c>
      <c r="C118" t="s">
        <v>20</v>
      </c>
      <c r="D118" t="s">
        <v>45</v>
      </c>
      <c r="E118" t="s">
        <v>21</v>
      </c>
      <c r="F118" t="s">
        <v>22</v>
      </c>
      <c r="G118">
        <v>19</v>
      </c>
      <c r="H118">
        <v>16</v>
      </c>
      <c r="I118">
        <v>304</v>
      </c>
      <c r="J118" t="s">
        <v>26</v>
      </c>
      <c r="P118" t="s">
        <v>535</v>
      </c>
      <c r="Q118" t="s">
        <v>542</v>
      </c>
      <c r="R118" t="s">
        <v>31</v>
      </c>
      <c r="S118" t="s">
        <v>31</v>
      </c>
    </row>
    <row r="119" spans="1:19" x14ac:dyDescent="0.3">
      <c r="A119" t="s">
        <v>183</v>
      </c>
      <c r="B119" s="5">
        <v>42113</v>
      </c>
      <c r="C119" t="s">
        <v>20</v>
      </c>
      <c r="D119" t="s">
        <v>24</v>
      </c>
      <c r="E119" t="s">
        <v>21</v>
      </c>
      <c r="F119" t="s">
        <v>22</v>
      </c>
      <c r="G119">
        <v>12</v>
      </c>
      <c r="H119">
        <v>3</v>
      </c>
      <c r="I119">
        <v>36</v>
      </c>
      <c r="J119" t="s">
        <v>26</v>
      </c>
      <c r="P119" t="s">
        <v>538</v>
      </c>
      <c r="Q119" t="s">
        <v>545</v>
      </c>
      <c r="R119" t="s">
        <v>28</v>
      </c>
      <c r="S119" t="s">
        <v>11</v>
      </c>
    </row>
    <row r="120" spans="1:19" x14ac:dyDescent="0.3">
      <c r="A120" t="s">
        <v>184</v>
      </c>
      <c r="B120" s="5">
        <v>42113</v>
      </c>
      <c r="C120" t="s">
        <v>31</v>
      </c>
      <c r="D120" t="s">
        <v>24</v>
      </c>
      <c r="E120" t="s">
        <v>34</v>
      </c>
      <c r="F120" t="s">
        <v>75</v>
      </c>
      <c r="G120">
        <v>20</v>
      </c>
      <c r="H120">
        <v>2</v>
      </c>
      <c r="I120">
        <v>40</v>
      </c>
      <c r="J120" t="s">
        <v>26</v>
      </c>
      <c r="P120" t="s">
        <v>542</v>
      </c>
      <c r="Q120" t="s">
        <v>551</v>
      </c>
      <c r="R120" t="s">
        <v>20</v>
      </c>
      <c r="S120" t="s">
        <v>31</v>
      </c>
    </row>
    <row r="121" spans="1:19" x14ac:dyDescent="0.3">
      <c r="A121" t="s">
        <v>185</v>
      </c>
      <c r="B121" s="5">
        <v>42114</v>
      </c>
      <c r="C121" t="s">
        <v>11</v>
      </c>
      <c r="D121" t="s">
        <v>12</v>
      </c>
      <c r="E121" t="s">
        <v>13</v>
      </c>
      <c r="F121" t="s">
        <v>186</v>
      </c>
      <c r="G121">
        <v>36</v>
      </c>
      <c r="H121">
        <v>30</v>
      </c>
      <c r="I121">
        <v>1080</v>
      </c>
      <c r="J121" t="s">
        <v>26</v>
      </c>
      <c r="P121" t="s">
        <v>545</v>
      </c>
      <c r="Q121" t="s">
        <v>382</v>
      </c>
      <c r="R121" t="s">
        <v>28</v>
      </c>
      <c r="S121" t="s">
        <v>28</v>
      </c>
    </row>
    <row r="122" spans="1:19" x14ac:dyDescent="0.3">
      <c r="A122" t="s">
        <v>187</v>
      </c>
      <c r="B122" s="5">
        <v>42114</v>
      </c>
      <c r="C122" t="s">
        <v>20</v>
      </c>
      <c r="D122" t="s">
        <v>12</v>
      </c>
      <c r="E122" t="s">
        <v>34</v>
      </c>
      <c r="F122" t="s">
        <v>188</v>
      </c>
      <c r="G122">
        <v>9.1999999999999993</v>
      </c>
      <c r="H122">
        <v>35</v>
      </c>
      <c r="I122">
        <v>322</v>
      </c>
      <c r="J122" t="s">
        <v>26</v>
      </c>
      <c r="P122" t="s">
        <v>551</v>
      </c>
      <c r="Q122" t="s">
        <v>555</v>
      </c>
      <c r="R122" t="s">
        <v>20</v>
      </c>
      <c r="S122" t="s">
        <v>20</v>
      </c>
    </row>
    <row r="123" spans="1:19" x14ac:dyDescent="0.3">
      <c r="A123" t="s">
        <v>189</v>
      </c>
      <c r="B123" s="5">
        <v>42114</v>
      </c>
      <c r="C123" t="s">
        <v>28</v>
      </c>
      <c r="D123" t="s">
        <v>45</v>
      </c>
      <c r="E123" t="s">
        <v>17</v>
      </c>
      <c r="F123" t="s">
        <v>29</v>
      </c>
      <c r="G123">
        <v>46</v>
      </c>
      <c r="H123">
        <v>30</v>
      </c>
      <c r="I123">
        <v>1380</v>
      </c>
      <c r="J123" t="s">
        <v>26</v>
      </c>
      <c r="P123" t="s">
        <v>382</v>
      </c>
      <c r="Q123" t="s">
        <v>566</v>
      </c>
      <c r="R123" t="s">
        <v>11</v>
      </c>
      <c r="S123" t="s">
        <v>28</v>
      </c>
    </row>
    <row r="124" spans="1:19" x14ac:dyDescent="0.3">
      <c r="A124" t="s">
        <v>190</v>
      </c>
      <c r="B124" s="5">
        <v>42114</v>
      </c>
      <c r="C124" t="s">
        <v>11</v>
      </c>
      <c r="D124" t="s">
        <v>45</v>
      </c>
      <c r="E124" t="s">
        <v>13</v>
      </c>
      <c r="F124" t="s">
        <v>14</v>
      </c>
      <c r="G124">
        <v>30</v>
      </c>
      <c r="H124">
        <v>4</v>
      </c>
      <c r="I124">
        <v>120</v>
      </c>
      <c r="J124" t="s">
        <v>26</v>
      </c>
      <c r="P124" t="s">
        <v>555</v>
      </c>
      <c r="Q124" t="s">
        <v>570</v>
      </c>
      <c r="R124" t="s">
        <v>20</v>
      </c>
      <c r="S124" t="s">
        <v>20</v>
      </c>
    </row>
    <row r="125" spans="1:19" x14ac:dyDescent="0.3">
      <c r="A125" t="s">
        <v>191</v>
      </c>
      <c r="B125" s="5">
        <v>42115</v>
      </c>
      <c r="C125" t="s">
        <v>28</v>
      </c>
      <c r="D125" t="s">
        <v>45</v>
      </c>
      <c r="E125" t="s">
        <v>21</v>
      </c>
      <c r="F125" t="s">
        <v>87</v>
      </c>
      <c r="G125">
        <v>21.05</v>
      </c>
      <c r="H125">
        <v>21</v>
      </c>
      <c r="I125">
        <v>442.05</v>
      </c>
      <c r="J125" t="s">
        <v>15</v>
      </c>
      <c r="P125" t="s">
        <v>566</v>
      </c>
      <c r="Q125" t="s">
        <v>571</v>
      </c>
      <c r="R125" t="s">
        <v>28</v>
      </c>
      <c r="S125" t="s">
        <v>11</v>
      </c>
    </row>
    <row r="126" spans="1:19" x14ac:dyDescent="0.3">
      <c r="A126" t="s">
        <v>192</v>
      </c>
      <c r="B126" s="5">
        <v>42115</v>
      </c>
      <c r="C126" t="s">
        <v>11</v>
      </c>
      <c r="D126" t="s">
        <v>45</v>
      </c>
      <c r="E126" t="s">
        <v>13</v>
      </c>
      <c r="F126" t="s">
        <v>124</v>
      </c>
      <c r="G126">
        <v>21.5</v>
      </c>
      <c r="H126">
        <v>50</v>
      </c>
      <c r="I126">
        <v>1075</v>
      </c>
      <c r="J126" t="s">
        <v>15</v>
      </c>
      <c r="P126" t="s">
        <v>570</v>
      </c>
      <c r="Q126" t="s">
        <v>402</v>
      </c>
      <c r="R126" t="s">
        <v>20</v>
      </c>
      <c r="S126" t="s">
        <v>20</v>
      </c>
    </row>
    <row r="127" spans="1:19" x14ac:dyDescent="0.3">
      <c r="A127" t="s">
        <v>193</v>
      </c>
      <c r="B127" s="5">
        <v>42115</v>
      </c>
      <c r="C127" t="s">
        <v>31</v>
      </c>
      <c r="D127" t="s">
        <v>45</v>
      </c>
      <c r="E127" t="s">
        <v>13</v>
      </c>
      <c r="F127" t="s">
        <v>113</v>
      </c>
      <c r="G127">
        <v>2.5</v>
      </c>
      <c r="H127">
        <v>30</v>
      </c>
      <c r="I127">
        <v>75</v>
      </c>
      <c r="J127" t="s">
        <v>15</v>
      </c>
      <c r="P127" t="s">
        <v>571</v>
      </c>
      <c r="Q127" t="s">
        <v>578</v>
      </c>
      <c r="R127" t="s">
        <v>11</v>
      </c>
      <c r="S127" t="s">
        <v>28</v>
      </c>
    </row>
    <row r="128" spans="1:19" x14ac:dyDescent="0.3">
      <c r="A128" t="s">
        <v>194</v>
      </c>
      <c r="B128" s="5">
        <v>42115</v>
      </c>
      <c r="C128" t="s">
        <v>31</v>
      </c>
      <c r="D128" t="s">
        <v>45</v>
      </c>
      <c r="E128" t="s">
        <v>34</v>
      </c>
      <c r="F128" t="s">
        <v>77</v>
      </c>
      <c r="G128">
        <v>31.23</v>
      </c>
      <c r="H128">
        <v>12</v>
      </c>
      <c r="I128">
        <v>374.76</v>
      </c>
      <c r="J128" t="s">
        <v>15</v>
      </c>
      <c r="P128" t="s">
        <v>402</v>
      </c>
      <c r="Q128" t="s">
        <v>582</v>
      </c>
      <c r="R128" t="s">
        <v>28</v>
      </c>
      <c r="S128" t="s">
        <v>20</v>
      </c>
    </row>
    <row r="129" spans="1:19" x14ac:dyDescent="0.3">
      <c r="A129" t="s">
        <v>195</v>
      </c>
      <c r="B129" s="5">
        <v>42121</v>
      </c>
      <c r="C129" t="s">
        <v>31</v>
      </c>
      <c r="D129" t="s">
        <v>85</v>
      </c>
      <c r="E129" t="s">
        <v>17</v>
      </c>
      <c r="F129" t="s">
        <v>54</v>
      </c>
      <c r="G129">
        <v>15</v>
      </c>
      <c r="H129">
        <v>4</v>
      </c>
      <c r="I129">
        <v>60</v>
      </c>
      <c r="J129" t="s">
        <v>15</v>
      </c>
      <c r="P129" t="s">
        <v>578</v>
      </c>
      <c r="Q129" t="s">
        <v>419</v>
      </c>
      <c r="R129" t="s">
        <v>31</v>
      </c>
      <c r="S129" t="s">
        <v>11</v>
      </c>
    </row>
    <row r="130" spans="1:19" x14ac:dyDescent="0.3">
      <c r="A130" t="s">
        <v>196</v>
      </c>
      <c r="B130" s="5">
        <v>42122</v>
      </c>
      <c r="C130" t="s">
        <v>28</v>
      </c>
      <c r="D130" t="s">
        <v>12</v>
      </c>
      <c r="E130" t="s">
        <v>21</v>
      </c>
      <c r="F130" t="s">
        <v>197</v>
      </c>
      <c r="G130">
        <v>19.45</v>
      </c>
      <c r="H130">
        <v>15</v>
      </c>
      <c r="I130">
        <v>291.75</v>
      </c>
      <c r="J130" t="s">
        <v>15</v>
      </c>
      <c r="P130" t="s">
        <v>582</v>
      </c>
      <c r="Q130" t="s">
        <v>587</v>
      </c>
      <c r="R130" t="s">
        <v>11</v>
      </c>
      <c r="S130" t="s">
        <v>28</v>
      </c>
    </row>
    <row r="131" spans="1:19" x14ac:dyDescent="0.3">
      <c r="A131" t="s">
        <v>198</v>
      </c>
      <c r="B131" s="5">
        <v>42122</v>
      </c>
      <c r="C131" t="s">
        <v>20</v>
      </c>
      <c r="D131" t="s">
        <v>12</v>
      </c>
      <c r="E131" t="s">
        <v>21</v>
      </c>
      <c r="F131" t="s">
        <v>22</v>
      </c>
      <c r="G131">
        <v>28.5</v>
      </c>
      <c r="H131">
        <v>4</v>
      </c>
      <c r="I131">
        <v>114</v>
      </c>
      <c r="J131" t="s">
        <v>15</v>
      </c>
      <c r="P131" t="s">
        <v>419</v>
      </c>
      <c r="Q131" t="s">
        <v>422</v>
      </c>
      <c r="R131" t="s">
        <v>20</v>
      </c>
      <c r="S131" t="s">
        <v>31</v>
      </c>
    </row>
    <row r="132" spans="1:19" x14ac:dyDescent="0.3">
      <c r="A132" t="s">
        <v>199</v>
      </c>
      <c r="B132" s="5">
        <v>42124</v>
      </c>
      <c r="C132" t="s">
        <v>31</v>
      </c>
      <c r="D132" t="s">
        <v>12</v>
      </c>
      <c r="E132" t="s">
        <v>13</v>
      </c>
      <c r="F132" t="s">
        <v>200</v>
      </c>
      <c r="G132">
        <v>38</v>
      </c>
      <c r="H132">
        <v>4</v>
      </c>
      <c r="I132">
        <v>152</v>
      </c>
      <c r="J132" t="s">
        <v>15</v>
      </c>
      <c r="P132" t="s">
        <v>587</v>
      </c>
      <c r="Q132" t="s">
        <v>589</v>
      </c>
      <c r="R132" t="s">
        <v>31</v>
      </c>
      <c r="S132" t="s">
        <v>11</v>
      </c>
    </row>
    <row r="133" spans="1:19" x14ac:dyDescent="0.3">
      <c r="A133" t="s">
        <v>201</v>
      </c>
      <c r="B133" s="5">
        <v>42124</v>
      </c>
      <c r="C133" t="s">
        <v>28</v>
      </c>
      <c r="D133" t="s">
        <v>45</v>
      </c>
      <c r="E133" t="s">
        <v>17</v>
      </c>
      <c r="F133" t="s">
        <v>79</v>
      </c>
      <c r="G133">
        <v>18</v>
      </c>
      <c r="H133">
        <v>25</v>
      </c>
      <c r="I133">
        <v>450</v>
      </c>
      <c r="J133" t="s">
        <v>26</v>
      </c>
      <c r="P133" t="s">
        <v>422</v>
      </c>
      <c r="Q133" t="s">
        <v>590</v>
      </c>
      <c r="R133" t="s">
        <v>11</v>
      </c>
      <c r="S133" t="s">
        <v>20</v>
      </c>
    </row>
    <row r="134" spans="1:19" x14ac:dyDescent="0.3">
      <c r="A134" t="s">
        <v>202</v>
      </c>
      <c r="B134" s="5">
        <v>42124</v>
      </c>
      <c r="C134" t="s">
        <v>31</v>
      </c>
      <c r="D134" t="s">
        <v>45</v>
      </c>
      <c r="E134" t="s">
        <v>21</v>
      </c>
      <c r="F134" t="s">
        <v>61</v>
      </c>
      <c r="G134">
        <v>21.35</v>
      </c>
      <c r="H134">
        <v>30</v>
      </c>
      <c r="I134">
        <v>640.5</v>
      </c>
      <c r="J134" t="s">
        <v>26</v>
      </c>
      <c r="P134" t="s">
        <v>589</v>
      </c>
      <c r="Q134" t="s">
        <v>594</v>
      </c>
      <c r="R134" t="s">
        <v>31</v>
      </c>
      <c r="S134" t="s">
        <v>31</v>
      </c>
    </row>
    <row r="135" spans="1:19" x14ac:dyDescent="0.3">
      <c r="A135" t="s">
        <v>203</v>
      </c>
      <c r="B135" s="5">
        <v>42127</v>
      </c>
      <c r="C135" t="s">
        <v>11</v>
      </c>
      <c r="D135" t="s">
        <v>12</v>
      </c>
      <c r="E135" t="s">
        <v>17</v>
      </c>
      <c r="F135" t="s">
        <v>29</v>
      </c>
      <c r="G135">
        <v>46</v>
      </c>
      <c r="H135">
        <v>30</v>
      </c>
      <c r="I135">
        <v>1380</v>
      </c>
      <c r="J135" t="s">
        <v>15</v>
      </c>
      <c r="P135" t="s">
        <v>590</v>
      </c>
      <c r="Q135" t="s">
        <v>595</v>
      </c>
      <c r="R135" t="s">
        <v>20</v>
      </c>
      <c r="S135" t="s">
        <v>11</v>
      </c>
    </row>
    <row r="136" spans="1:19" x14ac:dyDescent="0.3">
      <c r="A136" t="s">
        <v>204</v>
      </c>
      <c r="B136" s="5">
        <v>42127</v>
      </c>
      <c r="C136" t="s">
        <v>11</v>
      </c>
      <c r="D136" t="s">
        <v>12</v>
      </c>
      <c r="E136" t="s">
        <v>21</v>
      </c>
      <c r="F136" t="s">
        <v>22</v>
      </c>
      <c r="G136">
        <v>28.5</v>
      </c>
      <c r="H136">
        <v>10</v>
      </c>
      <c r="I136">
        <v>285</v>
      </c>
      <c r="J136" t="s">
        <v>15</v>
      </c>
      <c r="P136" t="s">
        <v>594</v>
      </c>
      <c r="Q136" t="s">
        <v>597</v>
      </c>
      <c r="R136" t="s">
        <v>31</v>
      </c>
      <c r="S136" t="s">
        <v>31</v>
      </c>
    </row>
    <row r="137" spans="1:19" x14ac:dyDescent="0.3">
      <c r="A137" t="s">
        <v>205</v>
      </c>
      <c r="B137" s="5">
        <v>42128</v>
      </c>
      <c r="C137" t="s">
        <v>11</v>
      </c>
      <c r="D137" t="s">
        <v>24</v>
      </c>
      <c r="E137" t="s">
        <v>17</v>
      </c>
      <c r="F137" t="s">
        <v>70</v>
      </c>
      <c r="G137">
        <v>14</v>
      </c>
      <c r="H137">
        <v>20</v>
      </c>
      <c r="I137">
        <v>280</v>
      </c>
      <c r="J137" t="s">
        <v>15</v>
      </c>
      <c r="P137" t="s">
        <v>595</v>
      </c>
      <c r="Q137" t="s">
        <v>535</v>
      </c>
      <c r="R137" t="s">
        <v>31</v>
      </c>
      <c r="S137" t="s">
        <v>20</v>
      </c>
    </row>
    <row r="138" spans="1:19" x14ac:dyDescent="0.3">
      <c r="A138" t="s">
        <v>206</v>
      </c>
      <c r="B138" s="5">
        <v>42128</v>
      </c>
      <c r="C138" t="s">
        <v>31</v>
      </c>
      <c r="D138" t="s">
        <v>45</v>
      </c>
      <c r="E138" t="s">
        <v>51</v>
      </c>
      <c r="F138" t="s">
        <v>81</v>
      </c>
      <c r="G138">
        <v>24</v>
      </c>
      <c r="H138">
        <v>35</v>
      </c>
      <c r="I138">
        <v>840</v>
      </c>
      <c r="J138" t="s">
        <v>26</v>
      </c>
      <c r="P138" t="s">
        <v>597</v>
      </c>
      <c r="Q138" t="s">
        <v>600</v>
      </c>
      <c r="R138" t="s">
        <v>28</v>
      </c>
      <c r="S138" t="s">
        <v>31</v>
      </c>
    </row>
    <row r="139" spans="1:19" x14ac:dyDescent="0.3">
      <c r="A139" t="s">
        <v>207</v>
      </c>
      <c r="B139" s="5">
        <v>42128</v>
      </c>
      <c r="C139" t="s">
        <v>20</v>
      </c>
      <c r="D139" t="s">
        <v>45</v>
      </c>
      <c r="E139" t="s">
        <v>21</v>
      </c>
      <c r="F139" t="s">
        <v>22</v>
      </c>
      <c r="G139">
        <v>30</v>
      </c>
      <c r="H139">
        <v>40</v>
      </c>
      <c r="I139">
        <v>1200</v>
      </c>
      <c r="J139" t="s">
        <v>26</v>
      </c>
      <c r="P139" t="s">
        <v>535</v>
      </c>
      <c r="Q139" t="s">
        <v>604</v>
      </c>
      <c r="R139" t="s">
        <v>31</v>
      </c>
      <c r="S139" t="s">
        <v>31</v>
      </c>
    </row>
    <row r="140" spans="1:19" x14ac:dyDescent="0.3">
      <c r="A140" t="s">
        <v>208</v>
      </c>
      <c r="B140" s="5">
        <v>42128</v>
      </c>
      <c r="C140" t="s">
        <v>20</v>
      </c>
      <c r="D140" t="s">
        <v>45</v>
      </c>
      <c r="E140" t="s">
        <v>13</v>
      </c>
      <c r="F140" t="s">
        <v>41</v>
      </c>
      <c r="G140">
        <v>34</v>
      </c>
      <c r="H140">
        <v>50</v>
      </c>
      <c r="I140">
        <v>1700</v>
      </c>
      <c r="J140" t="s">
        <v>26</v>
      </c>
      <c r="P140" t="s">
        <v>600</v>
      </c>
      <c r="Q140" t="s">
        <v>607</v>
      </c>
      <c r="R140" t="s">
        <v>31</v>
      </c>
      <c r="S140" t="s">
        <v>28</v>
      </c>
    </row>
    <row r="141" spans="1:19" x14ac:dyDescent="0.3">
      <c r="A141" t="s">
        <v>209</v>
      </c>
      <c r="B141" s="5">
        <v>42129</v>
      </c>
      <c r="C141" t="s">
        <v>11</v>
      </c>
      <c r="D141" t="s">
        <v>12</v>
      </c>
      <c r="E141" t="s">
        <v>51</v>
      </c>
      <c r="F141" t="s">
        <v>118</v>
      </c>
      <c r="G141">
        <v>39</v>
      </c>
      <c r="H141">
        <v>12</v>
      </c>
      <c r="I141">
        <v>468</v>
      </c>
      <c r="J141" t="s">
        <v>26</v>
      </c>
      <c r="P141" t="s">
        <v>604</v>
      </c>
      <c r="Q141" t="s">
        <v>612</v>
      </c>
      <c r="R141" t="s">
        <v>20</v>
      </c>
      <c r="S141" t="s">
        <v>31</v>
      </c>
    </row>
    <row r="142" spans="1:19" x14ac:dyDescent="0.3">
      <c r="A142" t="s">
        <v>210</v>
      </c>
      <c r="B142" s="5">
        <v>42129</v>
      </c>
      <c r="C142" t="s">
        <v>20</v>
      </c>
      <c r="D142" t="s">
        <v>12</v>
      </c>
      <c r="E142" t="s">
        <v>13</v>
      </c>
      <c r="F142" t="s">
        <v>41</v>
      </c>
      <c r="G142">
        <v>34</v>
      </c>
      <c r="H142">
        <v>35</v>
      </c>
      <c r="I142">
        <v>1190</v>
      </c>
      <c r="J142" t="s">
        <v>26</v>
      </c>
      <c r="P142" t="s">
        <v>607</v>
      </c>
      <c r="Q142" t="s">
        <v>620</v>
      </c>
      <c r="R142" t="s">
        <v>11</v>
      </c>
      <c r="S142" t="s">
        <v>31</v>
      </c>
    </row>
    <row r="143" spans="1:19" x14ac:dyDescent="0.3">
      <c r="A143" t="s">
        <v>211</v>
      </c>
      <c r="B143" s="5">
        <v>42129</v>
      </c>
      <c r="C143" t="s">
        <v>11</v>
      </c>
      <c r="D143" t="s">
        <v>12</v>
      </c>
      <c r="E143" t="s">
        <v>51</v>
      </c>
      <c r="F143" t="s">
        <v>81</v>
      </c>
      <c r="G143">
        <v>6</v>
      </c>
      <c r="H143">
        <v>30</v>
      </c>
      <c r="I143">
        <v>180</v>
      </c>
      <c r="J143" t="s">
        <v>26</v>
      </c>
      <c r="P143" t="s">
        <v>612</v>
      </c>
      <c r="Q143" t="s">
        <v>623</v>
      </c>
      <c r="R143" t="s">
        <v>20</v>
      </c>
      <c r="S143" t="s">
        <v>20</v>
      </c>
    </row>
    <row r="144" spans="1:19" x14ac:dyDescent="0.3">
      <c r="A144" t="s">
        <v>212</v>
      </c>
      <c r="B144" s="5">
        <v>42129</v>
      </c>
      <c r="C144" t="s">
        <v>11</v>
      </c>
      <c r="D144" t="s">
        <v>45</v>
      </c>
      <c r="E144" t="s">
        <v>17</v>
      </c>
      <c r="F144" t="s">
        <v>54</v>
      </c>
      <c r="G144">
        <v>15</v>
      </c>
      <c r="H144">
        <v>3</v>
      </c>
      <c r="I144">
        <v>45</v>
      </c>
      <c r="J144" t="s">
        <v>26</v>
      </c>
      <c r="P144" t="s">
        <v>620</v>
      </c>
      <c r="Q144" t="s">
        <v>626</v>
      </c>
      <c r="R144" t="s">
        <v>28</v>
      </c>
      <c r="S144" t="s">
        <v>11</v>
      </c>
    </row>
    <row r="145" spans="1:19" x14ac:dyDescent="0.3">
      <c r="A145" t="s">
        <v>213</v>
      </c>
      <c r="B145" s="5">
        <v>42134</v>
      </c>
      <c r="C145" t="s">
        <v>20</v>
      </c>
      <c r="D145" t="s">
        <v>12</v>
      </c>
      <c r="E145" t="s">
        <v>17</v>
      </c>
      <c r="F145" t="s">
        <v>29</v>
      </c>
      <c r="G145">
        <v>46</v>
      </c>
      <c r="H145">
        <v>36</v>
      </c>
      <c r="I145">
        <v>1656</v>
      </c>
      <c r="J145" t="s">
        <v>26</v>
      </c>
      <c r="P145" t="s">
        <v>623</v>
      </c>
      <c r="Q145" t="s">
        <v>634</v>
      </c>
      <c r="R145" t="s">
        <v>31</v>
      </c>
      <c r="S145" t="s">
        <v>20</v>
      </c>
    </row>
    <row r="146" spans="1:19" x14ac:dyDescent="0.3">
      <c r="A146" t="s">
        <v>214</v>
      </c>
      <c r="B146" s="5">
        <v>42134</v>
      </c>
      <c r="C146" t="s">
        <v>20</v>
      </c>
      <c r="D146" t="s">
        <v>12</v>
      </c>
      <c r="E146" t="s">
        <v>21</v>
      </c>
      <c r="F146" t="s">
        <v>97</v>
      </c>
      <c r="G146">
        <v>13</v>
      </c>
      <c r="H146">
        <v>28</v>
      </c>
      <c r="I146">
        <v>364</v>
      </c>
      <c r="J146" t="s">
        <v>26</v>
      </c>
      <c r="P146" t="s">
        <v>626</v>
      </c>
      <c r="Q146" t="s">
        <v>637</v>
      </c>
      <c r="R146" t="s">
        <v>28</v>
      </c>
      <c r="S146" t="s">
        <v>28</v>
      </c>
    </row>
    <row r="147" spans="1:19" x14ac:dyDescent="0.3">
      <c r="A147" t="s">
        <v>215</v>
      </c>
      <c r="B147" s="5">
        <v>42134</v>
      </c>
      <c r="C147" t="s">
        <v>11</v>
      </c>
      <c r="D147" t="s">
        <v>12</v>
      </c>
      <c r="E147" t="s">
        <v>51</v>
      </c>
      <c r="F147" t="s">
        <v>81</v>
      </c>
      <c r="G147">
        <v>45.6</v>
      </c>
      <c r="H147">
        <v>8</v>
      </c>
      <c r="I147">
        <v>364.8</v>
      </c>
      <c r="J147" t="s">
        <v>26</v>
      </c>
      <c r="P147" t="s">
        <v>634</v>
      </c>
      <c r="Q147" t="s">
        <v>479</v>
      </c>
      <c r="R147" t="s">
        <v>11</v>
      </c>
      <c r="S147" t="s">
        <v>31</v>
      </c>
    </row>
    <row r="148" spans="1:19" x14ac:dyDescent="0.3">
      <c r="A148" t="s">
        <v>216</v>
      </c>
      <c r="B148" s="5">
        <v>42189</v>
      </c>
      <c r="C148" t="s">
        <v>31</v>
      </c>
      <c r="D148" t="s">
        <v>24</v>
      </c>
      <c r="E148" t="s">
        <v>13</v>
      </c>
      <c r="F148" t="s">
        <v>113</v>
      </c>
      <c r="G148">
        <v>2.5</v>
      </c>
      <c r="H148">
        <v>10</v>
      </c>
      <c r="I148">
        <v>25</v>
      </c>
      <c r="J148" t="s">
        <v>15</v>
      </c>
      <c r="P148" t="s">
        <v>637</v>
      </c>
      <c r="S148" t="s">
        <v>28</v>
      </c>
    </row>
    <row r="149" spans="1:19" x14ac:dyDescent="0.3">
      <c r="A149" t="s">
        <v>210</v>
      </c>
      <c r="B149" s="5">
        <v>42215</v>
      </c>
      <c r="C149" t="s">
        <v>20</v>
      </c>
      <c r="D149" t="s">
        <v>12</v>
      </c>
      <c r="E149" t="s">
        <v>17</v>
      </c>
      <c r="F149" t="s">
        <v>18</v>
      </c>
      <c r="G149">
        <v>19</v>
      </c>
      <c r="H149">
        <v>10</v>
      </c>
      <c r="I149">
        <v>190</v>
      </c>
      <c r="J149" t="s">
        <v>15</v>
      </c>
      <c r="P149" t="s">
        <v>479</v>
      </c>
      <c r="S149" t="s">
        <v>11</v>
      </c>
    </row>
    <row r="150" spans="1:19" x14ac:dyDescent="0.3">
      <c r="A150" t="s">
        <v>217</v>
      </c>
      <c r="B150" s="5">
        <v>42212</v>
      </c>
      <c r="C150" t="s">
        <v>11</v>
      </c>
      <c r="D150" t="s">
        <v>12</v>
      </c>
      <c r="E150" t="s">
        <v>51</v>
      </c>
      <c r="F150" t="s">
        <v>59</v>
      </c>
      <c r="G150">
        <v>97</v>
      </c>
      <c r="H150">
        <v>20</v>
      </c>
      <c r="I150">
        <v>1940</v>
      </c>
      <c r="J150" t="s">
        <v>15</v>
      </c>
    </row>
    <row r="151" spans="1:19" x14ac:dyDescent="0.3">
      <c r="A151" t="s">
        <v>218</v>
      </c>
      <c r="B151" s="5">
        <v>42220</v>
      </c>
      <c r="C151" t="s">
        <v>31</v>
      </c>
      <c r="D151" t="s">
        <v>12</v>
      </c>
      <c r="E151" t="s">
        <v>34</v>
      </c>
      <c r="F151" t="s">
        <v>64</v>
      </c>
      <c r="G151">
        <v>9.65</v>
      </c>
      <c r="H151">
        <v>4</v>
      </c>
      <c r="I151">
        <v>38.6</v>
      </c>
      <c r="J151" t="s">
        <v>26</v>
      </c>
    </row>
    <row r="152" spans="1:19" x14ac:dyDescent="0.3">
      <c r="A152" t="s">
        <v>219</v>
      </c>
      <c r="B152" s="5">
        <v>42210</v>
      </c>
      <c r="C152" t="s">
        <v>11</v>
      </c>
      <c r="D152" t="s">
        <v>12</v>
      </c>
      <c r="E152" t="s">
        <v>13</v>
      </c>
      <c r="F152" t="s">
        <v>124</v>
      </c>
      <c r="G152">
        <v>21.5</v>
      </c>
      <c r="H152">
        <v>9</v>
      </c>
      <c r="I152">
        <v>193.5</v>
      </c>
      <c r="J152" t="s">
        <v>15</v>
      </c>
    </row>
    <row r="153" spans="1:19" x14ac:dyDescent="0.3">
      <c r="A153" t="s">
        <v>220</v>
      </c>
      <c r="B153" s="5">
        <v>42215</v>
      </c>
      <c r="C153" t="s">
        <v>28</v>
      </c>
      <c r="D153" t="s">
        <v>24</v>
      </c>
      <c r="E153" t="s">
        <v>34</v>
      </c>
      <c r="F153" t="s">
        <v>64</v>
      </c>
      <c r="G153">
        <v>53</v>
      </c>
      <c r="H153">
        <v>7</v>
      </c>
      <c r="I153">
        <v>371</v>
      </c>
      <c r="J153" t="s">
        <v>26</v>
      </c>
    </row>
    <row r="154" spans="1:19" x14ac:dyDescent="0.3">
      <c r="A154" t="s">
        <v>221</v>
      </c>
      <c r="B154" s="5">
        <v>42217</v>
      </c>
      <c r="C154" t="s">
        <v>20</v>
      </c>
      <c r="D154" t="s">
        <v>12</v>
      </c>
      <c r="E154" t="s">
        <v>34</v>
      </c>
      <c r="F154" t="s">
        <v>77</v>
      </c>
      <c r="G154">
        <v>31.23</v>
      </c>
      <c r="H154">
        <v>30</v>
      </c>
      <c r="I154">
        <v>936.9</v>
      </c>
      <c r="J154" t="s">
        <v>26</v>
      </c>
    </row>
    <row r="155" spans="1:19" x14ac:dyDescent="0.3">
      <c r="A155" t="s">
        <v>222</v>
      </c>
      <c r="B155" s="5">
        <v>42208</v>
      </c>
      <c r="C155" t="s">
        <v>11</v>
      </c>
      <c r="D155" t="s">
        <v>24</v>
      </c>
      <c r="E155" t="s">
        <v>34</v>
      </c>
      <c r="F155" t="s">
        <v>77</v>
      </c>
      <c r="G155">
        <v>31.23</v>
      </c>
      <c r="H155">
        <v>6</v>
      </c>
      <c r="I155">
        <v>187.38</v>
      </c>
      <c r="J155" t="s">
        <v>26</v>
      </c>
    </row>
    <row r="156" spans="1:19" x14ac:dyDescent="0.3">
      <c r="A156" t="s">
        <v>223</v>
      </c>
      <c r="B156" s="5">
        <v>42194</v>
      </c>
      <c r="C156" t="s">
        <v>28</v>
      </c>
      <c r="D156" t="s">
        <v>45</v>
      </c>
      <c r="E156" t="s">
        <v>21</v>
      </c>
      <c r="F156" t="s">
        <v>111</v>
      </c>
      <c r="G156">
        <v>22</v>
      </c>
      <c r="H156">
        <v>25</v>
      </c>
      <c r="I156">
        <v>550</v>
      </c>
      <c r="J156" t="s">
        <v>15</v>
      </c>
    </row>
    <row r="157" spans="1:19" x14ac:dyDescent="0.3">
      <c r="A157" t="s">
        <v>224</v>
      </c>
      <c r="B157" s="5">
        <v>42195</v>
      </c>
      <c r="C157" t="s">
        <v>28</v>
      </c>
      <c r="D157" t="s">
        <v>12</v>
      </c>
      <c r="E157" t="s">
        <v>13</v>
      </c>
      <c r="F157" t="s">
        <v>41</v>
      </c>
      <c r="G157">
        <v>34</v>
      </c>
      <c r="H157">
        <v>15</v>
      </c>
      <c r="I157">
        <v>510</v>
      </c>
      <c r="J157" t="s">
        <v>26</v>
      </c>
    </row>
    <row r="158" spans="1:19" x14ac:dyDescent="0.3">
      <c r="A158" t="s">
        <v>225</v>
      </c>
      <c r="B158" s="5">
        <v>42208</v>
      </c>
      <c r="C158" t="s">
        <v>11</v>
      </c>
      <c r="D158" t="s">
        <v>45</v>
      </c>
      <c r="E158" t="s">
        <v>34</v>
      </c>
      <c r="F158" t="s">
        <v>64</v>
      </c>
      <c r="G158">
        <v>12</v>
      </c>
      <c r="H158">
        <v>28</v>
      </c>
      <c r="I158">
        <v>336</v>
      </c>
      <c r="J158" t="s">
        <v>26</v>
      </c>
    </row>
    <row r="159" spans="1:19" x14ac:dyDescent="0.3">
      <c r="A159" t="s">
        <v>226</v>
      </c>
      <c r="B159" s="5">
        <v>42216</v>
      </c>
      <c r="C159" t="s">
        <v>28</v>
      </c>
      <c r="D159" t="s">
        <v>12</v>
      </c>
      <c r="E159" t="s">
        <v>13</v>
      </c>
      <c r="F159" t="s">
        <v>14</v>
      </c>
      <c r="G159">
        <v>62.5</v>
      </c>
      <c r="H159">
        <v>4</v>
      </c>
      <c r="I159">
        <v>250</v>
      </c>
      <c r="J159" t="s">
        <v>26</v>
      </c>
    </row>
    <row r="160" spans="1:19" x14ac:dyDescent="0.3">
      <c r="A160" t="s">
        <v>227</v>
      </c>
      <c r="B160" s="5">
        <v>42193</v>
      </c>
      <c r="C160" t="s">
        <v>11</v>
      </c>
      <c r="D160" t="s">
        <v>12</v>
      </c>
      <c r="E160" t="s">
        <v>34</v>
      </c>
      <c r="F160" t="s">
        <v>77</v>
      </c>
      <c r="G160">
        <v>31.23</v>
      </c>
      <c r="H160">
        <v>6</v>
      </c>
      <c r="I160">
        <v>187.38</v>
      </c>
      <c r="J160" t="s">
        <v>15</v>
      </c>
    </row>
    <row r="161" spans="1:10" x14ac:dyDescent="0.3">
      <c r="A161" t="s">
        <v>228</v>
      </c>
      <c r="B161" s="5">
        <v>42199</v>
      </c>
      <c r="C161" t="s">
        <v>31</v>
      </c>
      <c r="D161" t="s">
        <v>45</v>
      </c>
      <c r="E161" t="s">
        <v>13</v>
      </c>
      <c r="F161" t="s">
        <v>41</v>
      </c>
      <c r="G161">
        <v>34</v>
      </c>
      <c r="H161">
        <v>15</v>
      </c>
      <c r="I161">
        <v>510</v>
      </c>
      <c r="J161" t="s">
        <v>26</v>
      </c>
    </row>
    <row r="162" spans="1:10" x14ac:dyDescent="0.3">
      <c r="A162" t="s">
        <v>229</v>
      </c>
      <c r="B162" s="5">
        <v>42200</v>
      </c>
      <c r="C162" t="s">
        <v>11</v>
      </c>
      <c r="D162" t="s">
        <v>12</v>
      </c>
      <c r="E162" t="s">
        <v>17</v>
      </c>
      <c r="F162" t="s">
        <v>25</v>
      </c>
      <c r="G162">
        <v>7.75</v>
      </c>
      <c r="H162">
        <v>42</v>
      </c>
      <c r="I162">
        <v>325.5</v>
      </c>
      <c r="J162" t="s">
        <v>15</v>
      </c>
    </row>
    <row r="163" spans="1:10" x14ac:dyDescent="0.3">
      <c r="A163" t="s">
        <v>230</v>
      </c>
      <c r="B163" s="5">
        <v>42193</v>
      </c>
      <c r="C163" t="s">
        <v>11</v>
      </c>
      <c r="D163" t="s">
        <v>12</v>
      </c>
      <c r="E163" t="s">
        <v>17</v>
      </c>
      <c r="F163" t="s">
        <v>79</v>
      </c>
      <c r="G163">
        <v>18</v>
      </c>
      <c r="H163">
        <v>10</v>
      </c>
      <c r="I163">
        <v>180</v>
      </c>
      <c r="J163" t="s">
        <v>15</v>
      </c>
    </row>
    <row r="164" spans="1:10" x14ac:dyDescent="0.3">
      <c r="A164" t="s">
        <v>231</v>
      </c>
      <c r="B164" s="5">
        <v>42191</v>
      </c>
      <c r="C164" t="s">
        <v>20</v>
      </c>
      <c r="D164" t="s">
        <v>24</v>
      </c>
      <c r="E164" t="s">
        <v>21</v>
      </c>
      <c r="F164" t="s">
        <v>87</v>
      </c>
      <c r="G164">
        <v>21.05</v>
      </c>
      <c r="H164">
        <v>15</v>
      </c>
      <c r="I164">
        <v>315.75</v>
      </c>
      <c r="J164" t="s">
        <v>26</v>
      </c>
    </row>
    <row r="165" spans="1:10" x14ac:dyDescent="0.3">
      <c r="A165" t="s">
        <v>232</v>
      </c>
      <c r="B165" s="5">
        <v>42191</v>
      </c>
      <c r="C165" t="s">
        <v>20</v>
      </c>
      <c r="D165" t="s">
        <v>12</v>
      </c>
      <c r="E165" t="s">
        <v>17</v>
      </c>
      <c r="F165" t="s">
        <v>54</v>
      </c>
      <c r="G165">
        <v>53</v>
      </c>
      <c r="H165">
        <v>35</v>
      </c>
      <c r="I165">
        <v>1855</v>
      </c>
      <c r="J165" t="s">
        <v>26</v>
      </c>
    </row>
    <row r="166" spans="1:10" x14ac:dyDescent="0.3">
      <c r="A166" t="s">
        <v>233</v>
      </c>
      <c r="B166" s="5">
        <v>42191</v>
      </c>
      <c r="C166" t="s">
        <v>11</v>
      </c>
      <c r="D166" t="s">
        <v>12</v>
      </c>
      <c r="E166" t="s">
        <v>34</v>
      </c>
      <c r="F166" t="s">
        <v>64</v>
      </c>
      <c r="G166">
        <v>9.65</v>
      </c>
      <c r="H166">
        <v>10</v>
      </c>
      <c r="I166">
        <v>96.5</v>
      </c>
      <c r="J166" t="s">
        <v>26</v>
      </c>
    </row>
    <row r="167" spans="1:10" x14ac:dyDescent="0.3">
      <c r="A167" t="s">
        <v>234</v>
      </c>
      <c r="B167" s="5">
        <v>42193</v>
      </c>
      <c r="C167" t="s">
        <v>31</v>
      </c>
      <c r="D167" t="s">
        <v>24</v>
      </c>
      <c r="E167" t="s">
        <v>34</v>
      </c>
      <c r="F167" t="s">
        <v>75</v>
      </c>
      <c r="G167">
        <v>20</v>
      </c>
      <c r="H167">
        <v>40</v>
      </c>
      <c r="I167">
        <v>800</v>
      </c>
      <c r="J167" t="s">
        <v>26</v>
      </c>
    </row>
    <row r="168" spans="1:10" x14ac:dyDescent="0.3">
      <c r="A168" t="s">
        <v>235</v>
      </c>
      <c r="B168" s="5">
        <v>42193</v>
      </c>
      <c r="C168" t="s">
        <v>28</v>
      </c>
      <c r="D168" t="s">
        <v>12</v>
      </c>
      <c r="E168" t="s">
        <v>17</v>
      </c>
      <c r="F168" t="s">
        <v>37</v>
      </c>
      <c r="G168">
        <v>18</v>
      </c>
      <c r="H168">
        <v>42</v>
      </c>
      <c r="I168">
        <v>756</v>
      </c>
      <c r="J168" t="s">
        <v>26</v>
      </c>
    </row>
    <row r="169" spans="1:10" x14ac:dyDescent="0.3">
      <c r="A169" t="s">
        <v>236</v>
      </c>
      <c r="B169" s="5">
        <v>42193</v>
      </c>
      <c r="C169" t="s">
        <v>31</v>
      </c>
      <c r="D169" t="s">
        <v>12</v>
      </c>
      <c r="E169" t="s">
        <v>13</v>
      </c>
      <c r="F169" t="s">
        <v>99</v>
      </c>
      <c r="G169">
        <v>12.5</v>
      </c>
      <c r="H169">
        <v>20</v>
      </c>
      <c r="I169">
        <v>250</v>
      </c>
      <c r="J169" t="s">
        <v>26</v>
      </c>
    </row>
    <row r="170" spans="1:10" x14ac:dyDescent="0.3">
      <c r="A170" t="s">
        <v>237</v>
      </c>
      <c r="B170" s="5">
        <v>42198</v>
      </c>
      <c r="C170" t="s">
        <v>11</v>
      </c>
      <c r="D170" t="s">
        <v>12</v>
      </c>
      <c r="E170" t="s">
        <v>51</v>
      </c>
      <c r="F170" t="s">
        <v>138</v>
      </c>
      <c r="G170">
        <v>32.799999999999997</v>
      </c>
      <c r="H170">
        <v>15</v>
      </c>
      <c r="I170">
        <v>491.99999999999994</v>
      </c>
      <c r="J170" t="s">
        <v>26</v>
      </c>
    </row>
    <row r="171" spans="1:10" x14ac:dyDescent="0.3">
      <c r="A171" t="s">
        <v>238</v>
      </c>
      <c r="B171" s="5">
        <v>42198</v>
      </c>
      <c r="C171" t="s">
        <v>20</v>
      </c>
      <c r="D171" t="s">
        <v>12</v>
      </c>
      <c r="E171" t="s">
        <v>21</v>
      </c>
      <c r="F171" t="s">
        <v>97</v>
      </c>
      <c r="G171">
        <v>13</v>
      </c>
      <c r="H171">
        <v>12</v>
      </c>
      <c r="I171">
        <v>156</v>
      </c>
      <c r="J171" t="s">
        <v>26</v>
      </c>
    </row>
    <row r="172" spans="1:10" x14ac:dyDescent="0.3">
      <c r="A172" t="s">
        <v>239</v>
      </c>
      <c r="B172" s="5">
        <v>42202</v>
      </c>
      <c r="C172" t="s">
        <v>28</v>
      </c>
      <c r="D172" t="s">
        <v>12</v>
      </c>
      <c r="E172" t="s">
        <v>17</v>
      </c>
      <c r="F172" t="s">
        <v>72</v>
      </c>
      <c r="G172">
        <v>18</v>
      </c>
      <c r="H172">
        <v>20</v>
      </c>
      <c r="I172">
        <v>360</v>
      </c>
      <c r="J172" t="s">
        <v>26</v>
      </c>
    </row>
    <row r="173" spans="1:10" x14ac:dyDescent="0.3">
      <c r="A173" t="s">
        <v>240</v>
      </c>
      <c r="B173" s="5">
        <v>42202</v>
      </c>
      <c r="C173" t="s">
        <v>28</v>
      </c>
      <c r="D173" t="s">
        <v>12</v>
      </c>
      <c r="E173" t="s">
        <v>34</v>
      </c>
      <c r="F173" t="s">
        <v>241</v>
      </c>
      <c r="G173">
        <v>10</v>
      </c>
      <c r="H173">
        <v>20</v>
      </c>
      <c r="I173">
        <v>200</v>
      </c>
      <c r="J173" t="s">
        <v>26</v>
      </c>
    </row>
    <row r="174" spans="1:10" x14ac:dyDescent="0.3">
      <c r="A174" t="s">
        <v>242</v>
      </c>
      <c r="B174" s="5">
        <v>42228</v>
      </c>
      <c r="C174" t="s">
        <v>31</v>
      </c>
      <c r="D174" t="s">
        <v>85</v>
      </c>
      <c r="E174" t="s">
        <v>17</v>
      </c>
      <c r="F174" t="s">
        <v>128</v>
      </c>
      <c r="G174">
        <v>4.5</v>
      </c>
      <c r="H174">
        <v>6</v>
      </c>
      <c r="I174">
        <v>27</v>
      </c>
      <c r="J174" t="s">
        <v>15</v>
      </c>
    </row>
    <row r="175" spans="1:10" x14ac:dyDescent="0.3">
      <c r="A175" t="s">
        <v>243</v>
      </c>
      <c r="B175" s="5">
        <v>42228</v>
      </c>
      <c r="C175" t="s">
        <v>31</v>
      </c>
      <c r="D175" t="s">
        <v>85</v>
      </c>
      <c r="E175" t="s">
        <v>17</v>
      </c>
      <c r="F175" t="s">
        <v>72</v>
      </c>
      <c r="G175">
        <v>18</v>
      </c>
      <c r="H175">
        <v>4</v>
      </c>
      <c r="I175">
        <v>72</v>
      </c>
      <c r="J175" t="s">
        <v>15</v>
      </c>
    </row>
    <row r="176" spans="1:10" x14ac:dyDescent="0.3">
      <c r="A176" t="s">
        <v>244</v>
      </c>
      <c r="B176" s="5">
        <v>42228</v>
      </c>
      <c r="C176" t="s">
        <v>28</v>
      </c>
      <c r="D176" t="s">
        <v>85</v>
      </c>
      <c r="E176" t="s">
        <v>34</v>
      </c>
      <c r="F176" t="s">
        <v>188</v>
      </c>
      <c r="G176">
        <v>9.1999999999999993</v>
      </c>
      <c r="H176">
        <v>1</v>
      </c>
      <c r="I176">
        <v>9.1999999999999993</v>
      </c>
      <c r="J176" t="s">
        <v>15</v>
      </c>
    </row>
    <row r="177" spans="1:10" x14ac:dyDescent="0.3">
      <c r="A177" t="s">
        <v>245</v>
      </c>
      <c r="B177" s="5">
        <v>42229</v>
      </c>
      <c r="C177" t="s">
        <v>28</v>
      </c>
      <c r="D177" t="s">
        <v>85</v>
      </c>
      <c r="E177" t="s">
        <v>13</v>
      </c>
      <c r="F177" t="s">
        <v>14</v>
      </c>
      <c r="G177">
        <v>19.5</v>
      </c>
      <c r="H177">
        <v>2</v>
      </c>
      <c r="I177">
        <v>39</v>
      </c>
      <c r="J177" t="s">
        <v>15</v>
      </c>
    </row>
    <row r="178" spans="1:10" x14ac:dyDescent="0.3">
      <c r="A178" t="s">
        <v>246</v>
      </c>
      <c r="B178" s="5">
        <v>42229</v>
      </c>
      <c r="C178" t="s">
        <v>20</v>
      </c>
      <c r="D178" t="s">
        <v>85</v>
      </c>
      <c r="E178" t="s">
        <v>51</v>
      </c>
      <c r="F178" t="s">
        <v>81</v>
      </c>
      <c r="G178">
        <v>25.89</v>
      </c>
      <c r="H178">
        <v>6</v>
      </c>
      <c r="I178">
        <v>155.34</v>
      </c>
      <c r="J178" t="s">
        <v>15</v>
      </c>
    </row>
    <row r="179" spans="1:10" x14ac:dyDescent="0.3">
      <c r="A179" t="s">
        <v>247</v>
      </c>
      <c r="B179" s="5">
        <v>42236</v>
      </c>
      <c r="C179" t="s">
        <v>20</v>
      </c>
      <c r="D179" t="s">
        <v>24</v>
      </c>
      <c r="E179" t="s">
        <v>13</v>
      </c>
      <c r="F179" t="s">
        <v>14</v>
      </c>
      <c r="G179">
        <v>12</v>
      </c>
      <c r="H179">
        <v>15</v>
      </c>
      <c r="I179">
        <v>180</v>
      </c>
      <c r="J179" t="s">
        <v>26</v>
      </c>
    </row>
    <row r="180" spans="1:10" x14ac:dyDescent="0.3">
      <c r="A180" t="s">
        <v>248</v>
      </c>
      <c r="B180" s="5">
        <v>42236</v>
      </c>
      <c r="C180" t="s">
        <v>31</v>
      </c>
      <c r="D180" t="s">
        <v>12</v>
      </c>
      <c r="E180" t="s">
        <v>17</v>
      </c>
      <c r="F180" t="s">
        <v>144</v>
      </c>
      <c r="G180">
        <v>14</v>
      </c>
      <c r="H180">
        <v>20</v>
      </c>
      <c r="I180">
        <v>280</v>
      </c>
      <c r="J180" t="s">
        <v>26</v>
      </c>
    </row>
    <row r="181" spans="1:10" x14ac:dyDescent="0.3">
      <c r="A181" t="s">
        <v>249</v>
      </c>
      <c r="B181" s="5">
        <v>42236</v>
      </c>
      <c r="C181" t="s">
        <v>28</v>
      </c>
      <c r="D181" t="s">
        <v>12</v>
      </c>
      <c r="E181" t="s">
        <v>34</v>
      </c>
      <c r="F181" t="s">
        <v>94</v>
      </c>
      <c r="G181">
        <v>17.45</v>
      </c>
      <c r="H181">
        <v>40</v>
      </c>
      <c r="I181">
        <v>698</v>
      </c>
      <c r="J181" t="s">
        <v>26</v>
      </c>
    </row>
    <row r="182" spans="1:10" x14ac:dyDescent="0.3">
      <c r="A182" t="s">
        <v>250</v>
      </c>
      <c r="B182" s="5">
        <v>42240</v>
      </c>
      <c r="C182" t="s">
        <v>28</v>
      </c>
      <c r="D182" t="s">
        <v>45</v>
      </c>
      <c r="E182" t="s">
        <v>21</v>
      </c>
      <c r="F182" t="s">
        <v>251</v>
      </c>
      <c r="G182">
        <v>10</v>
      </c>
      <c r="H182">
        <v>30</v>
      </c>
      <c r="I182">
        <v>300</v>
      </c>
      <c r="J182" t="s">
        <v>26</v>
      </c>
    </row>
    <row r="183" spans="1:10" x14ac:dyDescent="0.3">
      <c r="A183" t="s">
        <v>252</v>
      </c>
      <c r="B183" s="5">
        <v>42240</v>
      </c>
      <c r="C183" t="s">
        <v>28</v>
      </c>
      <c r="D183" t="s">
        <v>45</v>
      </c>
      <c r="E183" t="s">
        <v>34</v>
      </c>
      <c r="F183" t="s">
        <v>64</v>
      </c>
      <c r="G183">
        <v>33.25</v>
      </c>
      <c r="H183">
        <v>9</v>
      </c>
      <c r="I183">
        <v>299.25</v>
      </c>
      <c r="J183" t="s">
        <v>26</v>
      </c>
    </row>
    <row r="184" spans="1:10" x14ac:dyDescent="0.3">
      <c r="A184" t="s">
        <v>253</v>
      </c>
      <c r="B184" s="5">
        <v>42241</v>
      </c>
      <c r="C184" t="s">
        <v>28</v>
      </c>
      <c r="D184" t="s">
        <v>12</v>
      </c>
      <c r="E184" t="s">
        <v>21</v>
      </c>
      <c r="F184" t="s">
        <v>197</v>
      </c>
      <c r="G184">
        <v>19.45</v>
      </c>
      <c r="H184">
        <v>24</v>
      </c>
      <c r="I184">
        <v>466.79999999999995</v>
      </c>
      <c r="J184" t="s">
        <v>26</v>
      </c>
    </row>
    <row r="185" spans="1:10" x14ac:dyDescent="0.3">
      <c r="A185" t="s">
        <v>254</v>
      </c>
      <c r="B185" s="5">
        <v>42241</v>
      </c>
      <c r="C185" t="s">
        <v>20</v>
      </c>
      <c r="D185" t="s">
        <v>12</v>
      </c>
      <c r="E185" t="s">
        <v>21</v>
      </c>
      <c r="F185" t="s">
        <v>22</v>
      </c>
      <c r="G185">
        <v>53</v>
      </c>
      <c r="H185">
        <v>2</v>
      </c>
      <c r="I185">
        <v>106</v>
      </c>
      <c r="J185" t="s">
        <v>26</v>
      </c>
    </row>
    <row r="186" spans="1:10" x14ac:dyDescent="0.3">
      <c r="A186" t="s">
        <v>255</v>
      </c>
      <c r="B186" s="5">
        <v>42241</v>
      </c>
      <c r="C186" t="s">
        <v>28</v>
      </c>
      <c r="D186" t="s">
        <v>12</v>
      </c>
      <c r="E186" t="s">
        <v>17</v>
      </c>
      <c r="F186" t="s">
        <v>54</v>
      </c>
      <c r="G186">
        <v>6</v>
      </c>
      <c r="H186">
        <v>20</v>
      </c>
      <c r="I186">
        <v>120</v>
      </c>
      <c r="J186" t="s">
        <v>26</v>
      </c>
    </row>
    <row r="187" spans="1:10" x14ac:dyDescent="0.3">
      <c r="A187" t="s">
        <v>256</v>
      </c>
      <c r="B187" s="5">
        <v>42241</v>
      </c>
      <c r="C187" t="s">
        <v>28</v>
      </c>
      <c r="D187" t="s">
        <v>12</v>
      </c>
      <c r="E187" t="s">
        <v>51</v>
      </c>
      <c r="F187" t="s">
        <v>52</v>
      </c>
      <c r="G187">
        <v>123.79</v>
      </c>
      <c r="H187">
        <v>15</v>
      </c>
      <c r="I187">
        <v>1856.8500000000001</v>
      </c>
      <c r="J187" t="s">
        <v>15</v>
      </c>
    </row>
    <row r="188" spans="1:10" x14ac:dyDescent="0.3">
      <c r="A188" t="s">
        <v>257</v>
      </c>
      <c r="B188" s="5">
        <v>42241</v>
      </c>
      <c r="C188" t="s">
        <v>28</v>
      </c>
      <c r="D188" t="s">
        <v>12</v>
      </c>
      <c r="E188" t="s">
        <v>21</v>
      </c>
      <c r="F188" t="s">
        <v>61</v>
      </c>
      <c r="G188">
        <v>21.35</v>
      </c>
      <c r="H188">
        <v>20</v>
      </c>
      <c r="I188">
        <v>427</v>
      </c>
      <c r="J188" t="s">
        <v>15</v>
      </c>
    </row>
    <row r="189" spans="1:10" x14ac:dyDescent="0.3">
      <c r="A189" t="s">
        <v>258</v>
      </c>
      <c r="B189" s="5">
        <v>42241</v>
      </c>
      <c r="C189" t="s">
        <v>28</v>
      </c>
      <c r="D189" t="s">
        <v>12</v>
      </c>
      <c r="E189" t="s">
        <v>21</v>
      </c>
      <c r="F189" t="s">
        <v>97</v>
      </c>
      <c r="G189">
        <v>13</v>
      </c>
      <c r="H189">
        <v>10</v>
      </c>
      <c r="I189">
        <v>130</v>
      </c>
      <c r="J189" t="s">
        <v>15</v>
      </c>
    </row>
    <row r="190" spans="1:10" x14ac:dyDescent="0.3">
      <c r="A190" t="s">
        <v>259</v>
      </c>
      <c r="B190" s="5">
        <v>42241</v>
      </c>
      <c r="C190" t="s">
        <v>28</v>
      </c>
      <c r="D190" t="s">
        <v>12</v>
      </c>
      <c r="E190" t="s">
        <v>34</v>
      </c>
      <c r="F190" t="s">
        <v>75</v>
      </c>
      <c r="G190">
        <v>20</v>
      </c>
      <c r="H190">
        <v>15</v>
      </c>
      <c r="I190">
        <v>300</v>
      </c>
      <c r="J190" t="s">
        <v>15</v>
      </c>
    </row>
    <row r="191" spans="1:10" x14ac:dyDescent="0.3">
      <c r="A191" t="s">
        <v>260</v>
      </c>
      <c r="B191" s="5">
        <v>42242</v>
      </c>
      <c r="C191" t="s">
        <v>31</v>
      </c>
      <c r="D191" t="s">
        <v>12</v>
      </c>
      <c r="E191" t="s">
        <v>34</v>
      </c>
      <c r="F191" t="s">
        <v>35</v>
      </c>
      <c r="G191">
        <v>81</v>
      </c>
      <c r="H191">
        <v>20</v>
      </c>
      <c r="I191">
        <v>1620</v>
      </c>
      <c r="J191" t="s">
        <v>26</v>
      </c>
    </row>
    <row r="192" spans="1:10" x14ac:dyDescent="0.3">
      <c r="A192" t="s">
        <v>261</v>
      </c>
      <c r="B192" s="5">
        <v>42251</v>
      </c>
      <c r="C192" t="s">
        <v>28</v>
      </c>
      <c r="D192" t="s">
        <v>12</v>
      </c>
      <c r="E192" t="s">
        <v>17</v>
      </c>
      <c r="F192" t="s">
        <v>54</v>
      </c>
      <c r="G192">
        <v>15</v>
      </c>
      <c r="H192">
        <v>20</v>
      </c>
      <c r="I192">
        <v>300</v>
      </c>
      <c r="J192" t="s">
        <v>26</v>
      </c>
    </row>
    <row r="193" spans="1:10" x14ac:dyDescent="0.3">
      <c r="A193" t="s">
        <v>262</v>
      </c>
      <c r="B193" s="5">
        <v>42251</v>
      </c>
      <c r="C193" t="s">
        <v>20</v>
      </c>
      <c r="D193" t="s">
        <v>12</v>
      </c>
      <c r="E193" t="s">
        <v>34</v>
      </c>
      <c r="F193" t="s">
        <v>188</v>
      </c>
      <c r="G193">
        <v>9.1999999999999993</v>
      </c>
      <c r="H193">
        <v>15</v>
      </c>
      <c r="I193">
        <v>138</v>
      </c>
      <c r="J193" t="s">
        <v>26</v>
      </c>
    </row>
    <row r="194" spans="1:10" x14ac:dyDescent="0.3">
      <c r="A194" t="s">
        <v>263</v>
      </c>
      <c r="B194" s="5">
        <v>42256</v>
      </c>
      <c r="C194" t="s">
        <v>11</v>
      </c>
      <c r="D194" t="s">
        <v>85</v>
      </c>
      <c r="E194" t="s">
        <v>21</v>
      </c>
      <c r="F194" t="s">
        <v>87</v>
      </c>
      <c r="G194">
        <v>21.05</v>
      </c>
      <c r="H194">
        <v>30</v>
      </c>
      <c r="I194">
        <v>631.5</v>
      </c>
      <c r="J194" t="s">
        <v>26</v>
      </c>
    </row>
    <row r="195" spans="1:10" x14ac:dyDescent="0.3">
      <c r="A195" t="s">
        <v>264</v>
      </c>
      <c r="B195" s="5">
        <v>42256</v>
      </c>
      <c r="C195" t="s">
        <v>11</v>
      </c>
      <c r="D195" t="s">
        <v>85</v>
      </c>
      <c r="E195" t="s">
        <v>34</v>
      </c>
      <c r="F195" t="s">
        <v>64</v>
      </c>
      <c r="G195">
        <v>18.399999999999999</v>
      </c>
      <c r="H195">
        <v>40</v>
      </c>
      <c r="I195">
        <v>736</v>
      </c>
      <c r="J195" t="s">
        <v>26</v>
      </c>
    </row>
    <row r="196" spans="1:10" x14ac:dyDescent="0.3">
      <c r="A196" t="s">
        <v>265</v>
      </c>
      <c r="B196" s="5">
        <v>42256</v>
      </c>
      <c r="C196" t="s">
        <v>31</v>
      </c>
      <c r="D196" t="s">
        <v>85</v>
      </c>
      <c r="E196" t="s">
        <v>34</v>
      </c>
      <c r="F196" t="s">
        <v>43</v>
      </c>
      <c r="G196">
        <v>12.5</v>
      </c>
      <c r="H196">
        <v>15</v>
      </c>
      <c r="I196">
        <v>187.5</v>
      </c>
      <c r="J196" t="s">
        <v>26</v>
      </c>
    </row>
    <row r="197" spans="1:10" x14ac:dyDescent="0.3">
      <c r="A197" t="s">
        <v>266</v>
      </c>
      <c r="B197" s="5">
        <v>42261</v>
      </c>
      <c r="C197" t="s">
        <v>20</v>
      </c>
      <c r="D197" t="s">
        <v>85</v>
      </c>
      <c r="E197" t="s">
        <v>51</v>
      </c>
      <c r="F197" t="s">
        <v>138</v>
      </c>
      <c r="G197">
        <v>32.799999999999997</v>
      </c>
      <c r="H197">
        <v>10</v>
      </c>
      <c r="I197">
        <v>328</v>
      </c>
      <c r="J197" t="s">
        <v>26</v>
      </c>
    </row>
    <row r="198" spans="1:10" x14ac:dyDescent="0.3">
      <c r="A198" t="s">
        <v>267</v>
      </c>
      <c r="B198" s="5">
        <v>42261</v>
      </c>
      <c r="C198" t="s">
        <v>31</v>
      </c>
      <c r="D198" t="s">
        <v>85</v>
      </c>
      <c r="E198" t="s">
        <v>51</v>
      </c>
      <c r="F198" t="s">
        <v>268</v>
      </c>
      <c r="G198">
        <v>7.45</v>
      </c>
      <c r="H198">
        <v>5</v>
      </c>
      <c r="I198">
        <v>37.25</v>
      </c>
      <c r="J198" t="s">
        <v>26</v>
      </c>
    </row>
    <row r="199" spans="1:10" x14ac:dyDescent="0.3">
      <c r="A199" t="s">
        <v>269</v>
      </c>
      <c r="B199" s="5">
        <v>42261</v>
      </c>
      <c r="C199" t="s">
        <v>20</v>
      </c>
      <c r="D199" t="s">
        <v>85</v>
      </c>
      <c r="E199" t="s">
        <v>21</v>
      </c>
      <c r="F199" t="s">
        <v>22</v>
      </c>
      <c r="G199">
        <v>25.89</v>
      </c>
      <c r="H199">
        <v>10</v>
      </c>
      <c r="I199">
        <v>258.89999999999998</v>
      </c>
      <c r="J199" t="s">
        <v>26</v>
      </c>
    </row>
    <row r="200" spans="1:10" x14ac:dyDescent="0.3">
      <c r="A200" t="s">
        <v>270</v>
      </c>
      <c r="B200" s="5">
        <v>42271</v>
      </c>
      <c r="C200" t="s">
        <v>11</v>
      </c>
      <c r="D200" t="s">
        <v>45</v>
      </c>
      <c r="E200" t="s">
        <v>17</v>
      </c>
      <c r="F200" t="s">
        <v>54</v>
      </c>
      <c r="G200">
        <v>15</v>
      </c>
      <c r="H200">
        <v>30</v>
      </c>
      <c r="I200">
        <v>450</v>
      </c>
      <c r="J200" t="s">
        <v>26</v>
      </c>
    </row>
    <row r="201" spans="1:10" x14ac:dyDescent="0.3">
      <c r="A201" t="s">
        <v>271</v>
      </c>
      <c r="B201" s="5">
        <v>42271</v>
      </c>
      <c r="C201" t="s">
        <v>20</v>
      </c>
      <c r="D201" t="s">
        <v>45</v>
      </c>
      <c r="E201" t="s">
        <v>17</v>
      </c>
      <c r="F201" t="s">
        <v>144</v>
      </c>
      <c r="G201">
        <v>14</v>
      </c>
      <c r="H201">
        <v>14</v>
      </c>
      <c r="I201">
        <v>196</v>
      </c>
      <c r="J201" t="s">
        <v>26</v>
      </c>
    </row>
    <row r="202" spans="1:10" x14ac:dyDescent="0.3">
      <c r="A202" t="s">
        <v>272</v>
      </c>
      <c r="B202" s="5">
        <v>42276</v>
      </c>
      <c r="C202" t="s">
        <v>31</v>
      </c>
      <c r="D202" t="s">
        <v>45</v>
      </c>
      <c r="E202" t="s">
        <v>17</v>
      </c>
      <c r="F202" t="s">
        <v>134</v>
      </c>
      <c r="G202">
        <v>18</v>
      </c>
      <c r="H202">
        <v>6</v>
      </c>
      <c r="I202">
        <v>108</v>
      </c>
      <c r="J202" t="s">
        <v>26</v>
      </c>
    </row>
    <row r="203" spans="1:10" x14ac:dyDescent="0.3">
      <c r="A203" t="s">
        <v>273</v>
      </c>
      <c r="B203" s="5">
        <v>42276</v>
      </c>
      <c r="C203" t="s">
        <v>11</v>
      </c>
      <c r="D203" t="s">
        <v>45</v>
      </c>
      <c r="E203" t="s">
        <v>34</v>
      </c>
      <c r="F203" t="s">
        <v>64</v>
      </c>
      <c r="G203">
        <v>9.65</v>
      </c>
      <c r="H203">
        <v>20</v>
      </c>
      <c r="I203">
        <v>193</v>
      </c>
      <c r="J203" t="s">
        <v>26</v>
      </c>
    </row>
    <row r="204" spans="1:10" x14ac:dyDescent="0.3">
      <c r="A204" t="s">
        <v>274</v>
      </c>
      <c r="B204" s="5">
        <v>42278</v>
      </c>
      <c r="C204" t="s">
        <v>31</v>
      </c>
      <c r="D204" t="s">
        <v>45</v>
      </c>
      <c r="E204" t="s">
        <v>17</v>
      </c>
      <c r="F204" t="s">
        <v>72</v>
      </c>
      <c r="G204">
        <v>18</v>
      </c>
      <c r="H204">
        <v>10</v>
      </c>
      <c r="I204">
        <v>180</v>
      </c>
      <c r="J204" t="s">
        <v>26</v>
      </c>
    </row>
    <row r="205" spans="1:10" x14ac:dyDescent="0.3">
      <c r="A205" t="s">
        <v>275</v>
      </c>
      <c r="B205" s="5">
        <v>42285</v>
      </c>
      <c r="C205" t="s">
        <v>11</v>
      </c>
      <c r="D205" t="s">
        <v>85</v>
      </c>
      <c r="E205" t="s">
        <v>17</v>
      </c>
      <c r="F205" t="s">
        <v>25</v>
      </c>
      <c r="G205">
        <v>7.75</v>
      </c>
      <c r="H205">
        <v>50</v>
      </c>
      <c r="I205">
        <v>387.5</v>
      </c>
      <c r="J205" t="s">
        <v>26</v>
      </c>
    </row>
    <row r="206" spans="1:10" x14ac:dyDescent="0.3">
      <c r="A206" t="s">
        <v>276</v>
      </c>
      <c r="B206" s="5">
        <v>42285</v>
      </c>
      <c r="C206" t="s">
        <v>11</v>
      </c>
      <c r="D206" t="s">
        <v>85</v>
      </c>
      <c r="E206" t="s">
        <v>21</v>
      </c>
      <c r="F206" t="s">
        <v>111</v>
      </c>
      <c r="G206">
        <v>22</v>
      </c>
      <c r="H206">
        <v>24</v>
      </c>
      <c r="I206">
        <v>528</v>
      </c>
      <c r="J206" t="s">
        <v>26</v>
      </c>
    </row>
    <row r="207" spans="1:10" x14ac:dyDescent="0.3">
      <c r="A207" t="s">
        <v>277</v>
      </c>
      <c r="B207" s="5">
        <v>42285</v>
      </c>
      <c r="C207" t="s">
        <v>11</v>
      </c>
      <c r="D207" t="s">
        <v>85</v>
      </c>
      <c r="E207" t="s">
        <v>51</v>
      </c>
      <c r="F207" t="s">
        <v>81</v>
      </c>
      <c r="G207">
        <v>19.5</v>
      </c>
      <c r="H207">
        <v>16</v>
      </c>
      <c r="I207">
        <v>312</v>
      </c>
      <c r="J207" t="s">
        <v>26</v>
      </c>
    </row>
    <row r="208" spans="1:10" x14ac:dyDescent="0.3">
      <c r="A208" t="s">
        <v>278</v>
      </c>
      <c r="B208" s="5">
        <v>42312</v>
      </c>
      <c r="C208" t="s">
        <v>11</v>
      </c>
      <c r="D208" t="s">
        <v>12</v>
      </c>
      <c r="E208" t="s">
        <v>17</v>
      </c>
      <c r="F208" t="s">
        <v>37</v>
      </c>
      <c r="G208">
        <v>18</v>
      </c>
      <c r="H208">
        <v>50</v>
      </c>
      <c r="I208">
        <v>900</v>
      </c>
      <c r="J208" t="s">
        <v>26</v>
      </c>
    </row>
    <row r="209" spans="1:10" x14ac:dyDescent="0.3">
      <c r="A209" t="s">
        <v>279</v>
      </c>
      <c r="B209" s="5">
        <v>42312</v>
      </c>
      <c r="C209" t="s">
        <v>11</v>
      </c>
      <c r="D209" t="s">
        <v>12</v>
      </c>
      <c r="E209" t="s">
        <v>17</v>
      </c>
      <c r="F209" t="s">
        <v>25</v>
      </c>
      <c r="G209">
        <v>7.75</v>
      </c>
      <c r="H209">
        <v>6</v>
      </c>
      <c r="I209">
        <v>46.5</v>
      </c>
      <c r="J209" t="s">
        <v>26</v>
      </c>
    </row>
    <row r="210" spans="1:10" x14ac:dyDescent="0.3">
      <c r="A210" t="s">
        <v>280</v>
      </c>
      <c r="B210" s="5">
        <v>42312</v>
      </c>
      <c r="C210" t="s">
        <v>20</v>
      </c>
      <c r="D210" t="s">
        <v>12</v>
      </c>
      <c r="E210" t="s">
        <v>21</v>
      </c>
      <c r="F210" t="s">
        <v>22</v>
      </c>
      <c r="G210">
        <v>18.399999999999999</v>
      </c>
      <c r="H210">
        <v>4</v>
      </c>
      <c r="I210">
        <v>73.599999999999994</v>
      </c>
      <c r="J210" t="s">
        <v>26</v>
      </c>
    </row>
    <row r="211" spans="1:10" x14ac:dyDescent="0.3">
      <c r="A211" t="s">
        <v>281</v>
      </c>
      <c r="B211" s="5">
        <v>42312</v>
      </c>
      <c r="C211" t="s">
        <v>28</v>
      </c>
      <c r="D211" t="s">
        <v>12</v>
      </c>
      <c r="E211" t="s">
        <v>34</v>
      </c>
      <c r="F211" t="s">
        <v>68</v>
      </c>
      <c r="G211">
        <v>14</v>
      </c>
      <c r="H211">
        <v>10</v>
      </c>
      <c r="I211">
        <v>140</v>
      </c>
      <c r="J211" t="s">
        <v>26</v>
      </c>
    </row>
    <row r="212" spans="1:10" x14ac:dyDescent="0.3">
      <c r="A212" t="s">
        <v>282</v>
      </c>
      <c r="B212" s="5">
        <v>42321</v>
      </c>
      <c r="C212" t="s">
        <v>11</v>
      </c>
      <c r="D212" t="s">
        <v>45</v>
      </c>
      <c r="E212" t="s">
        <v>17</v>
      </c>
      <c r="F212" t="s">
        <v>128</v>
      </c>
      <c r="G212">
        <v>4.5</v>
      </c>
      <c r="H212">
        <v>25</v>
      </c>
      <c r="I212">
        <v>112.5</v>
      </c>
      <c r="J212" t="s">
        <v>15</v>
      </c>
    </row>
    <row r="213" spans="1:10" x14ac:dyDescent="0.3">
      <c r="A213" t="s">
        <v>283</v>
      </c>
      <c r="B213" s="5">
        <v>42321</v>
      </c>
      <c r="C213" t="s">
        <v>11</v>
      </c>
      <c r="D213" t="s">
        <v>45</v>
      </c>
      <c r="E213" t="s">
        <v>21</v>
      </c>
      <c r="F213" t="s">
        <v>22</v>
      </c>
      <c r="G213">
        <v>19.5</v>
      </c>
      <c r="H213">
        <v>25</v>
      </c>
      <c r="I213">
        <v>487.5</v>
      </c>
      <c r="J213" t="s">
        <v>15</v>
      </c>
    </row>
    <row r="214" spans="1:10" x14ac:dyDescent="0.3">
      <c r="A214" t="s">
        <v>284</v>
      </c>
      <c r="B214" s="5">
        <v>42327</v>
      </c>
      <c r="C214" t="s">
        <v>11</v>
      </c>
      <c r="D214" t="s">
        <v>45</v>
      </c>
      <c r="E214" t="s">
        <v>13</v>
      </c>
      <c r="F214" t="s">
        <v>41</v>
      </c>
      <c r="G214">
        <v>34</v>
      </c>
      <c r="H214">
        <v>80</v>
      </c>
      <c r="I214">
        <v>2720</v>
      </c>
      <c r="J214" t="s">
        <v>26</v>
      </c>
    </row>
    <row r="215" spans="1:10" x14ac:dyDescent="0.3">
      <c r="A215" t="s">
        <v>285</v>
      </c>
      <c r="B215" s="5">
        <v>42327</v>
      </c>
      <c r="C215" t="s">
        <v>11</v>
      </c>
      <c r="D215" t="s">
        <v>45</v>
      </c>
      <c r="E215" t="s">
        <v>13</v>
      </c>
      <c r="F215" t="s">
        <v>99</v>
      </c>
      <c r="G215">
        <v>12.5</v>
      </c>
      <c r="H215">
        <v>70</v>
      </c>
      <c r="I215">
        <v>875</v>
      </c>
      <c r="J215" t="s">
        <v>26</v>
      </c>
    </row>
    <row r="216" spans="1:10" x14ac:dyDescent="0.3">
      <c r="A216" t="s">
        <v>286</v>
      </c>
      <c r="B216" s="5">
        <v>42327</v>
      </c>
      <c r="C216" t="s">
        <v>11</v>
      </c>
      <c r="D216" t="s">
        <v>45</v>
      </c>
      <c r="E216" t="s">
        <v>34</v>
      </c>
      <c r="F216" t="s">
        <v>94</v>
      </c>
      <c r="G216">
        <v>17.45</v>
      </c>
      <c r="H216">
        <v>56</v>
      </c>
      <c r="I216">
        <v>977.19999999999993</v>
      </c>
      <c r="J216" t="s">
        <v>26</v>
      </c>
    </row>
    <row r="217" spans="1:10" x14ac:dyDescent="0.3">
      <c r="A217" t="s">
        <v>287</v>
      </c>
      <c r="B217" s="5">
        <v>42332</v>
      </c>
      <c r="C217" t="s">
        <v>28</v>
      </c>
      <c r="D217" t="s">
        <v>45</v>
      </c>
      <c r="E217" t="s">
        <v>13</v>
      </c>
      <c r="F217" t="s">
        <v>186</v>
      </c>
      <c r="G217">
        <v>36</v>
      </c>
      <c r="H217">
        <v>30</v>
      </c>
      <c r="I217">
        <v>1080</v>
      </c>
      <c r="J217" t="s">
        <v>15</v>
      </c>
    </row>
    <row r="218" spans="1:10" x14ac:dyDescent="0.3">
      <c r="A218" t="s">
        <v>288</v>
      </c>
      <c r="B218" s="5">
        <v>42332</v>
      </c>
      <c r="C218" t="s">
        <v>28</v>
      </c>
      <c r="D218" t="s">
        <v>45</v>
      </c>
      <c r="E218" t="s">
        <v>13</v>
      </c>
      <c r="F218" t="s">
        <v>124</v>
      </c>
      <c r="G218">
        <v>21.5</v>
      </c>
      <c r="H218">
        <v>5</v>
      </c>
      <c r="I218">
        <v>107.5</v>
      </c>
      <c r="J218" t="s">
        <v>15</v>
      </c>
    </row>
    <row r="219" spans="1:10" x14ac:dyDescent="0.3">
      <c r="A219" t="s">
        <v>289</v>
      </c>
      <c r="B219" s="5">
        <v>42334</v>
      </c>
      <c r="C219" t="s">
        <v>31</v>
      </c>
      <c r="D219" t="s">
        <v>85</v>
      </c>
      <c r="E219" t="s">
        <v>21</v>
      </c>
      <c r="F219" t="s">
        <v>97</v>
      </c>
      <c r="G219">
        <v>13</v>
      </c>
      <c r="H219">
        <v>5</v>
      </c>
      <c r="I219">
        <v>65</v>
      </c>
      <c r="J219" t="s">
        <v>26</v>
      </c>
    </row>
    <row r="220" spans="1:10" x14ac:dyDescent="0.3">
      <c r="A220" t="s">
        <v>290</v>
      </c>
      <c r="B220" s="5">
        <v>42334</v>
      </c>
      <c r="C220" t="s">
        <v>31</v>
      </c>
      <c r="D220" t="s">
        <v>85</v>
      </c>
      <c r="E220" t="s">
        <v>21</v>
      </c>
      <c r="F220" t="s">
        <v>87</v>
      </c>
      <c r="G220">
        <v>21.05</v>
      </c>
      <c r="H220">
        <v>5</v>
      </c>
      <c r="I220">
        <v>105.25</v>
      </c>
      <c r="J220" t="s">
        <v>26</v>
      </c>
    </row>
    <row r="221" spans="1:10" x14ac:dyDescent="0.3">
      <c r="A221" t="s">
        <v>291</v>
      </c>
      <c r="B221" s="5">
        <v>42340</v>
      </c>
      <c r="C221" t="s">
        <v>11</v>
      </c>
      <c r="D221" t="s">
        <v>12</v>
      </c>
      <c r="E221" t="s">
        <v>17</v>
      </c>
      <c r="F221" t="s">
        <v>32</v>
      </c>
      <c r="G221">
        <v>263.5</v>
      </c>
      <c r="H221">
        <v>40</v>
      </c>
      <c r="I221">
        <v>10540</v>
      </c>
      <c r="J221" t="s">
        <v>26</v>
      </c>
    </row>
    <row r="222" spans="1:10" x14ac:dyDescent="0.3">
      <c r="A222" t="s">
        <v>292</v>
      </c>
      <c r="B222" s="5">
        <v>42340</v>
      </c>
      <c r="C222" t="s">
        <v>11</v>
      </c>
      <c r="D222" t="s">
        <v>12</v>
      </c>
      <c r="E222" t="s">
        <v>13</v>
      </c>
      <c r="F222" t="s">
        <v>41</v>
      </c>
      <c r="G222">
        <v>34</v>
      </c>
      <c r="H222">
        <v>70</v>
      </c>
      <c r="I222">
        <v>2380</v>
      </c>
      <c r="J222" t="s">
        <v>26</v>
      </c>
    </row>
    <row r="223" spans="1:10" x14ac:dyDescent="0.3">
      <c r="A223" t="s">
        <v>293</v>
      </c>
      <c r="B223" s="5">
        <v>42340</v>
      </c>
      <c r="C223" t="s">
        <v>11</v>
      </c>
      <c r="D223" t="s">
        <v>12</v>
      </c>
      <c r="E223" t="s">
        <v>13</v>
      </c>
      <c r="F223" t="s">
        <v>56</v>
      </c>
      <c r="G223">
        <v>34.799999999999997</v>
      </c>
      <c r="H223">
        <v>42</v>
      </c>
      <c r="I223">
        <v>1461.6</v>
      </c>
      <c r="J223" t="s">
        <v>26</v>
      </c>
    </row>
    <row r="224" spans="1:10" x14ac:dyDescent="0.3">
      <c r="A224" t="s">
        <v>294</v>
      </c>
      <c r="B224" s="5">
        <v>42340</v>
      </c>
      <c r="C224" t="s">
        <v>28</v>
      </c>
      <c r="D224" t="s">
        <v>12</v>
      </c>
      <c r="E224" t="s">
        <v>34</v>
      </c>
      <c r="F224" t="s">
        <v>35</v>
      </c>
      <c r="G224">
        <v>81</v>
      </c>
      <c r="H224">
        <v>12</v>
      </c>
      <c r="I224">
        <v>972</v>
      </c>
      <c r="J224" t="s">
        <v>26</v>
      </c>
    </row>
    <row r="225" spans="1:10" x14ac:dyDescent="0.3">
      <c r="A225" t="s">
        <v>295</v>
      </c>
      <c r="B225" s="5">
        <v>42345</v>
      </c>
      <c r="C225" t="s">
        <v>20</v>
      </c>
      <c r="D225" t="s">
        <v>45</v>
      </c>
      <c r="E225" t="s">
        <v>17</v>
      </c>
      <c r="F225" t="s">
        <v>37</v>
      </c>
      <c r="G225">
        <v>18</v>
      </c>
      <c r="H225">
        <v>20</v>
      </c>
      <c r="I225">
        <v>360</v>
      </c>
      <c r="J225" t="s">
        <v>26</v>
      </c>
    </row>
    <row r="226" spans="1:10" x14ac:dyDescent="0.3">
      <c r="A226" t="s">
        <v>296</v>
      </c>
      <c r="B226" s="5">
        <v>42345</v>
      </c>
      <c r="C226" t="s">
        <v>11</v>
      </c>
      <c r="D226" t="s">
        <v>45</v>
      </c>
      <c r="E226" t="s">
        <v>17</v>
      </c>
      <c r="F226" t="s">
        <v>54</v>
      </c>
      <c r="G226">
        <v>45.6</v>
      </c>
      <c r="H226">
        <v>20</v>
      </c>
      <c r="I226">
        <v>912</v>
      </c>
      <c r="J226" t="s">
        <v>26</v>
      </c>
    </row>
    <row r="227" spans="1:10" x14ac:dyDescent="0.3">
      <c r="A227" t="s">
        <v>297</v>
      </c>
      <c r="B227" s="5">
        <v>42347</v>
      </c>
      <c r="C227" t="s">
        <v>28</v>
      </c>
      <c r="D227" t="s">
        <v>12</v>
      </c>
      <c r="E227" t="s">
        <v>21</v>
      </c>
      <c r="F227" t="s">
        <v>87</v>
      </c>
      <c r="G227">
        <v>21.05</v>
      </c>
      <c r="H227">
        <v>20</v>
      </c>
      <c r="I227">
        <v>421</v>
      </c>
      <c r="J227" t="s">
        <v>15</v>
      </c>
    </row>
    <row r="228" spans="1:10" x14ac:dyDescent="0.3">
      <c r="A228" t="s">
        <v>298</v>
      </c>
      <c r="B228" s="5">
        <v>42347</v>
      </c>
      <c r="C228" t="s">
        <v>20</v>
      </c>
      <c r="D228" t="s">
        <v>12</v>
      </c>
      <c r="E228" t="s">
        <v>21</v>
      </c>
      <c r="F228" t="s">
        <v>299</v>
      </c>
      <c r="G228">
        <v>43.9</v>
      </c>
      <c r="H228">
        <v>16</v>
      </c>
      <c r="I228">
        <v>702.4</v>
      </c>
      <c r="J228" t="s">
        <v>15</v>
      </c>
    </row>
    <row r="229" spans="1:10" x14ac:dyDescent="0.3">
      <c r="A229" t="s">
        <v>300</v>
      </c>
      <c r="B229" s="5">
        <v>42347</v>
      </c>
      <c r="C229" t="s">
        <v>11</v>
      </c>
      <c r="D229" t="s">
        <v>12</v>
      </c>
      <c r="E229" t="s">
        <v>34</v>
      </c>
      <c r="F229" t="s">
        <v>64</v>
      </c>
      <c r="G229">
        <v>9.65</v>
      </c>
      <c r="H229">
        <v>8</v>
      </c>
      <c r="I229">
        <v>77.2</v>
      </c>
      <c r="J229" t="s">
        <v>15</v>
      </c>
    </row>
    <row r="230" spans="1:10" x14ac:dyDescent="0.3">
      <c r="A230" t="s">
        <v>301</v>
      </c>
      <c r="B230" s="5">
        <v>42352</v>
      </c>
      <c r="C230" t="s">
        <v>20</v>
      </c>
      <c r="D230" t="s">
        <v>45</v>
      </c>
      <c r="E230" t="s">
        <v>51</v>
      </c>
      <c r="F230" t="s">
        <v>81</v>
      </c>
      <c r="G230">
        <v>38</v>
      </c>
      <c r="H230">
        <v>20</v>
      </c>
      <c r="I230">
        <v>760</v>
      </c>
      <c r="J230" t="s">
        <v>26</v>
      </c>
    </row>
    <row r="231" spans="1:10" x14ac:dyDescent="0.3">
      <c r="A231" t="s">
        <v>302</v>
      </c>
      <c r="B231" s="5">
        <v>42352</v>
      </c>
      <c r="C231" t="s">
        <v>20</v>
      </c>
      <c r="D231" t="s">
        <v>45</v>
      </c>
      <c r="E231" t="s">
        <v>13</v>
      </c>
      <c r="F231" t="s">
        <v>14</v>
      </c>
      <c r="G231">
        <v>6</v>
      </c>
      <c r="H231">
        <v>20</v>
      </c>
      <c r="I231">
        <v>120</v>
      </c>
      <c r="J231" t="s">
        <v>26</v>
      </c>
    </row>
    <row r="232" spans="1:10" x14ac:dyDescent="0.3">
      <c r="A232" t="s">
        <v>303</v>
      </c>
      <c r="B232" s="5">
        <v>42352</v>
      </c>
      <c r="C232" t="s">
        <v>31</v>
      </c>
      <c r="D232" t="s">
        <v>45</v>
      </c>
      <c r="E232" t="s">
        <v>34</v>
      </c>
      <c r="F232" t="s">
        <v>64</v>
      </c>
      <c r="G232">
        <v>16.25</v>
      </c>
      <c r="H232">
        <v>15</v>
      </c>
      <c r="I232">
        <v>243.75</v>
      </c>
      <c r="J232" t="s">
        <v>26</v>
      </c>
    </row>
    <row r="233" spans="1:10" x14ac:dyDescent="0.3">
      <c r="A233" t="s">
        <v>304</v>
      </c>
      <c r="B233" s="5">
        <v>42354</v>
      </c>
      <c r="C233" t="s">
        <v>28</v>
      </c>
      <c r="D233" t="s">
        <v>12</v>
      </c>
      <c r="E233" t="s">
        <v>17</v>
      </c>
      <c r="F233" t="s">
        <v>128</v>
      </c>
      <c r="G233">
        <v>4.5</v>
      </c>
      <c r="H233">
        <v>15</v>
      </c>
      <c r="I233">
        <v>67.5</v>
      </c>
      <c r="J233" t="s">
        <v>26</v>
      </c>
    </row>
    <row r="234" spans="1:10" x14ac:dyDescent="0.3">
      <c r="A234" t="s">
        <v>305</v>
      </c>
      <c r="B234" s="5">
        <v>42354</v>
      </c>
      <c r="C234" t="s">
        <v>28</v>
      </c>
      <c r="D234" t="s">
        <v>12</v>
      </c>
      <c r="E234" t="s">
        <v>17</v>
      </c>
      <c r="F234" t="s">
        <v>144</v>
      </c>
      <c r="G234">
        <v>14</v>
      </c>
      <c r="H234">
        <v>10</v>
      </c>
      <c r="I234">
        <v>140</v>
      </c>
      <c r="J234" t="s">
        <v>26</v>
      </c>
    </row>
    <row r="235" spans="1:10" x14ac:dyDescent="0.3">
      <c r="A235" t="s">
        <v>306</v>
      </c>
      <c r="B235" s="5">
        <v>42355</v>
      </c>
      <c r="C235" t="s">
        <v>20</v>
      </c>
      <c r="D235" t="s">
        <v>45</v>
      </c>
      <c r="E235" t="s">
        <v>51</v>
      </c>
      <c r="F235" t="s">
        <v>138</v>
      </c>
      <c r="G235">
        <v>32.799999999999997</v>
      </c>
      <c r="H235">
        <v>40</v>
      </c>
      <c r="I235">
        <v>1312</v>
      </c>
      <c r="J235" t="s">
        <v>15</v>
      </c>
    </row>
    <row r="236" spans="1:10" x14ac:dyDescent="0.3">
      <c r="A236" t="s">
        <v>307</v>
      </c>
      <c r="B236" s="5">
        <v>42355</v>
      </c>
      <c r="C236" t="s">
        <v>11</v>
      </c>
      <c r="D236" t="s">
        <v>45</v>
      </c>
      <c r="E236" t="s">
        <v>21</v>
      </c>
      <c r="F236" t="s">
        <v>22</v>
      </c>
      <c r="G236">
        <v>7</v>
      </c>
      <c r="H236">
        <v>20</v>
      </c>
      <c r="I236">
        <v>140</v>
      </c>
      <c r="J236" t="s">
        <v>15</v>
      </c>
    </row>
    <row r="237" spans="1:10" x14ac:dyDescent="0.3">
      <c r="A237" t="s">
        <v>308</v>
      </c>
      <c r="B237" s="5">
        <v>42355</v>
      </c>
      <c r="C237" t="s">
        <v>20</v>
      </c>
      <c r="D237" t="s">
        <v>45</v>
      </c>
      <c r="E237" t="s">
        <v>13</v>
      </c>
      <c r="F237" t="s">
        <v>14</v>
      </c>
      <c r="G237">
        <v>9.5</v>
      </c>
      <c r="H237">
        <v>15</v>
      </c>
      <c r="I237">
        <v>142.5</v>
      </c>
      <c r="J237" t="s">
        <v>15</v>
      </c>
    </row>
    <row r="238" spans="1:10" x14ac:dyDescent="0.3">
      <c r="A238" t="s">
        <v>309</v>
      </c>
      <c r="B238" s="5">
        <v>42368</v>
      </c>
      <c r="C238" t="s">
        <v>31</v>
      </c>
      <c r="D238" t="s">
        <v>45</v>
      </c>
      <c r="E238" t="s">
        <v>17</v>
      </c>
      <c r="F238" t="s">
        <v>72</v>
      </c>
      <c r="G238">
        <v>18</v>
      </c>
      <c r="H238">
        <v>35</v>
      </c>
      <c r="I238">
        <v>630</v>
      </c>
      <c r="J238" t="s">
        <v>26</v>
      </c>
    </row>
    <row r="239" spans="1:10" x14ac:dyDescent="0.3">
      <c r="A239" t="s">
        <v>310</v>
      </c>
      <c r="B239" s="5">
        <v>42368</v>
      </c>
      <c r="C239" t="s">
        <v>20</v>
      </c>
      <c r="D239" t="s">
        <v>45</v>
      </c>
      <c r="E239" t="s">
        <v>51</v>
      </c>
      <c r="F239" t="s">
        <v>52</v>
      </c>
      <c r="G239">
        <v>123.79</v>
      </c>
      <c r="H239">
        <v>21</v>
      </c>
      <c r="I239">
        <v>2599.59</v>
      </c>
      <c r="J239" t="s">
        <v>26</v>
      </c>
    </row>
    <row r="240" spans="1:10" x14ac:dyDescent="0.3">
      <c r="A240" t="s">
        <v>311</v>
      </c>
      <c r="B240" s="5">
        <v>42368</v>
      </c>
      <c r="C240" t="s">
        <v>31</v>
      </c>
      <c r="D240" t="s">
        <v>45</v>
      </c>
      <c r="E240" t="s">
        <v>34</v>
      </c>
      <c r="F240" t="s">
        <v>75</v>
      </c>
      <c r="G240">
        <v>20</v>
      </c>
      <c r="H240">
        <v>30</v>
      </c>
      <c r="I240">
        <v>600</v>
      </c>
      <c r="J240" t="s">
        <v>26</v>
      </c>
    </row>
    <row r="241" spans="1:10" x14ac:dyDescent="0.3">
      <c r="A241" t="s">
        <v>312</v>
      </c>
      <c r="B241" s="5">
        <v>42009</v>
      </c>
      <c r="C241" t="s">
        <v>11</v>
      </c>
      <c r="D241" t="s">
        <v>12</v>
      </c>
      <c r="E241" t="s">
        <v>13</v>
      </c>
      <c r="F241" t="s">
        <v>14</v>
      </c>
      <c r="G241">
        <v>45.6</v>
      </c>
      <c r="H241">
        <v>42</v>
      </c>
      <c r="I241">
        <v>1915.2</v>
      </c>
      <c r="J241" t="s">
        <v>15</v>
      </c>
    </row>
    <row r="242" spans="1:10" x14ac:dyDescent="0.3">
      <c r="A242" t="s">
        <v>313</v>
      </c>
      <c r="B242" s="5">
        <v>42009</v>
      </c>
      <c r="C242" t="s">
        <v>20</v>
      </c>
      <c r="D242" t="s">
        <v>12</v>
      </c>
      <c r="E242" t="s">
        <v>21</v>
      </c>
      <c r="F242" t="s">
        <v>22</v>
      </c>
      <c r="G242">
        <v>19</v>
      </c>
      <c r="H242">
        <v>5</v>
      </c>
      <c r="I242">
        <v>95</v>
      </c>
      <c r="J242" t="s">
        <v>15</v>
      </c>
    </row>
    <row r="243" spans="1:10" x14ac:dyDescent="0.3">
      <c r="A243" t="s">
        <v>314</v>
      </c>
      <c r="B243" s="5">
        <v>42009</v>
      </c>
      <c r="C243" t="s">
        <v>20</v>
      </c>
      <c r="D243" t="s">
        <v>12</v>
      </c>
      <c r="E243" t="s">
        <v>21</v>
      </c>
      <c r="F243" t="s">
        <v>22</v>
      </c>
      <c r="G243">
        <v>18.399999999999999</v>
      </c>
      <c r="H243">
        <v>2</v>
      </c>
      <c r="I243">
        <v>36.799999999999997</v>
      </c>
      <c r="J243" t="s">
        <v>15</v>
      </c>
    </row>
    <row r="244" spans="1:10" x14ac:dyDescent="0.3">
      <c r="A244" t="s">
        <v>42</v>
      </c>
      <c r="B244" s="5">
        <v>42009</v>
      </c>
      <c r="C244" t="s">
        <v>20</v>
      </c>
      <c r="D244" t="s">
        <v>12</v>
      </c>
      <c r="E244" t="s">
        <v>34</v>
      </c>
      <c r="F244" t="s">
        <v>241</v>
      </c>
      <c r="G244">
        <v>10</v>
      </c>
      <c r="H244">
        <v>30</v>
      </c>
      <c r="I244">
        <v>300</v>
      </c>
      <c r="J244" t="s">
        <v>15</v>
      </c>
    </row>
    <row r="245" spans="1:10" x14ac:dyDescent="0.3">
      <c r="A245" t="s">
        <v>315</v>
      </c>
      <c r="B245" s="5">
        <v>42011</v>
      </c>
      <c r="C245" t="s">
        <v>20</v>
      </c>
      <c r="D245" t="s">
        <v>24</v>
      </c>
      <c r="E245" t="s">
        <v>17</v>
      </c>
      <c r="F245" t="s">
        <v>54</v>
      </c>
      <c r="G245">
        <v>23.25</v>
      </c>
      <c r="H245">
        <v>12</v>
      </c>
      <c r="I245">
        <v>279</v>
      </c>
      <c r="J245" t="s">
        <v>15</v>
      </c>
    </row>
    <row r="246" spans="1:10" x14ac:dyDescent="0.3">
      <c r="A246" t="s">
        <v>316</v>
      </c>
      <c r="B246" s="5">
        <v>42011</v>
      </c>
      <c r="C246" t="s">
        <v>20</v>
      </c>
      <c r="D246" t="s">
        <v>24</v>
      </c>
      <c r="E246" t="s">
        <v>34</v>
      </c>
      <c r="F246" t="s">
        <v>241</v>
      </c>
      <c r="G246">
        <v>10</v>
      </c>
      <c r="H246">
        <v>12</v>
      </c>
      <c r="I246">
        <v>120</v>
      </c>
      <c r="J246" t="s">
        <v>15</v>
      </c>
    </row>
    <row r="247" spans="1:10" x14ac:dyDescent="0.3">
      <c r="A247" t="s">
        <v>317</v>
      </c>
      <c r="B247" s="5">
        <v>42016</v>
      </c>
      <c r="C247" t="s">
        <v>11</v>
      </c>
      <c r="D247" t="s">
        <v>12</v>
      </c>
      <c r="E247" t="s">
        <v>13</v>
      </c>
      <c r="F247" t="s">
        <v>113</v>
      </c>
      <c r="G247">
        <v>2.5</v>
      </c>
      <c r="H247">
        <v>50</v>
      </c>
      <c r="I247">
        <v>125</v>
      </c>
      <c r="J247" t="s">
        <v>26</v>
      </c>
    </row>
    <row r="248" spans="1:10" x14ac:dyDescent="0.3">
      <c r="A248" t="s">
        <v>318</v>
      </c>
      <c r="B248" s="5">
        <v>42016</v>
      </c>
      <c r="C248" t="s">
        <v>28</v>
      </c>
      <c r="D248" t="s">
        <v>12</v>
      </c>
      <c r="E248" t="s">
        <v>34</v>
      </c>
      <c r="F248" t="s">
        <v>188</v>
      </c>
      <c r="G248">
        <v>9.1999999999999993</v>
      </c>
      <c r="H248">
        <v>18</v>
      </c>
      <c r="I248">
        <v>165.6</v>
      </c>
      <c r="J248" t="s">
        <v>26</v>
      </c>
    </row>
    <row r="249" spans="1:10" x14ac:dyDescent="0.3">
      <c r="A249" t="s">
        <v>319</v>
      </c>
      <c r="B249" s="5">
        <v>42023</v>
      </c>
      <c r="C249" t="s">
        <v>31</v>
      </c>
      <c r="D249" t="s">
        <v>12</v>
      </c>
      <c r="E249" t="s">
        <v>17</v>
      </c>
      <c r="F249" t="s">
        <v>54</v>
      </c>
      <c r="G249">
        <v>15</v>
      </c>
      <c r="H249">
        <v>8</v>
      </c>
      <c r="I249">
        <v>120</v>
      </c>
      <c r="J249" t="s">
        <v>15</v>
      </c>
    </row>
    <row r="250" spans="1:10" x14ac:dyDescent="0.3">
      <c r="A250" t="s">
        <v>320</v>
      </c>
      <c r="B250" s="5">
        <v>42023</v>
      </c>
      <c r="C250" t="s">
        <v>11</v>
      </c>
      <c r="D250" t="s">
        <v>12</v>
      </c>
      <c r="E250" t="s">
        <v>21</v>
      </c>
      <c r="F250" t="s">
        <v>22</v>
      </c>
      <c r="G250">
        <v>15</v>
      </c>
      <c r="H250">
        <v>20</v>
      </c>
      <c r="I250">
        <v>300</v>
      </c>
      <c r="J250" t="s">
        <v>15</v>
      </c>
    </row>
    <row r="251" spans="1:10" x14ac:dyDescent="0.3">
      <c r="A251" t="s">
        <v>321</v>
      </c>
      <c r="B251" s="5">
        <v>42023</v>
      </c>
      <c r="C251" t="s">
        <v>28</v>
      </c>
      <c r="D251" t="s">
        <v>12</v>
      </c>
      <c r="E251" t="s">
        <v>34</v>
      </c>
      <c r="F251" t="s">
        <v>64</v>
      </c>
      <c r="G251">
        <v>6</v>
      </c>
      <c r="H251">
        <v>2</v>
      </c>
      <c r="I251">
        <v>12</v>
      </c>
      <c r="J251" t="s">
        <v>15</v>
      </c>
    </row>
    <row r="252" spans="1:10" x14ac:dyDescent="0.3">
      <c r="A252" t="s">
        <v>322</v>
      </c>
      <c r="B252" s="5">
        <v>42023</v>
      </c>
      <c r="C252" t="s">
        <v>20</v>
      </c>
      <c r="D252" t="s">
        <v>12</v>
      </c>
      <c r="E252" t="s">
        <v>51</v>
      </c>
      <c r="F252" t="s">
        <v>138</v>
      </c>
      <c r="G252">
        <v>32.799999999999997</v>
      </c>
      <c r="H252">
        <v>15</v>
      </c>
      <c r="I252">
        <v>491.99999999999994</v>
      </c>
      <c r="J252" t="s">
        <v>15</v>
      </c>
    </row>
    <row r="253" spans="1:10" x14ac:dyDescent="0.3">
      <c r="A253" t="s">
        <v>323</v>
      </c>
      <c r="B253" s="5">
        <v>42023</v>
      </c>
      <c r="C253" t="s">
        <v>11</v>
      </c>
      <c r="D253" t="s">
        <v>12</v>
      </c>
      <c r="E253" t="s">
        <v>21</v>
      </c>
      <c r="F253" t="s">
        <v>97</v>
      </c>
      <c r="G253">
        <v>13</v>
      </c>
      <c r="H253">
        <v>10</v>
      </c>
      <c r="I253">
        <v>130</v>
      </c>
      <c r="J253" t="s">
        <v>15</v>
      </c>
    </row>
    <row r="254" spans="1:10" x14ac:dyDescent="0.3">
      <c r="A254" t="s">
        <v>324</v>
      </c>
      <c r="B254" s="5">
        <v>42023</v>
      </c>
      <c r="C254" t="s">
        <v>11</v>
      </c>
      <c r="D254" t="s">
        <v>12</v>
      </c>
      <c r="E254" t="s">
        <v>34</v>
      </c>
      <c r="F254" t="s">
        <v>77</v>
      </c>
      <c r="G254">
        <v>31.23</v>
      </c>
      <c r="H254">
        <v>30</v>
      </c>
      <c r="I254">
        <v>936.9</v>
      </c>
      <c r="J254" t="s">
        <v>15</v>
      </c>
    </row>
    <row r="255" spans="1:10" x14ac:dyDescent="0.3">
      <c r="A255" t="s">
        <v>325</v>
      </c>
      <c r="B255" s="5">
        <v>42023</v>
      </c>
      <c r="C255" t="s">
        <v>20</v>
      </c>
      <c r="D255" t="s">
        <v>12</v>
      </c>
      <c r="E255" t="s">
        <v>34</v>
      </c>
      <c r="F255" t="s">
        <v>188</v>
      </c>
      <c r="G255">
        <v>9.1999999999999993</v>
      </c>
      <c r="H255">
        <v>4</v>
      </c>
      <c r="I255">
        <v>36.799999999999997</v>
      </c>
      <c r="J255" t="s">
        <v>15</v>
      </c>
    </row>
    <row r="256" spans="1:10" x14ac:dyDescent="0.3">
      <c r="A256" t="s">
        <v>326</v>
      </c>
      <c r="B256" s="5">
        <v>42025</v>
      </c>
      <c r="C256" t="s">
        <v>11</v>
      </c>
      <c r="D256" t="s">
        <v>12</v>
      </c>
      <c r="E256" t="s">
        <v>13</v>
      </c>
      <c r="F256" t="s">
        <v>66</v>
      </c>
      <c r="G256">
        <v>55</v>
      </c>
      <c r="H256">
        <v>20</v>
      </c>
      <c r="I256">
        <v>1100</v>
      </c>
      <c r="J256" t="s">
        <v>26</v>
      </c>
    </row>
    <row r="257" spans="1:10" x14ac:dyDescent="0.3">
      <c r="A257" t="s">
        <v>327</v>
      </c>
      <c r="B257" s="5">
        <v>42025</v>
      </c>
      <c r="C257" t="s">
        <v>20</v>
      </c>
      <c r="D257" t="s">
        <v>12</v>
      </c>
      <c r="E257" t="s">
        <v>13</v>
      </c>
      <c r="F257" t="s">
        <v>99</v>
      </c>
      <c r="G257">
        <v>12.5</v>
      </c>
      <c r="H257">
        <v>14</v>
      </c>
      <c r="I257">
        <v>175</v>
      </c>
      <c r="J257" t="s">
        <v>26</v>
      </c>
    </row>
    <row r="258" spans="1:10" x14ac:dyDescent="0.3">
      <c r="A258" t="s">
        <v>328</v>
      </c>
      <c r="B258" s="5">
        <v>42029</v>
      </c>
      <c r="C258" t="s">
        <v>11</v>
      </c>
      <c r="D258" t="s">
        <v>85</v>
      </c>
      <c r="E258" t="s">
        <v>34</v>
      </c>
      <c r="F258" t="s">
        <v>64</v>
      </c>
      <c r="G258">
        <v>33.25</v>
      </c>
      <c r="H258">
        <v>7</v>
      </c>
      <c r="I258">
        <v>232.75</v>
      </c>
      <c r="J258" t="s">
        <v>15</v>
      </c>
    </row>
    <row r="259" spans="1:10" x14ac:dyDescent="0.3">
      <c r="A259" t="s">
        <v>329</v>
      </c>
      <c r="B259" s="5">
        <v>42029</v>
      </c>
      <c r="C259" t="s">
        <v>11</v>
      </c>
      <c r="D259" t="s">
        <v>85</v>
      </c>
      <c r="E259" t="s">
        <v>13</v>
      </c>
      <c r="F259" t="s">
        <v>14</v>
      </c>
      <c r="G259">
        <v>38</v>
      </c>
      <c r="H259">
        <v>5</v>
      </c>
      <c r="I259">
        <v>190</v>
      </c>
      <c r="J259" t="s">
        <v>15</v>
      </c>
    </row>
    <row r="260" spans="1:10" x14ac:dyDescent="0.3">
      <c r="A260" t="s">
        <v>330</v>
      </c>
      <c r="B260" s="5">
        <v>42037</v>
      </c>
      <c r="C260" t="s">
        <v>31</v>
      </c>
      <c r="D260" t="s">
        <v>45</v>
      </c>
      <c r="E260" t="s">
        <v>17</v>
      </c>
      <c r="F260" t="s">
        <v>18</v>
      </c>
      <c r="G260">
        <v>19</v>
      </c>
      <c r="H260">
        <v>10</v>
      </c>
      <c r="I260">
        <v>190</v>
      </c>
      <c r="J260" t="s">
        <v>26</v>
      </c>
    </row>
    <row r="261" spans="1:10" x14ac:dyDescent="0.3">
      <c r="A261" t="s">
        <v>331</v>
      </c>
      <c r="B261" s="5">
        <v>42037</v>
      </c>
      <c r="C261" t="s">
        <v>31</v>
      </c>
      <c r="D261" t="s">
        <v>45</v>
      </c>
      <c r="E261" t="s">
        <v>13</v>
      </c>
      <c r="F261" t="s">
        <v>14</v>
      </c>
      <c r="G261">
        <v>21</v>
      </c>
      <c r="H261">
        <v>12</v>
      </c>
      <c r="I261">
        <v>252</v>
      </c>
      <c r="J261" t="s">
        <v>26</v>
      </c>
    </row>
    <row r="262" spans="1:10" x14ac:dyDescent="0.3">
      <c r="A262" t="s">
        <v>332</v>
      </c>
      <c r="B262" s="5">
        <v>42037</v>
      </c>
      <c r="C262" t="s">
        <v>31</v>
      </c>
      <c r="D262" t="s">
        <v>45</v>
      </c>
      <c r="E262" t="s">
        <v>13</v>
      </c>
      <c r="F262" t="s">
        <v>56</v>
      </c>
      <c r="G262">
        <v>34.799999999999997</v>
      </c>
      <c r="H262">
        <v>10</v>
      </c>
      <c r="I262">
        <v>348</v>
      </c>
      <c r="J262" t="s">
        <v>26</v>
      </c>
    </row>
    <row r="263" spans="1:10" x14ac:dyDescent="0.3">
      <c r="A263" t="s">
        <v>333</v>
      </c>
      <c r="B263" s="5">
        <v>42047</v>
      </c>
      <c r="C263" t="s">
        <v>20</v>
      </c>
      <c r="D263" t="s">
        <v>12</v>
      </c>
      <c r="E263" t="s">
        <v>21</v>
      </c>
      <c r="F263" t="s">
        <v>87</v>
      </c>
      <c r="G263">
        <v>21.05</v>
      </c>
      <c r="H263">
        <v>35</v>
      </c>
      <c r="I263">
        <v>736.75</v>
      </c>
      <c r="J263" t="s">
        <v>26</v>
      </c>
    </row>
    <row r="264" spans="1:10" x14ac:dyDescent="0.3">
      <c r="A264" t="s">
        <v>334</v>
      </c>
      <c r="B264" s="5">
        <v>42047</v>
      </c>
      <c r="C264" t="s">
        <v>20</v>
      </c>
      <c r="D264" t="s">
        <v>12</v>
      </c>
      <c r="E264" t="s">
        <v>13</v>
      </c>
      <c r="F264" t="s">
        <v>124</v>
      </c>
      <c r="G264">
        <v>21.5</v>
      </c>
      <c r="H264">
        <v>2</v>
      </c>
      <c r="I264">
        <v>43</v>
      </c>
      <c r="J264" t="s">
        <v>26</v>
      </c>
    </row>
    <row r="265" spans="1:10" x14ac:dyDescent="0.3">
      <c r="A265" t="s">
        <v>335</v>
      </c>
      <c r="B265" s="5">
        <v>42047</v>
      </c>
      <c r="C265" t="s">
        <v>28</v>
      </c>
      <c r="D265" t="s">
        <v>12</v>
      </c>
      <c r="E265" t="s">
        <v>34</v>
      </c>
      <c r="F265" t="s">
        <v>188</v>
      </c>
      <c r="G265">
        <v>9.1999999999999993</v>
      </c>
      <c r="H265">
        <v>40</v>
      </c>
      <c r="I265">
        <v>368</v>
      </c>
      <c r="J265" t="s">
        <v>26</v>
      </c>
    </row>
    <row r="266" spans="1:10" x14ac:dyDescent="0.3">
      <c r="A266" t="s">
        <v>336</v>
      </c>
      <c r="B266" s="5">
        <v>42050</v>
      </c>
      <c r="C266" t="s">
        <v>11</v>
      </c>
      <c r="D266" t="s">
        <v>24</v>
      </c>
      <c r="E266" t="s">
        <v>51</v>
      </c>
      <c r="F266" t="s">
        <v>81</v>
      </c>
      <c r="G266">
        <v>18.399999999999999</v>
      </c>
      <c r="H266">
        <v>20</v>
      </c>
      <c r="I266">
        <v>368</v>
      </c>
      <c r="J266" t="s">
        <v>26</v>
      </c>
    </row>
    <row r="267" spans="1:10" x14ac:dyDescent="0.3">
      <c r="A267" t="s">
        <v>337</v>
      </c>
      <c r="B267" s="5">
        <v>42054</v>
      </c>
      <c r="C267" t="s">
        <v>11</v>
      </c>
      <c r="D267" t="s">
        <v>45</v>
      </c>
      <c r="E267" t="s">
        <v>17</v>
      </c>
      <c r="F267" t="s">
        <v>54</v>
      </c>
      <c r="G267">
        <v>15</v>
      </c>
      <c r="H267">
        <v>25</v>
      </c>
      <c r="I267">
        <v>375</v>
      </c>
      <c r="J267" t="s">
        <v>26</v>
      </c>
    </row>
    <row r="268" spans="1:10" x14ac:dyDescent="0.3">
      <c r="A268" t="s">
        <v>338</v>
      </c>
      <c r="B268" s="5">
        <v>42054</v>
      </c>
      <c r="C268" t="s">
        <v>31</v>
      </c>
      <c r="D268" t="s">
        <v>45</v>
      </c>
      <c r="E268" t="s">
        <v>34</v>
      </c>
      <c r="F268" t="s">
        <v>339</v>
      </c>
      <c r="G268">
        <v>12.75</v>
      </c>
      <c r="H268">
        <v>15</v>
      </c>
      <c r="I268">
        <v>191.25</v>
      </c>
      <c r="J268" t="s">
        <v>26</v>
      </c>
    </row>
    <row r="269" spans="1:10" x14ac:dyDescent="0.3">
      <c r="A269" t="s">
        <v>340</v>
      </c>
      <c r="B269" s="5">
        <v>42064</v>
      </c>
      <c r="C269" t="s">
        <v>28</v>
      </c>
      <c r="D269" t="s">
        <v>45</v>
      </c>
      <c r="E269" t="s">
        <v>17</v>
      </c>
      <c r="F269" t="s">
        <v>54</v>
      </c>
      <c r="G269">
        <v>9</v>
      </c>
      <c r="H269">
        <v>21</v>
      </c>
      <c r="I269">
        <v>189</v>
      </c>
      <c r="J269" t="s">
        <v>15</v>
      </c>
    </row>
    <row r="270" spans="1:10" x14ac:dyDescent="0.3">
      <c r="A270" t="s">
        <v>341</v>
      </c>
      <c r="B270" s="5">
        <v>42064</v>
      </c>
      <c r="C270" t="s">
        <v>11</v>
      </c>
      <c r="D270" t="s">
        <v>45</v>
      </c>
      <c r="E270" t="s">
        <v>21</v>
      </c>
      <c r="F270" t="s">
        <v>22</v>
      </c>
      <c r="G270">
        <v>6</v>
      </c>
      <c r="H270">
        <v>1</v>
      </c>
      <c r="I270">
        <v>6</v>
      </c>
      <c r="J270" t="s">
        <v>15</v>
      </c>
    </row>
    <row r="271" spans="1:10" x14ac:dyDescent="0.3">
      <c r="A271" t="s">
        <v>342</v>
      </c>
      <c r="B271" s="5">
        <v>42067</v>
      </c>
      <c r="C271" t="s">
        <v>28</v>
      </c>
      <c r="D271" t="s">
        <v>12</v>
      </c>
      <c r="E271" t="s">
        <v>13</v>
      </c>
      <c r="F271" t="s">
        <v>14</v>
      </c>
      <c r="G271">
        <v>21</v>
      </c>
      <c r="H271">
        <v>10</v>
      </c>
      <c r="I271">
        <v>210</v>
      </c>
      <c r="J271" t="s">
        <v>15</v>
      </c>
    </row>
    <row r="272" spans="1:10" x14ac:dyDescent="0.3">
      <c r="A272" t="s">
        <v>343</v>
      </c>
      <c r="B272" s="5">
        <v>42067</v>
      </c>
      <c r="C272" t="s">
        <v>20</v>
      </c>
      <c r="D272" t="s">
        <v>12</v>
      </c>
      <c r="E272" t="s">
        <v>21</v>
      </c>
      <c r="F272" t="s">
        <v>22</v>
      </c>
      <c r="G272">
        <v>12</v>
      </c>
      <c r="H272">
        <v>5</v>
      </c>
      <c r="I272">
        <v>60</v>
      </c>
      <c r="J272" t="s">
        <v>15</v>
      </c>
    </row>
    <row r="273" spans="1:10" x14ac:dyDescent="0.3">
      <c r="A273" t="s">
        <v>344</v>
      </c>
      <c r="B273" s="5">
        <v>42072</v>
      </c>
      <c r="C273" t="s">
        <v>28</v>
      </c>
      <c r="D273" t="s">
        <v>45</v>
      </c>
      <c r="E273" t="s">
        <v>34</v>
      </c>
      <c r="F273" t="s">
        <v>64</v>
      </c>
      <c r="G273">
        <v>30</v>
      </c>
      <c r="H273">
        <v>30</v>
      </c>
      <c r="I273">
        <v>900</v>
      </c>
      <c r="J273" t="s">
        <v>26</v>
      </c>
    </row>
    <row r="274" spans="1:10" x14ac:dyDescent="0.3">
      <c r="A274" t="s">
        <v>345</v>
      </c>
      <c r="B274" s="5">
        <v>42072</v>
      </c>
      <c r="C274" t="s">
        <v>11</v>
      </c>
      <c r="D274" t="s">
        <v>45</v>
      </c>
      <c r="E274" t="s">
        <v>51</v>
      </c>
      <c r="F274" t="s">
        <v>81</v>
      </c>
      <c r="G274">
        <v>38</v>
      </c>
      <c r="H274">
        <v>20</v>
      </c>
      <c r="I274">
        <v>760</v>
      </c>
      <c r="J274" t="s">
        <v>26</v>
      </c>
    </row>
    <row r="275" spans="1:10" x14ac:dyDescent="0.3">
      <c r="A275" t="s">
        <v>346</v>
      </c>
      <c r="B275" s="5">
        <v>42073</v>
      </c>
      <c r="C275" t="s">
        <v>11</v>
      </c>
      <c r="D275" t="s">
        <v>45</v>
      </c>
      <c r="E275" t="s">
        <v>17</v>
      </c>
      <c r="F275" t="s">
        <v>128</v>
      </c>
      <c r="G275">
        <v>4.5</v>
      </c>
      <c r="H275">
        <v>80</v>
      </c>
      <c r="I275">
        <v>360</v>
      </c>
      <c r="J275" t="s">
        <v>15</v>
      </c>
    </row>
    <row r="276" spans="1:10" x14ac:dyDescent="0.3">
      <c r="A276" t="s">
        <v>347</v>
      </c>
      <c r="B276" s="5">
        <v>42073</v>
      </c>
      <c r="C276" t="s">
        <v>20</v>
      </c>
      <c r="D276" t="s">
        <v>45</v>
      </c>
      <c r="E276" t="s">
        <v>21</v>
      </c>
      <c r="F276" t="s">
        <v>22</v>
      </c>
      <c r="G276">
        <v>53</v>
      </c>
      <c r="H276">
        <v>18</v>
      </c>
      <c r="I276">
        <v>954</v>
      </c>
      <c r="J276" t="s">
        <v>15</v>
      </c>
    </row>
    <row r="277" spans="1:10" x14ac:dyDescent="0.3">
      <c r="A277" t="s">
        <v>348</v>
      </c>
      <c r="B277" s="5">
        <v>42074</v>
      </c>
      <c r="C277" t="s">
        <v>20</v>
      </c>
      <c r="D277" t="s">
        <v>45</v>
      </c>
      <c r="E277" t="s">
        <v>13</v>
      </c>
      <c r="F277" t="s">
        <v>113</v>
      </c>
      <c r="G277">
        <v>2.5</v>
      </c>
      <c r="H277">
        <v>12</v>
      </c>
      <c r="I277">
        <v>30</v>
      </c>
      <c r="J277" t="s">
        <v>26</v>
      </c>
    </row>
    <row r="278" spans="1:10" x14ac:dyDescent="0.3">
      <c r="A278" t="s">
        <v>349</v>
      </c>
      <c r="B278" s="5">
        <v>42074</v>
      </c>
      <c r="C278" t="s">
        <v>20</v>
      </c>
      <c r="D278" t="s">
        <v>45</v>
      </c>
      <c r="E278" t="s">
        <v>13</v>
      </c>
      <c r="F278" t="s">
        <v>124</v>
      </c>
      <c r="G278">
        <v>21.5</v>
      </c>
      <c r="H278">
        <v>12</v>
      </c>
      <c r="I278">
        <v>258</v>
      </c>
      <c r="J278" t="s">
        <v>26</v>
      </c>
    </row>
    <row r="279" spans="1:10" x14ac:dyDescent="0.3">
      <c r="A279" t="s">
        <v>350</v>
      </c>
      <c r="B279" s="5">
        <v>42081</v>
      </c>
      <c r="C279" t="s">
        <v>31</v>
      </c>
      <c r="D279" t="s">
        <v>12</v>
      </c>
      <c r="E279" t="s">
        <v>13</v>
      </c>
      <c r="F279" t="s">
        <v>41</v>
      </c>
      <c r="G279">
        <v>34</v>
      </c>
      <c r="H279">
        <v>40</v>
      </c>
      <c r="I279">
        <v>1360</v>
      </c>
      <c r="J279" t="s">
        <v>26</v>
      </c>
    </row>
    <row r="280" spans="1:10" x14ac:dyDescent="0.3">
      <c r="A280" t="s">
        <v>351</v>
      </c>
      <c r="B280" s="5">
        <v>42081</v>
      </c>
      <c r="C280" t="s">
        <v>28</v>
      </c>
      <c r="D280" t="s">
        <v>12</v>
      </c>
      <c r="E280" t="s">
        <v>34</v>
      </c>
      <c r="F280" t="s">
        <v>75</v>
      </c>
      <c r="G280">
        <v>20</v>
      </c>
      <c r="H280">
        <v>24</v>
      </c>
      <c r="I280">
        <v>480</v>
      </c>
      <c r="J280" t="s">
        <v>26</v>
      </c>
    </row>
    <row r="281" spans="1:10" x14ac:dyDescent="0.3">
      <c r="A281" t="s">
        <v>352</v>
      </c>
      <c r="B281" s="5">
        <v>42085</v>
      </c>
      <c r="C281" t="s">
        <v>11</v>
      </c>
      <c r="D281" t="s">
        <v>45</v>
      </c>
      <c r="E281" t="s">
        <v>51</v>
      </c>
      <c r="F281" t="s">
        <v>81</v>
      </c>
      <c r="G281">
        <v>53</v>
      </c>
      <c r="H281">
        <v>3</v>
      </c>
      <c r="I281">
        <v>159</v>
      </c>
      <c r="J281" t="s">
        <v>26</v>
      </c>
    </row>
    <row r="282" spans="1:10" x14ac:dyDescent="0.3">
      <c r="A282" t="s">
        <v>353</v>
      </c>
      <c r="B282" s="5">
        <v>42085</v>
      </c>
      <c r="C282" t="s">
        <v>31</v>
      </c>
      <c r="D282" t="s">
        <v>45</v>
      </c>
      <c r="E282" t="s">
        <v>17</v>
      </c>
      <c r="F282" t="s">
        <v>54</v>
      </c>
      <c r="G282">
        <v>18.399999999999999</v>
      </c>
      <c r="H282">
        <v>10</v>
      </c>
      <c r="I282">
        <v>184</v>
      </c>
      <c r="J282" t="s">
        <v>26</v>
      </c>
    </row>
    <row r="283" spans="1:10" x14ac:dyDescent="0.3">
      <c r="A283" t="s">
        <v>354</v>
      </c>
      <c r="B283" s="5">
        <v>42085</v>
      </c>
      <c r="C283" t="s">
        <v>31</v>
      </c>
      <c r="D283" t="s">
        <v>45</v>
      </c>
      <c r="E283" t="s">
        <v>34</v>
      </c>
      <c r="F283" t="s">
        <v>241</v>
      </c>
      <c r="G283">
        <v>10</v>
      </c>
      <c r="H283">
        <v>14</v>
      </c>
      <c r="I283">
        <v>140</v>
      </c>
      <c r="J283" t="s">
        <v>26</v>
      </c>
    </row>
    <row r="284" spans="1:10" x14ac:dyDescent="0.3">
      <c r="A284" t="s">
        <v>355</v>
      </c>
      <c r="B284" s="5">
        <v>42087</v>
      </c>
      <c r="C284" t="s">
        <v>31</v>
      </c>
      <c r="D284" t="s">
        <v>12</v>
      </c>
      <c r="E284" t="s">
        <v>51</v>
      </c>
      <c r="F284" t="s">
        <v>268</v>
      </c>
      <c r="G284">
        <v>7.45</v>
      </c>
      <c r="H284">
        <v>24</v>
      </c>
      <c r="I284">
        <v>178.8</v>
      </c>
      <c r="J284" t="s">
        <v>26</v>
      </c>
    </row>
    <row r="285" spans="1:10" x14ac:dyDescent="0.3">
      <c r="A285" t="s">
        <v>356</v>
      </c>
      <c r="B285" s="5">
        <v>42087</v>
      </c>
      <c r="C285" t="s">
        <v>20</v>
      </c>
      <c r="D285" t="s">
        <v>12</v>
      </c>
      <c r="E285" t="s">
        <v>34</v>
      </c>
      <c r="F285" t="s">
        <v>188</v>
      </c>
      <c r="G285">
        <v>9.1999999999999993</v>
      </c>
      <c r="H285">
        <v>5</v>
      </c>
      <c r="I285">
        <v>46</v>
      </c>
      <c r="J285" t="s">
        <v>26</v>
      </c>
    </row>
    <row r="286" spans="1:10" x14ac:dyDescent="0.3">
      <c r="A286" t="s">
        <v>357</v>
      </c>
      <c r="B286" s="5">
        <v>42094</v>
      </c>
      <c r="C286" t="s">
        <v>20</v>
      </c>
      <c r="D286" t="s">
        <v>12</v>
      </c>
      <c r="E286" t="s">
        <v>17</v>
      </c>
      <c r="F286" t="s">
        <v>54</v>
      </c>
      <c r="G286">
        <v>38</v>
      </c>
      <c r="H286">
        <v>30</v>
      </c>
      <c r="I286">
        <v>1140</v>
      </c>
      <c r="J286" t="s">
        <v>26</v>
      </c>
    </row>
    <row r="287" spans="1:10" x14ac:dyDescent="0.3">
      <c r="A287" t="s">
        <v>358</v>
      </c>
      <c r="B287" s="5">
        <v>42096</v>
      </c>
      <c r="C287" t="s">
        <v>31</v>
      </c>
      <c r="D287" t="s">
        <v>12</v>
      </c>
      <c r="E287" t="s">
        <v>13</v>
      </c>
      <c r="F287" t="s">
        <v>99</v>
      </c>
      <c r="G287">
        <v>12.5</v>
      </c>
      <c r="H287">
        <v>20</v>
      </c>
      <c r="I287">
        <v>250</v>
      </c>
      <c r="J287" t="s">
        <v>26</v>
      </c>
    </row>
    <row r="288" spans="1:10" x14ac:dyDescent="0.3">
      <c r="A288" t="s">
        <v>359</v>
      </c>
      <c r="B288" s="5">
        <v>42113</v>
      </c>
      <c r="C288" t="s">
        <v>28</v>
      </c>
      <c r="D288" t="s">
        <v>12</v>
      </c>
      <c r="E288" t="s">
        <v>17</v>
      </c>
      <c r="F288" t="s">
        <v>128</v>
      </c>
      <c r="G288">
        <v>4.5</v>
      </c>
      <c r="H288">
        <v>10</v>
      </c>
      <c r="I288">
        <v>45</v>
      </c>
      <c r="J288" t="s">
        <v>26</v>
      </c>
    </row>
    <row r="289" spans="1:10" x14ac:dyDescent="0.3">
      <c r="A289" t="s">
        <v>360</v>
      </c>
      <c r="B289" s="5">
        <v>42113</v>
      </c>
      <c r="C289" t="s">
        <v>28</v>
      </c>
      <c r="D289" t="s">
        <v>12</v>
      </c>
      <c r="E289" t="s">
        <v>13</v>
      </c>
      <c r="F289" t="s">
        <v>41</v>
      </c>
      <c r="G289">
        <v>34</v>
      </c>
      <c r="H289">
        <v>12</v>
      </c>
      <c r="I289">
        <v>408</v>
      </c>
      <c r="J289" t="s">
        <v>26</v>
      </c>
    </row>
    <row r="290" spans="1:10" x14ac:dyDescent="0.3">
      <c r="A290" t="s">
        <v>361</v>
      </c>
      <c r="B290" s="5">
        <v>42113</v>
      </c>
      <c r="C290" t="s">
        <v>11</v>
      </c>
      <c r="D290" t="s">
        <v>12</v>
      </c>
      <c r="E290" t="s">
        <v>51</v>
      </c>
      <c r="F290" t="s">
        <v>81</v>
      </c>
      <c r="G290">
        <v>12</v>
      </c>
      <c r="H290">
        <v>9</v>
      </c>
      <c r="I290">
        <v>108</v>
      </c>
      <c r="J290" t="s">
        <v>26</v>
      </c>
    </row>
    <row r="291" spans="1:10" x14ac:dyDescent="0.3">
      <c r="A291" t="s">
        <v>362</v>
      </c>
      <c r="B291" s="5">
        <v>42113</v>
      </c>
      <c r="C291" t="s">
        <v>11</v>
      </c>
      <c r="D291" t="s">
        <v>12</v>
      </c>
      <c r="E291" t="s">
        <v>34</v>
      </c>
      <c r="F291" t="s">
        <v>136</v>
      </c>
      <c r="G291">
        <v>9.5</v>
      </c>
      <c r="H291">
        <v>6</v>
      </c>
      <c r="I291">
        <v>57</v>
      </c>
      <c r="J291" t="s">
        <v>26</v>
      </c>
    </row>
    <row r="292" spans="1:10" x14ac:dyDescent="0.3">
      <c r="A292" t="s">
        <v>363</v>
      </c>
      <c r="B292" s="5">
        <v>42116</v>
      </c>
      <c r="C292" t="s">
        <v>28</v>
      </c>
      <c r="D292" t="s">
        <v>45</v>
      </c>
      <c r="E292" t="s">
        <v>17</v>
      </c>
      <c r="F292" t="s">
        <v>54</v>
      </c>
      <c r="G292">
        <v>15</v>
      </c>
      <c r="H292">
        <v>6</v>
      </c>
      <c r="I292">
        <v>90</v>
      </c>
      <c r="J292" t="s">
        <v>26</v>
      </c>
    </row>
    <row r="293" spans="1:10" x14ac:dyDescent="0.3">
      <c r="A293" t="s">
        <v>364</v>
      </c>
      <c r="B293" s="5">
        <v>42116</v>
      </c>
      <c r="C293" t="s">
        <v>28</v>
      </c>
      <c r="D293" t="s">
        <v>45</v>
      </c>
      <c r="E293" t="s">
        <v>13</v>
      </c>
      <c r="F293" t="s">
        <v>14</v>
      </c>
      <c r="G293">
        <v>7</v>
      </c>
      <c r="H293">
        <v>6</v>
      </c>
      <c r="I293">
        <v>42</v>
      </c>
      <c r="J293" t="s">
        <v>26</v>
      </c>
    </row>
    <row r="294" spans="1:10" x14ac:dyDescent="0.3">
      <c r="A294" t="s">
        <v>365</v>
      </c>
      <c r="B294" s="5">
        <v>42116</v>
      </c>
      <c r="C294" t="s">
        <v>11</v>
      </c>
      <c r="D294" t="s">
        <v>45</v>
      </c>
      <c r="E294" t="s">
        <v>13</v>
      </c>
      <c r="F294" t="s">
        <v>66</v>
      </c>
      <c r="G294">
        <v>55</v>
      </c>
      <c r="H294">
        <v>4</v>
      </c>
      <c r="I294">
        <v>220</v>
      </c>
      <c r="J294" t="s">
        <v>26</v>
      </c>
    </row>
    <row r="295" spans="1:10" x14ac:dyDescent="0.3">
      <c r="A295" t="s">
        <v>366</v>
      </c>
      <c r="B295" s="5">
        <v>42121</v>
      </c>
      <c r="C295" t="s">
        <v>31</v>
      </c>
      <c r="D295" t="s">
        <v>24</v>
      </c>
      <c r="E295" t="s">
        <v>34</v>
      </c>
      <c r="F295" t="s">
        <v>64</v>
      </c>
      <c r="G295">
        <v>9.65</v>
      </c>
      <c r="H295">
        <v>10</v>
      </c>
      <c r="I295">
        <v>96.5</v>
      </c>
      <c r="J295" t="s">
        <v>26</v>
      </c>
    </row>
    <row r="296" spans="1:10" x14ac:dyDescent="0.3">
      <c r="A296" t="s">
        <v>367</v>
      </c>
      <c r="B296" s="5">
        <v>42121</v>
      </c>
      <c r="C296" t="s">
        <v>20</v>
      </c>
      <c r="D296" t="s">
        <v>24</v>
      </c>
      <c r="E296" t="s">
        <v>17</v>
      </c>
      <c r="F296" t="s">
        <v>72</v>
      </c>
      <c r="G296">
        <v>18</v>
      </c>
      <c r="H296">
        <v>3</v>
      </c>
      <c r="I296">
        <v>54</v>
      </c>
      <c r="J296" t="s">
        <v>26</v>
      </c>
    </row>
    <row r="297" spans="1:10" x14ac:dyDescent="0.3">
      <c r="A297" t="s">
        <v>368</v>
      </c>
      <c r="B297" s="5">
        <v>42121</v>
      </c>
      <c r="C297" t="s">
        <v>11</v>
      </c>
      <c r="D297" t="s">
        <v>24</v>
      </c>
      <c r="E297" t="s">
        <v>34</v>
      </c>
      <c r="F297" t="s">
        <v>43</v>
      </c>
      <c r="G297">
        <v>12.5</v>
      </c>
      <c r="H297">
        <v>60</v>
      </c>
      <c r="I297">
        <v>750</v>
      </c>
      <c r="J297" t="s">
        <v>26</v>
      </c>
    </row>
    <row r="298" spans="1:10" x14ac:dyDescent="0.3">
      <c r="A298" t="s">
        <v>369</v>
      </c>
      <c r="B298" s="5">
        <v>42123</v>
      </c>
      <c r="C298" t="s">
        <v>28</v>
      </c>
      <c r="D298" t="s">
        <v>45</v>
      </c>
      <c r="E298" t="s">
        <v>51</v>
      </c>
      <c r="F298" t="s">
        <v>118</v>
      </c>
      <c r="G298">
        <v>39</v>
      </c>
      <c r="H298">
        <v>25</v>
      </c>
      <c r="I298">
        <v>975</v>
      </c>
      <c r="J298" t="s">
        <v>26</v>
      </c>
    </row>
    <row r="299" spans="1:10" x14ac:dyDescent="0.3">
      <c r="A299" t="s">
        <v>370</v>
      </c>
      <c r="B299" s="5">
        <v>42123</v>
      </c>
      <c r="C299" t="s">
        <v>20</v>
      </c>
      <c r="D299" t="s">
        <v>45</v>
      </c>
      <c r="E299" t="s">
        <v>17</v>
      </c>
      <c r="F299" t="s">
        <v>54</v>
      </c>
      <c r="G299">
        <v>26</v>
      </c>
      <c r="H299">
        <v>18</v>
      </c>
      <c r="I299">
        <v>468</v>
      </c>
      <c r="J299" t="s">
        <v>26</v>
      </c>
    </row>
    <row r="300" spans="1:10" x14ac:dyDescent="0.3">
      <c r="A300" t="s">
        <v>371</v>
      </c>
      <c r="B300" s="5">
        <v>42123</v>
      </c>
      <c r="C300" t="s">
        <v>28</v>
      </c>
      <c r="D300" t="s">
        <v>45</v>
      </c>
      <c r="E300" t="s">
        <v>13</v>
      </c>
      <c r="F300" t="s">
        <v>14</v>
      </c>
      <c r="G300">
        <v>9.65</v>
      </c>
      <c r="H300">
        <v>6</v>
      </c>
      <c r="I300">
        <v>57.900000000000006</v>
      </c>
      <c r="J300" t="s">
        <v>26</v>
      </c>
    </row>
    <row r="301" spans="1:10" x14ac:dyDescent="0.3">
      <c r="A301" t="s">
        <v>372</v>
      </c>
      <c r="B301" s="5">
        <v>42123</v>
      </c>
      <c r="C301" t="s">
        <v>20</v>
      </c>
      <c r="D301" t="s">
        <v>45</v>
      </c>
      <c r="E301" t="s">
        <v>34</v>
      </c>
      <c r="F301" t="s">
        <v>35</v>
      </c>
      <c r="G301">
        <v>81</v>
      </c>
      <c r="H301">
        <v>15</v>
      </c>
      <c r="I301">
        <v>1215</v>
      </c>
      <c r="J301" t="s">
        <v>26</v>
      </c>
    </row>
    <row r="302" spans="1:10" x14ac:dyDescent="0.3">
      <c r="A302" t="s">
        <v>373</v>
      </c>
      <c r="B302" s="5">
        <v>42130</v>
      </c>
      <c r="C302" t="s">
        <v>31</v>
      </c>
      <c r="D302" t="s">
        <v>24</v>
      </c>
      <c r="E302" t="s">
        <v>13</v>
      </c>
      <c r="F302" t="s">
        <v>66</v>
      </c>
      <c r="G302">
        <v>55</v>
      </c>
      <c r="H302">
        <v>50</v>
      </c>
      <c r="I302">
        <v>2750</v>
      </c>
      <c r="J302" t="s">
        <v>15</v>
      </c>
    </row>
    <row r="303" spans="1:10" x14ac:dyDescent="0.3">
      <c r="A303" t="s">
        <v>374</v>
      </c>
      <c r="B303" s="5">
        <v>42131</v>
      </c>
      <c r="C303" t="s">
        <v>28</v>
      </c>
      <c r="D303" t="s">
        <v>45</v>
      </c>
      <c r="E303" t="s">
        <v>21</v>
      </c>
      <c r="F303" t="s">
        <v>375</v>
      </c>
      <c r="G303">
        <v>17</v>
      </c>
      <c r="H303">
        <v>24</v>
      </c>
      <c r="I303">
        <v>408</v>
      </c>
      <c r="J303" t="s">
        <v>26</v>
      </c>
    </row>
    <row r="304" spans="1:10" x14ac:dyDescent="0.3">
      <c r="A304" t="s">
        <v>376</v>
      </c>
      <c r="B304" s="5">
        <v>42131</v>
      </c>
      <c r="C304" t="s">
        <v>20</v>
      </c>
      <c r="D304" t="s">
        <v>45</v>
      </c>
      <c r="E304" t="s">
        <v>34</v>
      </c>
      <c r="F304" t="s">
        <v>64</v>
      </c>
      <c r="G304">
        <v>25.89</v>
      </c>
      <c r="H304">
        <v>15</v>
      </c>
      <c r="I304">
        <v>388.35</v>
      </c>
      <c r="J304" t="s">
        <v>26</v>
      </c>
    </row>
    <row r="305" spans="1:10" x14ac:dyDescent="0.3">
      <c r="A305" t="s">
        <v>377</v>
      </c>
      <c r="B305" s="5">
        <v>42137</v>
      </c>
      <c r="C305" t="s">
        <v>28</v>
      </c>
      <c r="D305" t="s">
        <v>45</v>
      </c>
      <c r="E305" t="s">
        <v>17</v>
      </c>
      <c r="F305" t="s">
        <v>54</v>
      </c>
      <c r="G305">
        <v>15</v>
      </c>
      <c r="H305">
        <v>7</v>
      </c>
      <c r="I305">
        <v>105</v>
      </c>
      <c r="J305" t="s">
        <v>26</v>
      </c>
    </row>
    <row r="306" spans="1:10" x14ac:dyDescent="0.3">
      <c r="A306" t="s">
        <v>378</v>
      </c>
      <c r="B306" s="5">
        <v>42137</v>
      </c>
      <c r="C306" t="s">
        <v>11</v>
      </c>
      <c r="D306" t="s">
        <v>45</v>
      </c>
      <c r="E306" t="s">
        <v>13</v>
      </c>
      <c r="F306" t="s">
        <v>56</v>
      </c>
      <c r="G306">
        <v>34.799999999999997</v>
      </c>
      <c r="H306">
        <v>1</v>
      </c>
      <c r="I306">
        <v>34.799999999999997</v>
      </c>
      <c r="J306" t="s">
        <v>26</v>
      </c>
    </row>
    <row r="307" spans="1:10" x14ac:dyDescent="0.3">
      <c r="A307" t="s">
        <v>379</v>
      </c>
      <c r="B307" s="5">
        <v>42138</v>
      </c>
      <c r="C307" t="s">
        <v>20</v>
      </c>
      <c r="D307" t="s">
        <v>45</v>
      </c>
      <c r="E307" t="s">
        <v>13</v>
      </c>
      <c r="F307" t="s">
        <v>113</v>
      </c>
      <c r="G307">
        <v>2.5</v>
      </c>
      <c r="H307">
        <v>15</v>
      </c>
      <c r="I307">
        <v>37.5</v>
      </c>
      <c r="J307" t="s">
        <v>26</v>
      </c>
    </row>
    <row r="308" spans="1:10" x14ac:dyDescent="0.3">
      <c r="A308" t="s">
        <v>380</v>
      </c>
      <c r="B308" s="5">
        <v>42138</v>
      </c>
      <c r="C308" t="s">
        <v>28</v>
      </c>
      <c r="D308" t="s">
        <v>45</v>
      </c>
      <c r="E308" t="s">
        <v>34</v>
      </c>
      <c r="F308" t="s">
        <v>64</v>
      </c>
      <c r="G308">
        <v>6</v>
      </c>
      <c r="H308">
        <v>8</v>
      </c>
      <c r="I308">
        <v>48</v>
      </c>
      <c r="J308" t="s">
        <v>26</v>
      </c>
    </row>
    <row r="309" spans="1:10" x14ac:dyDescent="0.3">
      <c r="A309" t="s">
        <v>381</v>
      </c>
      <c r="B309" s="5">
        <v>42138</v>
      </c>
      <c r="C309" t="s">
        <v>20</v>
      </c>
      <c r="D309" t="s">
        <v>45</v>
      </c>
      <c r="E309" t="s">
        <v>34</v>
      </c>
      <c r="F309" t="s">
        <v>241</v>
      </c>
      <c r="G309">
        <v>10</v>
      </c>
      <c r="H309">
        <v>15</v>
      </c>
      <c r="I309">
        <v>150</v>
      </c>
      <c r="J309" t="s">
        <v>26</v>
      </c>
    </row>
    <row r="310" spans="1:10" x14ac:dyDescent="0.3">
      <c r="A310" t="s">
        <v>382</v>
      </c>
      <c r="B310" s="5">
        <v>42138</v>
      </c>
      <c r="C310" t="s">
        <v>28</v>
      </c>
      <c r="D310" t="s">
        <v>45</v>
      </c>
      <c r="E310" t="s">
        <v>34</v>
      </c>
      <c r="F310" t="s">
        <v>75</v>
      </c>
      <c r="G310">
        <v>20</v>
      </c>
      <c r="H310">
        <v>6</v>
      </c>
      <c r="I310">
        <v>120</v>
      </c>
      <c r="J310" t="s">
        <v>26</v>
      </c>
    </row>
    <row r="311" spans="1:10" x14ac:dyDescent="0.3">
      <c r="A311" t="s">
        <v>383</v>
      </c>
      <c r="B311" s="5">
        <v>42141</v>
      </c>
      <c r="C311" t="s">
        <v>20</v>
      </c>
      <c r="D311" t="s">
        <v>24</v>
      </c>
      <c r="E311" t="s">
        <v>17</v>
      </c>
      <c r="F311" t="s">
        <v>32</v>
      </c>
      <c r="G311">
        <v>263.5</v>
      </c>
      <c r="H311">
        <v>4</v>
      </c>
      <c r="I311">
        <v>1054</v>
      </c>
      <c r="J311" t="s">
        <v>15</v>
      </c>
    </row>
    <row r="312" spans="1:10" x14ac:dyDescent="0.3">
      <c r="A312" t="s">
        <v>127</v>
      </c>
      <c r="B312" s="5">
        <v>42141</v>
      </c>
      <c r="C312" t="s">
        <v>20</v>
      </c>
      <c r="D312" t="s">
        <v>12</v>
      </c>
      <c r="E312" t="s">
        <v>17</v>
      </c>
      <c r="F312" t="s">
        <v>128</v>
      </c>
      <c r="G312">
        <v>4.5</v>
      </c>
      <c r="H312">
        <v>35</v>
      </c>
      <c r="I312">
        <v>157.5</v>
      </c>
      <c r="J312" t="s">
        <v>15</v>
      </c>
    </row>
    <row r="313" spans="1:10" x14ac:dyDescent="0.3">
      <c r="A313" t="s">
        <v>384</v>
      </c>
      <c r="B313" s="5">
        <v>42141</v>
      </c>
      <c r="C313" t="s">
        <v>31</v>
      </c>
      <c r="D313" t="s">
        <v>12</v>
      </c>
      <c r="E313" t="s">
        <v>21</v>
      </c>
      <c r="F313" t="s">
        <v>87</v>
      </c>
      <c r="G313">
        <v>21.05</v>
      </c>
      <c r="H313">
        <v>36</v>
      </c>
      <c r="I313">
        <v>757.80000000000007</v>
      </c>
      <c r="J313" t="s">
        <v>15</v>
      </c>
    </row>
    <row r="314" spans="1:10" x14ac:dyDescent="0.3">
      <c r="A314" t="s">
        <v>385</v>
      </c>
      <c r="B314" s="5">
        <v>42145</v>
      </c>
      <c r="C314" t="s">
        <v>28</v>
      </c>
      <c r="D314" t="s">
        <v>45</v>
      </c>
      <c r="E314" t="s">
        <v>13</v>
      </c>
      <c r="F314" t="s">
        <v>121</v>
      </c>
      <c r="G314">
        <v>32</v>
      </c>
      <c r="H314">
        <v>24</v>
      </c>
      <c r="I314">
        <v>768</v>
      </c>
      <c r="J314" t="s">
        <v>26</v>
      </c>
    </row>
    <row r="315" spans="1:10" x14ac:dyDescent="0.3">
      <c r="A315" t="s">
        <v>386</v>
      </c>
      <c r="B315" s="5">
        <v>42145</v>
      </c>
      <c r="C315" t="s">
        <v>11</v>
      </c>
      <c r="D315" t="s">
        <v>45</v>
      </c>
      <c r="E315" t="s">
        <v>21</v>
      </c>
      <c r="F315" t="s">
        <v>22</v>
      </c>
      <c r="G315">
        <v>19</v>
      </c>
      <c r="H315">
        <v>60</v>
      </c>
      <c r="I315">
        <v>1140</v>
      </c>
      <c r="J315" t="s">
        <v>26</v>
      </c>
    </row>
    <row r="316" spans="1:10" x14ac:dyDescent="0.3">
      <c r="A316" t="s">
        <v>387</v>
      </c>
      <c r="B316" s="5">
        <v>42150</v>
      </c>
      <c r="C316" t="s">
        <v>31</v>
      </c>
      <c r="D316" t="s">
        <v>85</v>
      </c>
      <c r="E316" t="s">
        <v>51</v>
      </c>
      <c r="F316" t="s">
        <v>118</v>
      </c>
      <c r="G316">
        <v>39</v>
      </c>
      <c r="H316">
        <v>8</v>
      </c>
      <c r="I316">
        <v>312</v>
      </c>
      <c r="J316" t="s">
        <v>26</v>
      </c>
    </row>
    <row r="317" spans="1:10" x14ac:dyDescent="0.3">
      <c r="A317" t="s">
        <v>388</v>
      </c>
      <c r="B317" s="5">
        <v>42150</v>
      </c>
      <c r="C317" t="s">
        <v>20</v>
      </c>
      <c r="D317" t="s">
        <v>85</v>
      </c>
      <c r="E317" t="s">
        <v>21</v>
      </c>
      <c r="F317" t="s">
        <v>22</v>
      </c>
      <c r="G317">
        <v>28.5</v>
      </c>
      <c r="H317">
        <v>10</v>
      </c>
      <c r="I317">
        <v>285</v>
      </c>
      <c r="J317" t="s">
        <v>26</v>
      </c>
    </row>
    <row r="318" spans="1:10" x14ac:dyDescent="0.3">
      <c r="A318" t="s">
        <v>389</v>
      </c>
      <c r="B318" s="5">
        <v>42150</v>
      </c>
      <c r="C318" t="s">
        <v>20</v>
      </c>
      <c r="D318" t="s">
        <v>85</v>
      </c>
      <c r="E318" t="s">
        <v>34</v>
      </c>
      <c r="F318" t="s">
        <v>188</v>
      </c>
      <c r="G318">
        <v>9.1999999999999993</v>
      </c>
      <c r="H318">
        <v>10</v>
      </c>
      <c r="I318">
        <v>92</v>
      </c>
      <c r="J318" t="s">
        <v>26</v>
      </c>
    </row>
    <row r="319" spans="1:10" x14ac:dyDescent="0.3">
      <c r="A319" t="s">
        <v>390</v>
      </c>
      <c r="B319" s="5">
        <v>42150</v>
      </c>
      <c r="C319" t="s">
        <v>31</v>
      </c>
      <c r="D319" t="s">
        <v>85</v>
      </c>
      <c r="E319" t="s">
        <v>34</v>
      </c>
      <c r="F319" t="s">
        <v>241</v>
      </c>
      <c r="G319">
        <v>10</v>
      </c>
      <c r="H319">
        <v>6</v>
      </c>
      <c r="I319">
        <v>60</v>
      </c>
      <c r="J319" t="s">
        <v>26</v>
      </c>
    </row>
    <row r="320" spans="1:10" x14ac:dyDescent="0.3">
      <c r="A320" t="s">
        <v>391</v>
      </c>
      <c r="B320" s="5">
        <v>42157</v>
      </c>
      <c r="C320" t="s">
        <v>20</v>
      </c>
      <c r="D320" t="s">
        <v>45</v>
      </c>
      <c r="E320" t="s">
        <v>51</v>
      </c>
      <c r="F320" t="s">
        <v>138</v>
      </c>
      <c r="G320">
        <v>32.799999999999997</v>
      </c>
      <c r="H320">
        <v>18</v>
      </c>
      <c r="I320">
        <v>590.4</v>
      </c>
      <c r="J320" t="s">
        <v>26</v>
      </c>
    </row>
    <row r="321" spans="1:10" x14ac:dyDescent="0.3">
      <c r="A321" t="s">
        <v>392</v>
      </c>
      <c r="B321" s="5">
        <v>42157</v>
      </c>
      <c r="C321" t="s">
        <v>20</v>
      </c>
      <c r="D321" t="s">
        <v>45</v>
      </c>
      <c r="E321" t="s">
        <v>34</v>
      </c>
      <c r="F321" t="s">
        <v>64</v>
      </c>
      <c r="G321">
        <v>53</v>
      </c>
      <c r="H321">
        <v>20</v>
      </c>
      <c r="I321">
        <v>1060</v>
      </c>
      <c r="J321" t="s">
        <v>26</v>
      </c>
    </row>
    <row r="322" spans="1:10" x14ac:dyDescent="0.3">
      <c r="A322" t="s">
        <v>393</v>
      </c>
      <c r="B322" s="5">
        <v>42157</v>
      </c>
      <c r="C322" t="s">
        <v>11</v>
      </c>
      <c r="D322" t="s">
        <v>45</v>
      </c>
      <c r="E322" t="s">
        <v>13</v>
      </c>
      <c r="F322" t="s">
        <v>14</v>
      </c>
      <c r="G322">
        <v>7</v>
      </c>
      <c r="H322">
        <v>30</v>
      </c>
      <c r="I322">
        <v>210</v>
      </c>
      <c r="J322" t="s">
        <v>26</v>
      </c>
    </row>
    <row r="323" spans="1:10" x14ac:dyDescent="0.3">
      <c r="A323" t="s">
        <v>394</v>
      </c>
      <c r="B323" s="5">
        <v>42157</v>
      </c>
      <c r="C323" t="s">
        <v>28</v>
      </c>
      <c r="D323" t="s">
        <v>45</v>
      </c>
      <c r="E323" t="s">
        <v>17</v>
      </c>
      <c r="F323" t="s">
        <v>54</v>
      </c>
      <c r="G323">
        <v>15</v>
      </c>
      <c r="H323">
        <v>3</v>
      </c>
      <c r="I323">
        <v>45</v>
      </c>
      <c r="J323" t="s">
        <v>26</v>
      </c>
    </row>
    <row r="324" spans="1:10" x14ac:dyDescent="0.3">
      <c r="A324" t="s">
        <v>395</v>
      </c>
      <c r="B324" s="5">
        <v>42157</v>
      </c>
      <c r="C324" t="s">
        <v>11</v>
      </c>
      <c r="D324" t="s">
        <v>45</v>
      </c>
      <c r="E324" t="s">
        <v>34</v>
      </c>
      <c r="F324" t="s">
        <v>136</v>
      </c>
      <c r="G324">
        <v>9.5</v>
      </c>
      <c r="H324">
        <v>25</v>
      </c>
      <c r="I324">
        <v>237.5</v>
      </c>
      <c r="J324" t="s">
        <v>26</v>
      </c>
    </row>
    <row r="325" spans="1:10" x14ac:dyDescent="0.3">
      <c r="A325" t="s">
        <v>396</v>
      </c>
      <c r="B325" s="5">
        <v>42163</v>
      </c>
      <c r="C325" t="s">
        <v>28</v>
      </c>
      <c r="D325" t="s">
        <v>12</v>
      </c>
      <c r="E325" t="s">
        <v>51</v>
      </c>
      <c r="F325" t="s">
        <v>81</v>
      </c>
      <c r="G325">
        <v>7</v>
      </c>
      <c r="H325">
        <v>70</v>
      </c>
      <c r="I325">
        <v>490</v>
      </c>
      <c r="J325" t="s">
        <v>26</v>
      </c>
    </row>
    <row r="326" spans="1:10" x14ac:dyDescent="0.3">
      <c r="A326" t="s">
        <v>397</v>
      </c>
      <c r="B326" s="5">
        <v>42163</v>
      </c>
      <c r="C326" t="s">
        <v>11</v>
      </c>
      <c r="D326" t="s">
        <v>12</v>
      </c>
      <c r="E326" t="s">
        <v>51</v>
      </c>
      <c r="F326" t="s">
        <v>81</v>
      </c>
      <c r="G326">
        <v>19</v>
      </c>
      <c r="H326">
        <v>25</v>
      </c>
      <c r="I326">
        <v>475</v>
      </c>
      <c r="J326" t="s">
        <v>26</v>
      </c>
    </row>
    <row r="327" spans="1:10" x14ac:dyDescent="0.3">
      <c r="A327" t="s">
        <v>398</v>
      </c>
      <c r="B327" s="5">
        <v>42166</v>
      </c>
      <c r="C327" t="s">
        <v>20</v>
      </c>
      <c r="D327" t="s">
        <v>85</v>
      </c>
      <c r="E327" t="s">
        <v>34</v>
      </c>
      <c r="F327" t="s">
        <v>64</v>
      </c>
      <c r="G327">
        <v>31</v>
      </c>
      <c r="H327">
        <v>5</v>
      </c>
      <c r="I327">
        <v>155</v>
      </c>
      <c r="J327" t="s">
        <v>26</v>
      </c>
    </row>
    <row r="328" spans="1:10" x14ac:dyDescent="0.3">
      <c r="A328" t="s">
        <v>399</v>
      </c>
      <c r="B328" s="5">
        <v>42177</v>
      </c>
      <c r="C328" t="s">
        <v>11</v>
      </c>
      <c r="D328" t="s">
        <v>45</v>
      </c>
      <c r="E328" t="s">
        <v>17</v>
      </c>
      <c r="F328" t="s">
        <v>72</v>
      </c>
      <c r="G328">
        <v>18</v>
      </c>
      <c r="H328">
        <v>20</v>
      </c>
      <c r="I328">
        <v>360</v>
      </c>
      <c r="J328" t="s">
        <v>26</v>
      </c>
    </row>
    <row r="329" spans="1:10" x14ac:dyDescent="0.3">
      <c r="A329" t="s">
        <v>400</v>
      </c>
      <c r="B329" s="5">
        <v>42177</v>
      </c>
      <c r="C329" t="s">
        <v>28</v>
      </c>
      <c r="D329" t="s">
        <v>45</v>
      </c>
      <c r="E329" t="s">
        <v>21</v>
      </c>
      <c r="F329" t="s">
        <v>22</v>
      </c>
      <c r="G329">
        <v>19.5</v>
      </c>
      <c r="H329">
        <v>6</v>
      </c>
      <c r="I329">
        <v>117</v>
      </c>
      <c r="J329" t="s">
        <v>26</v>
      </c>
    </row>
    <row r="330" spans="1:10" x14ac:dyDescent="0.3">
      <c r="A330" t="s">
        <v>401</v>
      </c>
      <c r="B330" s="5">
        <v>42179</v>
      </c>
      <c r="C330" t="s">
        <v>11</v>
      </c>
      <c r="D330" t="s">
        <v>12</v>
      </c>
      <c r="E330" t="s">
        <v>17</v>
      </c>
      <c r="F330" t="s">
        <v>25</v>
      </c>
      <c r="G330">
        <v>7.75</v>
      </c>
      <c r="H330">
        <v>50</v>
      </c>
      <c r="I330">
        <v>387.5</v>
      </c>
      <c r="J330" t="s">
        <v>15</v>
      </c>
    </row>
    <row r="331" spans="1:10" x14ac:dyDescent="0.3">
      <c r="A331" t="s">
        <v>402</v>
      </c>
      <c r="B331" s="5">
        <v>42184</v>
      </c>
      <c r="C331" t="s">
        <v>20</v>
      </c>
      <c r="D331" t="s">
        <v>12</v>
      </c>
      <c r="E331" t="s">
        <v>34</v>
      </c>
      <c r="F331" t="s">
        <v>136</v>
      </c>
      <c r="G331">
        <v>9.5</v>
      </c>
      <c r="H331">
        <v>15</v>
      </c>
      <c r="I331">
        <v>142.5</v>
      </c>
      <c r="J331" t="s">
        <v>15</v>
      </c>
    </row>
    <row r="332" spans="1:10" x14ac:dyDescent="0.3">
      <c r="A332" t="s">
        <v>403</v>
      </c>
      <c r="B332" s="5">
        <v>42185</v>
      </c>
      <c r="C332" t="s">
        <v>31</v>
      </c>
      <c r="D332" t="s">
        <v>12</v>
      </c>
      <c r="E332" t="s">
        <v>17</v>
      </c>
      <c r="F332" t="s">
        <v>72</v>
      </c>
      <c r="G332">
        <v>18</v>
      </c>
      <c r="H332">
        <v>20</v>
      </c>
      <c r="I332">
        <v>360</v>
      </c>
      <c r="J332" t="s">
        <v>15</v>
      </c>
    </row>
    <row r="333" spans="1:10" x14ac:dyDescent="0.3">
      <c r="A333" t="s">
        <v>404</v>
      </c>
      <c r="B333" s="5">
        <v>42185</v>
      </c>
      <c r="C333" t="s">
        <v>31</v>
      </c>
      <c r="D333" t="s">
        <v>12</v>
      </c>
      <c r="E333" t="s">
        <v>21</v>
      </c>
      <c r="F333" t="s">
        <v>97</v>
      </c>
      <c r="G333">
        <v>13</v>
      </c>
      <c r="H333">
        <v>20</v>
      </c>
      <c r="I333">
        <v>260</v>
      </c>
      <c r="J333" t="s">
        <v>15</v>
      </c>
    </row>
    <row r="334" spans="1:10" x14ac:dyDescent="0.3">
      <c r="A334" t="s">
        <v>405</v>
      </c>
      <c r="B334" s="5">
        <v>42198</v>
      </c>
      <c r="C334" t="s">
        <v>31</v>
      </c>
      <c r="D334" t="s">
        <v>45</v>
      </c>
      <c r="E334" t="s">
        <v>34</v>
      </c>
      <c r="F334" t="s">
        <v>90</v>
      </c>
      <c r="G334">
        <v>49.3</v>
      </c>
      <c r="H334">
        <v>10</v>
      </c>
      <c r="I334">
        <v>493</v>
      </c>
      <c r="J334" t="s">
        <v>26</v>
      </c>
    </row>
    <row r="335" spans="1:10" x14ac:dyDescent="0.3">
      <c r="A335" t="s">
        <v>406</v>
      </c>
      <c r="B335" s="5">
        <v>42205</v>
      </c>
      <c r="C335" t="s">
        <v>31</v>
      </c>
      <c r="D335" t="s">
        <v>12</v>
      </c>
      <c r="E335" t="s">
        <v>51</v>
      </c>
      <c r="F335" t="s">
        <v>81</v>
      </c>
      <c r="G335">
        <v>24</v>
      </c>
      <c r="H335">
        <v>20</v>
      </c>
      <c r="I335">
        <v>480</v>
      </c>
      <c r="J335" t="s">
        <v>26</v>
      </c>
    </row>
    <row r="336" spans="1:10" x14ac:dyDescent="0.3">
      <c r="A336" t="s">
        <v>407</v>
      </c>
      <c r="B336" s="5">
        <v>42205</v>
      </c>
      <c r="C336" t="s">
        <v>31</v>
      </c>
      <c r="D336" t="s">
        <v>12</v>
      </c>
      <c r="E336" t="s">
        <v>21</v>
      </c>
      <c r="F336" t="s">
        <v>111</v>
      </c>
      <c r="G336">
        <v>22</v>
      </c>
      <c r="H336">
        <v>20</v>
      </c>
      <c r="I336">
        <v>440</v>
      </c>
      <c r="J336" t="s">
        <v>26</v>
      </c>
    </row>
    <row r="337" spans="1:10" x14ac:dyDescent="0.3">
      <c r="A337" t="s">
        <v>408</v>
      </c>
      <c r="B337" s="5">
        <v>42205</v>
      </c>
      <c r="C337" t="s">
        <v>11</v>
      </c>
      <c r="D337" t="s">
        <v>12</v>
      </c>
      <c r="E337" t="s">
        <v>34</v>
      </c>
      <c r="F337" t="s">
        <v>90</v>
      </c>
      <c r="G337">
        <v>49.3</v>
      </c>
      <c r="H337">
        <v>10</v>
      </c>
      <c r="I337">
        <v>493</v>
      </c>
      <c r="J337" t="s">
        <v>26</v>
      </c>
    </row>
    <row r="338" spans="1:10" x14ac:dyDescent="0.3">
      <c r="A338" t="s">
        <v>409</v>
      </c>
      <c r="B338" s="5">
        <v>42219</v>
      </c>
      <c r="C338" t="s">
        <v>11</v>
      </c>
      <c r="D338" t="s">
        <v>45</v>
      </c>
      <c r="E338" t="s">
        <v>17</v>
      </c>
      <c r="F338" t="s">
        <v>54</v>
      </c>
      <c r="G338">
        <v>15</v>
      </c>
      <c r="H338">
        <v>20</v>
      </c>
      <c r="I338">
        <v>300</v>
      </c>
      <c r="J338" t="s">
        <v>26</v>
      </c>
    </row>
    <row r="339" spans="1:10" x14ac:dyDescent="0.3">
      <c r="A339" t="s">
        <v>410</v>
      </c>
      <c r="B339" s="5">
        <v>42219</v>
      </c>
      <c r="C339" t="s">
        <v>31</v>
      </c>
      <c r="D339" t="s">
        <v>45</v>
      </c>
      <c r="E339" t="s">
        <v>13</v>
      </c>
      <c r="F339" t="s">
        <v>14</v>
      </c>
      <c r="G339">
        <v>9</v>
      </c>
      <c r="H339">
        <v>10</v>
      </c>
      <c r="I339">
        <v>90</v>
      </c>
      <c r="J339" t="s">
        <v>26</v>
      </c>
    </row>
    <row r="340" spans="1:10" x14ac:dyDescent="0.3">
      <c r="A340" t="s">
        <v>411</v>
      </c>
      <c r="B340" s="5">
        <v>42219</v>
      </c>
      <c r="C340" t="s">
        <v>11</v>
      </c>
      <c r="D340" t="s">
        <v>45</v>
      </c>
      <c r="E340" t="s">
        <v>13</v>
      </c>
      <c r="F340" t="s">
        <v>124</v>
      </c>
      <c r="G340">
        <v>21.5</v>
      </c>
      <c r="H340">
        <v>15</v>
      </c>
      <c r="I340">
        <v>322.5</v>
      </c>
      <c r="J340" t="s">
        <v>26</v>
      </c>
    </row>
    <row r="341" spans="1:10" x14ac:dyDescent="0.3">
      <c r="A341" t="s">
        <v>412</v>
      </c>
      <c r="B341" s="5">
        <v>42219</v>
      </c>
      <c r="C341" t="s">
        <v>28</v>
      </c>
      <c r="D341" t="s">
        <v>45</v>
      </c>
      <c r="E341" t="s">
        <v>34</v>
      </c>
      <c r="F341" t="s">
        <v>188</v>
      </c>
      <c r="G341">
        <v>9.1999999999999993</v>
      </c>
      <c r="H341">
        <v>5</v>
      </c>
      <c r="I341">
        <v>46</v>
      </c>
      <c r="J341" t="s">
        <v>26</v>
      </c>
    </row>
    <row r="342" spans="1:10" x14ac:dyDescent="0.3">
      <c r="A342" t="s">
        <v>413</v>
      </c>
      <c r="B342" s="5">
        <v>42220</v>
      </c>
      <c r="C342" t="s">
        <v>28</v>
      </c>
      <c r="D342" t="s">
        <v>12</v>
      </c>
      <c r="E342" t="s">
        <v>17</v>
      </c>
      <c r="F342" t="s">
        <v>18</v>
      </c>
      <c r="G342">
        <v>19</v>
      </c>
      <c r="H342">
        <v>20</v>
      </c>
      <c r="I342">
        <v>380</v>
      </c>
      <c r="J342" t="s">
        <v>26</v>
      </c>
    </row>
    <row r="343" spans="1:10" x14ac:dyDescent="0.3">
      <c r="A343" t="s">
        <v>414</v>
      </c>
      <c r="B343" s="5">
        <v>42220</v>
      </c>
      <c r="C343" t="s">
        <v>31</v>
      </c>
      <c r="D343" t="s">
        <v>12</v>
      </c>
      <c r="E343" t="s">
        <v>34</v>
      </c>
      <c r="F343" t="s">
        <v>43</v>
      </c>
      <c r="G343">
        <v>12.5</v>
      </c>
      <c r="H343">
        <v>18</v>
      </c>
      <c r="I343">
        <v>225</v>
      </c>
      <c r="J343" t="s">
        <v>26</v>
      </c>
    </row>
    <row r="344" spans="1:10" x14ac:dyDescent="0.3">
      <c r="A344" t="s">
        <v>415</v>
      </c>
      <c r="B344" s="5">
        <v>42226</v>
      </c>
      <c r="C344" t="s">
        <v>11</v>
      </c>
      <c r="D344" t="s">
        <v>85</v>
      </c>
      <c r="E344" t="s">
        <v>51</v>
      </c>
      <c r="F344" t="s">
        <v>52</v>
      </c>
      <c r="G344">
        <v>123.79</v>
      </c>
      <c r="H344">
        <v>20</v>
      </c>
      <c r="I344">
        <v>2475.8000000000002</v>
      </c>
      <c r="J344" t="s">
        <v>26</v>
      </c>
    </row>
    <row r="345" spans="1:10" x14ac:dyDescent="0.3">
      <c r="A345" t="s">
        <v>416</v>
      </c>
      <c r="B345" s="5">
        <v>42226</v>
      </c>
      <c r="C345" t="s">
        <v>20</v>
      </c>
      <c r="D345" t="s">
        <v>85</v>
      </c>
      <c r="E345" t="s">
        <v>51</v>
      </c>
      <c r="F345" t="s">
        <v>81</v>
      </c>
      <c r="G345">
        <v>33.25</v>
      </c>
      <c r="H345">
        <v>9</v>
      </c>
      <c r="I345">
        <v>299.25</v>
      </c>
      <c r="J345" t="s">
        <v>26</v>
      </c>
    </row>
    <row r="346" spans="1:10" x14ac:dyDescent="0.3">
      <c r="A346" t="s">
        <v>417</v>
      </c>
      <c r="B346" s="5">
        <v>42233</v>
      </c>
      <c r="C346" t="s">
        <v>11</v>
      </c>
      <c r="D346" t="s">
        <v>12</v>
      </c>
      <c r="E346" t="s">
        <v>51</v>
      </c>
      <c r="F346" t="s">
        <v>81</v>
      </c>
      <c r="G346">
        <v>38</v>
      </c>
      <c r="H346">
        <v>60</v>
      </c>
      <c r="I346">
        <v>2280</v>
      </c>
      <c r="J346" t="s">
        <v>15</v>
      </c>
    </row>
    <row r="347" spans="1:10" x14ac:dyDescent="0.3">
      <c r="A347" t="s">
        <v>418</v>
      </c>
      <c r="B347" s="5">
        <v>42233</v>
      </c>
      <c r="C347" t="s">
        <v>28</v>
      </c>
      <c r="D347" t="s">
        <v>12</v>
      </c>
      <c r="E347" t="s">
        <v>13</v>
      </c>
      <c r="F347" t="s">
        <v>14</v>
      </c>
      <c r="G347">
        <v>21</v>
      </c>
      <c r="H347">
        <v>10</v>
      </c>
      <c r="I347">
        <v>210</v>
      </c>
      <c r="J347" t="s">
        <v>15</v>
      </c>
    </row>
    <row r="348" spans="1:10" x14ac:dyDescent="0.3">
      <c r="A348" t="s">
        <v>419</v>
      </c>
      <c r="B348" s="5">
        <v>42233</v>
      </c>
      <c r="C348" t="s">
        <v>31</v>
      </c>
      <c r="D348" t="s">
        <v>12</v>
      </c>
      <c r="E348" t="s">
        <v>34</v>
      </c>
      <c r="F348" t="s">
        <v>64</v>
      </c>
      <c r="G348">
        <v>16.25</v>
      </c>
      <c r="H348">
        <v>25</v>
      </c>
      <c r="I348">
        <v>406.25</v>
      </c>
      <c r="J348" t="s">
        <v>15</v>
      </c>
    </row>
    <row r="349" spans="1:10" x14ac:dyDescent="0.3">
      <c r="A349" t="s">
        <v>420</v>
      </c>
      <c r="B349" s="5">
        <v>42239</v>
      </c>
      <c r="C349" t="s">
        <v>11</v>
      </c>
      <c r="D349" t="s">
        <v>12</v>
      </c>
      <c r="E349" t="s">
        <v>17</v>
      </c>
      <c r="F349" t="s">
        <v>29</v>
      </c>
      <c r="G349">
        <v>46</v>
      </c>
      <c r="H349">
        <v>20</v>
      </c>
      <c r="I349">
        <v>920</v>
      </c>
      <c r="J349" t="s">
        <v>26</v>
      </c>
    </row>
    <row r="350" spans="1:10" x14ac:dyDescent="0.3">
      <c r="A350" t="s">
        <v>421</v>
      </c>
      <c r="B350" s="5">
        <v>42239</v>
      </c>
      <c r="C350" t="s">
        <v>11</v>
      </c>
      <c r="D350" t="s">
        <v>12</v>
      </c>
      <c r="E350" t="s">
        <v>17</v>
      </c>
      <c r="F350" t="s">
        <v>54</v>
      </c>
      <c r="G350">
        <v>12</v>
      </c>
      <c r="H350">
        <v>21</v>
      </c>
      <c r="I350">
        <v>252</v>
      </c>
      <c r="J350" t="s">
        <v>26</v>
      </c>
    </row>
    <row r="351" spans="1:10" x14ac:dyDescent="0.3">
      <c r="A351" t="s">
        <v>422</v>
      </c>
      <c r="B351" s="5">
        <v>42240</v>
      </c>
      <c r="C351" t="s">
        <v>20</v>
      </c>
      <c r="D351" t="s">
        <v>12</v>
      </c>
      <c r="E351" t="s">
        <v>13</v>
      </c>
      <c r="F351" t="s">
        <v>14</v>
      </c>
      <c r="G351">
        <v>19</v>
      </c>
      <c r="H351">
        <v>15</v>
      </c>
      <c r="I351">
        <v>285</v>
      </c>
      <c r="J351" t="s">
        <v>15</v>
      </c>
    </row>
    <row r="352" spans="1:10" x14ac:dyDescent="0.3">
      <c r="A352" t="s">
        <v>423</v>
      </c>
      <c r="B352" s="5">
        <v>42240</v>
      </c>
      <c r="C352" t="s">
        <v>31</v>
      </c>
      <c r="D352" t="s">
        <v>85</v>
      </c>
      <c r="E352" t="s">
        <v>17</v>
      </c>
      <c r="F352" t="s">
        <v>54</v>
      </c>
      <c r="G352">
        <v>62.5</v>
      </c>
      <c r="H352">
        <v>20</v>
      </c>
      <c r="I352">
        <v>1250</v>
      </c>
      <c r="J352" t="s">
        <v>15</v>
      </c>
    </row>
    <row r="353" spans="1:10" x14ac:dyDescent="0.3">
      <c r="A353" t="s">
        <v>424</v>
      </c>
      <c r="B353" s="5">
        <v>42241</v>
      </c>
      <c r="C353" t="s">
        <v>31</v>
      </c>
      <c r="D353" t="s">
        <v>12</v>
      </c>
      <c r="E353" t="s">
        <v>17</v>
      </c>
      <c r="F353" t="s">
        <v>37</v>
      </c>
      <c r="G353">
        <v>18</v>
      </c>
      <c r="H353">
        <v>20</v>
      </c>
      <c r="I353">
        <v>360</v>
      </c>
      <c r="J353" t="s">
        <v>26</v>
      </c>
    </row>
    <row r="354" spans="1:10" x14ac:dyDescent="0.3">
      <c r="A354" t="s">
        <v>425</v>
      </c>
      <c r="B354" s="5">
        <v>42241</v>
      </c>
      <c r="C354" t="s">
        <v>11</v>
      </c>
      <c r="D354" t="s">
        <v>12</v>
      </c>
      <c r="E354" t="s">
        <v>34</v>
      </c>
      <c r="F354" t="s">
        <v>188</v>
      </c>
      <c r="G354">
        <v>9.1999999999999993</v>
      </c>
      <c r="H354">
        <v>30</v>
      </c>
      <c r="I354">
        <v>276</v>
      </c>
      <c r="J354" t="s">
        <v>26</v>
      </c>
    </row>
    <row r="355" spans="1:10" x14ac:dyDescent="0.3">
      <c r="A355" t="s">
        <v>127</v>
      </c>
      <c r="B355" s="5">
        <v>42242</v>
      </c>
      <c r="C355" t="s">
        <v>20</v>
      </c>
      <c r="D355" t="s">
        <v>12</v>
      </c>
      <c r="E355" t="s">
        <v>17</v>
      </c>
      <c r="F355" t="s">
        <v>128</v>
      </c>
      <c r="G355">
        <v>4.5</v>
      </c>
      <c r="H355">
        <v>15</v>
      </c>
      <c r="I355">
        <v>67.5</v>
      </c>
      <c r="J355" t="s">
        <v>26</v>
      </c>
    </row>
    <row r="356" spans="1:10" x14ac:dyDescent="0.3">
      <c r="A356" t="s">
        <v>426</v>
      </c>
      <c r="B356" s="5">
        <v>42242</v>
      </c>
      <c r="C356" t="s">
        <v>20</v>
      </c>
      <c r="D356" t="s">
        <v>12</v>
      </c>
      <c r="E356" t="s">
        <v>21</v>
      </c>
      <c r="F356" t="s">
        <v>22</v>
      </c>
      <c r="G356">
        <v>21</v>
      </c>
      <c r="H356">
        <v>15</v>
      </c>
      <c r="I356">
        <v>315</v>
      </c>
      <c r="J356" t="s">
        <v>26</v>
      </c>
    </row>
    <row r="357" spans="1:10" x14ac:dyDescent="0.3">
      <c r="A357" t="s">
        <v>427</v>
      </c>
      <c r="B357" s="5">
        <v>42243</v>
      </c>
      <c r="C357" t="s">
        <v>20</v>
      </c>
      <c r="D357" t="s">
        <v>12</v>
      </c>
      <c r="E357" t="s">
        <v>51</v>
      </c>
      <c r="F357" t="s">
        <v>268</v>
      </c>
      <c r="G357">
        <v>7.45</v>
      </c>
      <c r="H357">
        <v>30</v>
      </c>
      <c r="I357">
        <v>223.5</v>
      </c>
      <c r="J357" t="s">
        <v>26</v>
      </c>
    </row>
    <row r="358" spans="1:10" x14ac:dyDescent="0.3">
      <c r="A358" t="s">
        <v>428</v>
      </c>
      <c r="B358" s="5">
        <v>42243</v>
      </c>
      <c r="C358" t="s">
        <v>31</v>
      </c>
      <c r="D358" t="s">
        <v>12</v>
      </c>
      <c r="E358" t="s">
        <v>51</v>
      </c>
      <c r="F358" t="s">
        <v>138</v>
      </c>
      <c r="G358">
        <v>32.799999999999997</v>
      </c>
      <c r="H358">
        <v>25</v>
      </c>
      <c r="I358">
        <v>819.99999999999989</v>
      </c>
      <c r="J358" t="s">
        <v>26</v>
      </c>
    </row>
    <row r="359" spans="1:10" x14ac:dyDescent="0.3">
      <c r="A359" t="s">
        <v>429</v>
      </c>
      <c r="B359" s="5">
        <v>42243</v>
      </c>
      <c r="C359" t="s">
        <v>20</v>
      </c>
      <c r="D359" t="s">
        <v>12</v>
      </c>
      <c r="E359" t="s">
        <v>17</v>
      </c>
      <c r="F359" t="s">
        <v>54</v>
      </c>
      <c r="G359">
        <v>25.89</v>
      </c>
      <c r="H359">
        <v>30</v>
      </c>
      <c r="I359">
        <v>776.7</v>
      </c>
      <c r="J359" t="s">
        <v>26</v>
      </c>
    </row>
    <row r="360" spans="1:10" x14ac:dyDescent="0.3">
      <c r="A360" t="s">
        <v>430</v>
      </c>
      <c r="B360" s="5">
        <v>42246</v>
      </c>
      <c r="C360" t="s">
        <v>11</v>
      </c>
      <c r="D360" t="s">
        <v>12</v>
      </c>
      <c r="E360" t="s">
        <v>17</v>
      </c>
      <c r="F360" t="s">
        <v>54</v>
      </c>
      <c r="G360">
        <v>14</v>
      </c>
      <c r="H360">
        <v>20</v>
      </c>
      <c r="I360">
        <v>280</v>
      </c>
      <c r="J360" t="s">
        <v>26</v>
      </c>
    </row>
    <row r="361" spans="1:10" x14ac:dyDescent="0.3">
      <c r="A361" t="s">
        <v>431</v>
      </c>
      <c r="B361" s="5">
        <v>42246</v>
      </c>
      <c r="C361" t="s">
        <v>31</v>
      </c>
      <c r="D361" t="s">
        <v>12</v>
      </c>
      <c r="E361" t="s">
        <v>21</v>
      </c>
      <c r="F361" t="s">
        <v>22</v>
      </c>
      <c r="G361">
        <v>25.89</v>
      </c>
      <c r="H361">
        <v>2</v>
      </c>
      <c r="I361">
        <v>51.78</v>
      </c>
      <c r="J361" t="s">
        <v>26</v>
      </c>
    </row>
    <row r="362" spans="1:10" x14ac:dyDescent="0.3">
      <c r="A362" t="s">
        <v>432</v>
      </c>
      <c r="B362" s="5">
        <v>42250</v>
      </c>
      <c r="C362" t="s">
        <v>11</v>
      </c>
      <c r="D362" t="s">
        <v>12</v>
      </c>
      <c r="E362" t="s">
        <v>17</v>
      </c>
      <c r="F362" t="s">
        <v>54</v>
      </c>
      <c r="G362">
        <v>15</v>
      </c>
      <c r="H362">
        <v>40</v>
      </c>
      <c r="I362">
        <v>600</v>
      </c>
      <c r="J362" t="s">
        <v>26</v>
      </c>
    </row>
    <row r="363" spans="1:10" x14ac:dyDescent="0.3">
      <c r="A363" t="s">
        <v>358</v>
      </c>
      <c r="B363" s="5">
        <v>42250</v>
      </c>
      <c r="C363" t="s">
        <v>31</v>
      </c>
      <c r="D363" t="s">
        <v>12</v>
      </c>
      <c r="E363" t="s">
        <v>13</v>
      </c>
      <c r="F363" t="s">
        <v>99</v>
      </c>
      <c r="G363">
        <v>12.5</v>
      </c>
      <c r="H363">
        <v>20</v>
      </c>
      <c r="I363">
        <v>250</v>
      </c>
      <c r="J363" t="s">
        <v>26</v>
      </c>
    </row>
    <row r="364" spans="1:10" x14ac:dyDescent="0.3">
      <c r="A364" t="s">
        <v>433</v>
      </c>
      <c r="B364" s="5">
        <v>42250</v>
      </c>
      <c r="C364" t="s">
        <v>31</v>
      </c>
      <c r="D364" t="s">
        <v>12</v>
      </c>
      <c r="E364" t="s">
        <v>17</v>
      </c>
      <c r="F364" t="s">
        <v>54</v>
      </c>
      <c r="G364">
        <v>18.399999999999999</v>
      </c>
      <c r="H364">
        <v>24</v>
      </c>
      <c r="I364">
        <v>441.59999999999997</v>
      </c>
      <c r="J364" t="s">
        <v>26</v>
      </c>
    </row>
    <row r="365" spans="1:10" x14ac:dyDescent="0.3">
      <c r="A365" t="s">
        <v>434</v>
      </c>
      <c r="B365" s="5">
        <v>42263</v>
      </c>
      <c r="C365" t="s">
        <v>28</v>
      </c>
      <c r="D365" t="s">
        <v>45</v>
      </c>
      <c r="E365" t="s">
        <v>21</v>
      </c>
      <c r="F365" t="s">
        <v>22</v>
      </c>
      <c r="G365">
        <v>9</v>
      </c>
      <c r="H365">
        <v>5</v>
      </c>
      <c r="I365">
        <v>45</v>
      </c>
      <c r="J365" t="s">
        <v>26</v>
      </c>
    </row>
    <row r="366" spans="1:10" x14ac:dyDescent="0.3">
      <c r="A366" t="s">
        <v>435</v>
      </c>
      <c r="B366" s="5">
        <v>42274</v>
      </c>
      <c r="C366" t="s">
        <v>11</v>
      </c>
      <c r="D366" t="s">
        <v>12</v>
      </c>
      <c r="E366" t="s">
        <v>17</v>
      </c>
      <c r="F366" t="s">
        <v>54</v>
      </c>
      <c r="G366">
        <v>31</v>
      </c>
      <c r="H366">
        <v>20</v>
      </c>
      <c r="I366">
        <v>620</v>
      </c>
      <c r="J366" t="s">
        <v>26</v>
      </c>
    </row>
    <row r="367" spans="1:10" x14ac:dyDescent="0.3">
      <c r="A367" t="s">
        <v>436</v>
      </c>
      <c r="B367" s="5">
        <v>42274</v>
      </c>
      <c r="C367" t="s">
        <v>20</v>
      </c>
      <c r="D367" t="s">
        <v>12</v>
      </c>
      <c r="E367" t="s">
        <v>34</v>
      </c>
      <c r="F367" t="s">
        <v>136</v>
      </c>
      <c r="G367">
        <v>9.5</v>
      </c>
      <c r="H367">
        <v>15</v>
      </c>
      <c r="I367">
        <v>142.5</v>
      </c>
      <c r="J367" t="s">
        <v>26</v>
      </c>
    </row>
    <row r="368" spans="1:10" x14ac:dyDescent="0.3">
      <c r="A368" t="s">
        <v>437</v>
      </c>
      <c r="B368" s="5">
        <v>42277</v>
      </c>
      <c r="C368" t="s">
        <v>20</v>
      </c>
      <c r="D368" t="s">
        <v>12</v>
      </c>
      <c r="E368" t="s">
        <v>21</v>
      </c>
      <c r="F368" t="s">
        <v>97</v>
      </c>
      <c r="G368">
        <v>13</v>
      </c>
      <c r="H368">
        <v>30</v>
      </c>
      <c r="I368">
        <v>390</v>
      </c>
      <c r="J368" t="s">
        <v>15</v>
      </c>
    </row>
    <row r="369" spans="1:10" x14ac:dyDescent="0.3">
      <c r="A369" t="s">
        <v>438</v>
      </c>
      <c r="B369" s="5">
        <v>42277</v>
      </c>
      <c r="C369" t="s">
        <v>31</v>
      </c>
      <c r="D369" t="s">
        <v>12</v>
      </c>
      <c r="E369" t="s">
        <v>51</v>
      </c>
      <c r="F369" t="s">
        <v>81</v>
      </c>
      <c r="G369">
        <v>38</v>
      </c>
      <c r="H369">
        <v>20</v>
      </c>
      <c r="I369">
        <v>760</v>
      </c>
      <c r="J369" t="s">
        <v>15</v>
      </c>
    </row>
    <row r="370" spans="1:10" x14ac:dyDescent="0.3">
      <c r="A370" t="s">
        <v>127</v>
      </c>
      <c r="B370" s="5">
        <v>42289</v>
      </c>
      <c r="C370" t="s">
        <v>20</v>
      </c>
      <c r="D370" t="s">
        <v>12</v>
      </c>
      <c r="E370" t="s">
        <v>17</v>
      </c>
      <c r="F370" t="s">
        <v>128</v>
      </c>
      <c r="G370">
        <v>4.5</v>
      </c>
      <c r="H370">
        <v>35</v>
      </c>
      <c r="I370">
        <v>157.5</v>
      </c>
      <c r="J370" t="s">
        <v>15</v>
      </c>
    </row>
    <row r="371" spans="1:10" x14ac:dyDescent="0.3">
      <c r="A371" t="s">
        <v>439</v>
      </c>
      <c r="B371" s="5">
        <v>42289</v>
      </c>
      <c r="C371" t="s">
        <v>11</v>
      </c>
      <c r="D371" t="s">
        <v>12</v>
      </c>
      <c r="E371" t="s">
        <v>21</v>
      </c>
      <c r="F371" t="s">
        <v>111</v>
      </c>
      <c r="G371">
        <v>22</v>
      </c>
      <c r="H371">
        <v>6</v>
      </c>
      <c r="I371">
        <v>132</v>
      </c>
      <c r="J371" t="s">
        <v>15</v>
      </c>
    </row>
    <row r="372" spans="1:10" x14ac:dyDescent="0.3">
      <c r="A372" t="s">
        <v>440</v>
      </c>
      <c r="B372" s="5">
        <v>42289</v>
      </c>
      <c r="C372" t="s">
        <v>31</v>
      </c>
      <c r="D372" t="s">
        <v>12</v>
      </c>
      <c r="E372" t="s">
        <v>34</v>
      </c>
      <c r="F372" t="s">
        <v>339</v>
      </c>
      <c r="G372">
        <v>12.75</v>
      </c>
      <c r="H372">
        <v>24</v>
      </c>
      <c r="I372">
        <v>306</v>
      </c>
      <c r="J372" t="s">
        <v>15</v>
      </c>
    </row>
    <row r="373" spans="1:10" x14ac:dyDescent="0.3">
      <c r="A373" t="s">
        <v>441</v>
      </c>
      <c r="B373" s="5">
        <v>42291</v>
      </c>
      <c r="C373" t="s">
        <v>11</v>
      </c>
      <c r="D373" t="s">
        <v>45</v>
      </c>
      <c r="E373" t="s">
        <v>17</v>
      </c>
      <c r="F373" t="s">
        <v>54</v>
      </c>
      <c r="G373">
        <v>15</v>
      </c>
      <c r="H373">
        <v>28</v>
      </c>
      <c r="I373">
        <v>420</v>
      </c>
      <c r="J373" t="s">
        <v>26</v>
      </c>
    </row>
    <row r="374" spans="1:10" x14ac:dyDescent="0.3">
      <c r="A374" t="s">
        <v>442</v>
      </c>
      <c r="B374" s="5">
        <v>42291</v>
      </c>
      <c r="C374" t="s">
        <v>20</v>
      </c>
      <c r="D374" t="s">
        <v>45</v>
      </c>
      <c r="E374" t="s">
        <v>51</v>
      </c>
      <c r="F374" t="s">
        <v>81</v>
      </c>
      <c r="G374">
        <v>24</v>
      </c>
      <c r="H374">
        <v>21</v>
      </c>
      <c r="I374">
        <v>504</v>
      </c>
      <c r="J374" t="s">
        <v>26</v>
      </c>
    </row>
    <row r="375" spans="1:10" x14ac:dyDescent="0.3">
      <c r="A375" t="s">
        <v>443</v>
      </c>
      <c r="B375" s="5">
        <v>42291</v>
      </c>
      <c r="C375" t="s">
        <v>11</v>
      </c>
      <c r="D375" t="s">
        <v>45</v>
      </c>
      <c r="E375" t="s">
        <v>34</v>
      </c>
      <c r="F375" t="s">
        <v>64</v>
      </c>
      <c r="G375">
        <v>19.5</v>
      </c>
      <c r="H375">
        <v>40</v>
      </c>
      <c r="I375">
        <v>780</v>
      </c>
      <c r="J375" t="s">
        <v>26</v>
      </c>
    </row>
    <row r="376" spans="1:10" x14ac:dyDescent="0.3">
      <c r="A376" t="s">
        <v>444</v>
      </c>
      <c r="B376" s="5">
        <v>42292</v>
      </c>
      <c r="C376" t="s">
        <v>11</v>
      </c>
      <c r="D376" t="s">
        <v>12</v>
      </c>
      <c r="E376" t="s">
        <v>21</v>
      </c>
      <c r="F376" t="s">
        <v>47</v>
      </c>
      <c r="G376">
        <v>40</v>
      </c>
      <c r="H376">
        <v>40</v>
      </c>
      <c r="I376">
        <v>1600</v>
      </c>
      <c r="J376" t="s">
        <v>26</v>
      </c>
    </row>
    <row r="377" spans="1:10" x14ac:dyDescent="0.3">
      <c r="A377" t="s">
        <v>445</v>
      </c>
      <c r="B377" s="5">
        <v>42292</v>
      </c>
      <c r="C377" t="s">
        <v>11</v>
      </c>
      <c r="D377" t="s">
        <v>12</v>
      </c>
      <c r="E377" t="s">
        <v>34</v>
      </c>
      <c r="F377" t="s">
        <v>64</v>
      </c>
      <c r="G377">
        <v>53</v>
      </c>
      <c r="H377">
        <v>28</v>
      </c>
      <c r="I377">
        <v>1484</v>
      </c>
      <c r="J377" t="s">
        <v>26</v>
      </c>
    </row>
    <row r="378" spans="1:10" x14ac:dyDescent="0.3">
      <c r="A378" t="s">
        <v>446</v>
      </c>
      <c r="B378" s="5">
        <v>42292</v>
      </c>
      <c r="C378" t="s">
        <v>20</v>
      </c>
      <c r="D378" t="s">
        <v>12</v>
      </c>
      <c r="E378" t="s">
        <v>13</v>
      </c>
      <c r="F378" t="s">
        <v>41</v>
      </c>
      <c r="G378">
        <v>34</v>
      </c>
      <c r="H378">
        <v>10</v>
      </c>
      <c r="I378">
        <v>340</v>
      </c>
      <c r="J378" t="s">
        <v>26</v>
      </c>
    </row>
    <row r="379" spans="1:10" x14ac:dyDescent="0.3">
      <c r="A379" t="s">
        <v>447</v>
      </c>
      <c r="B379" s="5">
        <v>42299</v>
      </c>
      <c r="C379" t="s">
        <v>28</v>
      </c>
      <c r="D379" t="s">
        <v>24</v>
      </c>
      <c r="E379" t="s">
        <v>21</v>
      </c>
      <c r="F379" t="s">
        <v>22</v>
      </c>
      <c r="G379">
        <v>28.5</v>
      </c>
      <c r="H379">
        <v>10</v>
      </c>
      <c r="I379">
        <v>285</v>
      </c>
      <c r="J379" t="s">
        <v>26</v>
      </c>
    </row>
    <row r="380" spans="1:10" x14ac:dyDescent="0.3">
      <c r="A380" t="s">
        <v>448</v>
      </c>
      <c r="B380" s="5">
        <v>42299</v>
      </c>
      <c r="C380" t="s">
        <v>20</v>
      </c>
      <c r="D380" t="s">
        <v>24</v>
      </c>
      <c r="E380" t="s">
        <v>34</v>
      </c>
      <c r="F380" t="s">
        <v>241</v>
      </c>
      <c r="G380">
        <v>10</v>
      </c>
      <c r="H380">
        <v>5</v>
      </c>
      <c r="I380">
        <v>50</v>
      </c>
      <c r="J380" t="s">
        <v>26</v>
      </c>
    </row>
    <row r="381" spans="1:10" x14ac:dyDescent="0.3">
      <c r="A381" t="s">
        <v>449</v>
      </c>
      <c r="B381" s="5">
        <v>42303</v>
      </c>
      <c r="C381" t="s">
        <v>28</v>
      </c>
      <c r="D381" t="s">
        <v>12</v>
      </c>
      <c r="E381" t="s">
        <v>17</v>
      </c>
      <c r="F381" t="s">
        <v>72</v>
      </c>
      <c r="G381">
        <v>18</v>
      </c>
      <c r="H381">
        <v>21</v>
      </c>
      <c r="I381">
        <v>378</v>
      </c>
      <c r="J381" t="s">
        <v>26</v>
      </c>
    </row>
    <row r="382" spans="1:10" x14ac:dyDescent="0.3">
      <c r="A382" t="s">
        <v>450</v>
      </c>
      <c r="B382" s="5">
        <v>42303</v>
      </c>
      <c r="C382" t="s">
        <v>11</v>
      </c>
      <c r="D382" t="s">
        <v>12</v>
      </c>
      <c r="E382" t="s">
        <v>13</v>
      </c>
      <c r="F382" t="s">
        <v>124</v>
      </c>
      <c r="G382">
        <v>21.5</v>
      </c>
      <c r="H382">
        <v>8</v>
      </c>
      <c r="I382">
        <v>172</v>
      </c>
      <c r="J382" t="s">
        <v>26</v>
      </c>
    </row>
    <row r="383" spans="1:10" x14ac:dyDescent="0.3">
      <c r="A383" t="s">
        <v>451</v>
      </c>
      <c r="B383" s="5">
        <v>42306</v>
      </c>
      <c r="C383" t="s">
        <v>11</v>
      </c>
      <c r="D383" t="s">
        <v>12</v>
      </c>
      <c r="E383" t="s">
        <v>51</v>
      </c>
      <c r="F383" t="s">
        <v>81</v>
      </c>
      <c r="G383">
        <v>24</v>
      </c>
      <c r="H383">
        <v>6</v>
      </c>
      <c r="I383">
        <v>144</v>
      </c>
      <c r="J383" t="s">
        <v>26</v>
      </c>
    </row>
    <row r="384" spans="1:10" x14ac:dyDescent="0.3">
      <c r="A384" t="s">
        <v>452</v>
      </c>
      <c r="B384" s="5">
        <v>42306</v>
      </c>
      <c r="C384" t="s">
        <v>20</v>
      </c>
      <c r="D384" t="s">
        <v>12</v>
      </c>
      <c r="E384" t="s">
        <v>51</v>
      </c>
      <c r="F384" t="s">
        <v>81</v>
      </c>
      <c r="G384">
        <v>7</v>
      </c>
      <c r="H384">
        <v>4</v>
      </c>
      <c r="I384">
        <v>28</v>
      </c>
      <c r="J384" t="s">
        <v>26</v>
      </c>
    </row>
    <row r="385" spans="1:10" x14ac:dyDescent="0.3">
      <c r="A385" t="s">
        <v>453</v>
      </c>
      <c r="B385" s="5">
        <v>42306</v>
      </c>
      <c r="C385" t="s">
        <v>28</v>
      </c>
      <c r="D385" t="s">
        <v>12</v>
      </c>
      <c r="E385" t="s">
        <v>51</v>
      </c>
      <c r="F385" t="s">
        <v>81</v>
      </c>
      <c r="G385">
        <v>9.65</v>
      </c>
      <c r="H385">
        <v>12</v>
      </c>
      <c r="I385">
        <v>115.80000000000001</v>
      </c>
      <c r="J385" t="s">
        <v>26</v>
      </c>
    </row>
    <row r="386" spans="1:10" x14ac:dyDescent="0.3">
      <c r="A386" t="s">
        <v>454</v>
      </c>
      <c r="B386" s="5">
        <v>42309</v>
      </c>
      <c r="C386" t="s">
        <v>28</v>
      </c>
      <c r="D386" t="s">
        <v>45</v>
      </c>
      <c r="E386" t="s">
        <v>13</v>
      </c>
      <c r="F386" t="s">
        <v>14</v>
      </c>
      <c r="G386">
        <v>21</v>
      </c>
      <c r="H386">
        <v>5</v>
      </c>
      <c r="I386">
        <v>105</v>
      </c>
      <c r="J386" t="s">
        <v>15</v>
      </c>
    </row>
    <row r="387" spans="1:10" x14ac:dyDescent="0.3">
      <c r="A387" t="s">
        <v>455</v>
      </c>
      <c r="B387" s="5">
        <v>42310</v>
      </c>
      <c r="C387" t="s">
        <v>28</v>
      </c>
      <c r="D387" t="s">
        <v>12</v>
      </c>
      <c r="E387" t="s">
        <v>51</v>
      </c>
      <c r="F387" t="s">
        <v>81</v>
      </c>
      <c r="G387">
        <v>24</v>
      </c>
      <c r="H387">
        <v>12</v>
      </c>
      <c r="I387">
        <v>288</v>
      </c>
      <c r="J387" t="s">
        <v>26</v>
      </c>
    </row>
    <row r="388" spans="1:10" x14ac:dyDescent="0.3">
      <c r="A388" t="s">
        <v>456</v>
      </c>
      <c r="B388" s="5">
        <v>42310</v>
      </c>
      <c r="C388" t="s">
        <v>28</v>
      </c>
      <c r="D388" t="s">
        <v>12</v>
      </c>
      <c r="E388" t="s">
        <v>21</v>
      </c>
      <c r="F388" t="s">
        <v>22</v>
      </c>
      <c r="G388">
        <v>25.89</v>
      </c>
      <c r="H388">
        <v>15</v>
      </c>
      <c r="I388">
        <v>388.35</v>
      </c>
      <c r="J388" t="s">
        <v>26</v>
      </c>
    </row>
    <row r="389" spans="1:10" x14ac:dyDescent="0.3">
      <c r="A389" t="s">
        <v>457</v>
      </c>
      <c r="B389" s="5">
        <v>42310</v>
      </c>
      <c r="C389" t="s">
        <v>11</v>
      </c>
      <c r="D389" t="s">
        <v>12</v>
      </c>
      <c r="E389" t="s">
        <v>51</v>
      </c>
      <c r="F389" t="s">
        <v>81</v>
      </c>
      <c r="G389">
        <v>18.399999999999999</v>
      </c>
      <c r="H389">
        <v>6</v>
      </c>
      <c r="I389">
        <v>110.39999999999999</v>
      </c>
      <c r="J389" t="s">
        <v>26</v>
      </c>
    </row>
    <row r="390" spans="1:10" x14ac:dyDescent="0.3">
      <c r="A390" t="s">
        <v>458</v>
      </c>
      <c r="B390" s="5">
        <v>42313</v>
      </c>
      <c r="C390" t="s">
        <v>20</v>
      </c>
      <c r="D390" t="s">
        <v>12</v>
      </c>
      <c r="E390" t="s">
        <v>17</v>
      </c>
      <c r="F390" t="s">
        <v>134</v>
      </c>
      <c r="G390">
        <v>18</v>
      </c>
      <c r="H390">
        <v>20</v>
      </c>
      <c r="I390">
        <v>360</v>
      </c>
      <c r="J390" t="s">
        <v>26</v>
      </c>
    </row>
    <row r="391" spans="1:10" x14ac:dyDescent="0.3">
      <c r="A391" t="s">
        <v>459</v>
      </c>
      <c r="B391" s="5">
        <v>42313</v>
      </c>
      <c r="C391" t="s">
        <v>11</v>
      </c>
      <c r="D391" t="s">
        <v>12</v>
      </c>
      <c r="E391" t="s">
        <v>21</v>
      </c>
      <c r="F391" t="s">
        <v>39</v>
      </c>
      <c r="G391">
        <v>25</v>
      </c>
      <c r="H391">
        <v>30</v>
      </c>
      <c r="I391">
        <v>750</v>
      </c>
      <c r="J391" t="s">
        <v>26</v>
      </c>
    </row>
    <row r="392" spans="1:10" x14ac:dyDescent="0.3">
      <c r="A392" t="s">
        <v>460</v>
      </c>
      <c r="B392" s="5">
        <v>42313</v>
      </c>
      <c r="C392" t="s">
        <v>20</v>
      </c>
      <c r="D392" t="s">
        <v>12</v>
      </c>
      <c r="E392" t="s">
        <v>13</v>
      </c>
      <c r="F392" t="s">
        <v>14</v>
      </c>
      <c r="G392">
        <v>25.89</v>
      </c>
      <c r="H392">
        <v>15</v>
      </c>
      <c r="I392">
        <v>388.35</v>
      </c>
      <c r="J392" t="s">
        <v>26</v>
      </c>
    </row>
    <row r="393" spans="1:10" x14ac:dyDescent="0.3">
      <c r="A393" t="s">
        <v>461</v>
      </c>
      <c r="B393" s="5">
        <v>42326</v>
      </c>
      <c r="C393" t="s">
        <v>31</v>
      </c>
      <c r="D393" t="s">
        <v>45</v>
      </c>
      <c r="E393" t="s">
        <v>17</v>
      </c>
      <c r="F393" t="s">
        <v>134</v>
      </c>
      <c r="G393">
        <v>18</v>
      </c>
      <c r="H393">
        <v>10</v>
      </c>
      <c r="I393">
        <v>180</v>
      </c>
      <c r="J393" t="s">
        <v>26</v>
      </c>
    </row>
    <row r="394" spans="1:10" x14ac:dyDescent="0.3">
      <c r="A394" t="s">
        <v>462</v>
      </c>
      <c r="B394" s="5">
        <v>42326</v>
      </c>
      <c r="C394" t="s">
        <v>11</v>
      </c>
      <c r="D394" t="s">
        <v>45</v>
      </c>
      <c r="E394" t="s">
        <v>34</v>
      </c>
      <c r="F394" t="s">
        <v>64</v>
      </c>
      <c r="G394">
        <v>38</v>
      </c>
      <c r="H394">
        <v>15</v>
      </c>
      <c r="I394">
        <v>570</v>
      </c>
      <c r="J394" t="s">
        <v>26</v>
      </c>
    </row>
    <row r="395" spans="1:10" x14ac:dyDescent="0.3">
      <c r="A395" t="s">
        <v>463</v>
      </c>
      <c r="B395" s="5">
        <v>42326</v>
      </c>
      <c r="C395" t="s">
        <v>28</v>
      </c>
      <c r="D395" t="s">
        <v>45</v>
      </c>
      <c r="E395" t="s">
        <v>13</v>
      </c>
      <c r="F395" t="s">
        <v>66</v>
      </c>
      <c r="G395">
        <v>55</v>
      </c>
      <c r="H395">
        <v>6</v>
      </c>
      <c r="I395">
        <v>330</v>
      </c>
      <c r="J395" t="s">
        <v>26</v>
      </c>
    </row>
    <row r="396" spans="1:10" x14ac:dyDescent="0.3">
      <c r="A396" t="s">
        <v>464</v>
      </c>
      <c r="B396" s="5">
        <v>42330</v>
      </c>
      <c r="C396" t="s">
        <v>28</v>
      </c>
      <c r="D396" t="s">
        <v>45</v>
      </c>
      <c r="E396" t="s">
        <v>17</v>
      </c>
      <c r="F396" t="s">
        <v>79</v>
      </c>
      <c r="G396">
        <v>18</v>
      </c>
      <c r="H396">
        <v>8</v>
      </c>
      <c r="I396">
        <v>144</v>
      </c>
      <c r="J396" t="s">
        <v>26</v>
      </c>
    </row>
    <row r="397" spans="1:10" x14ac:dyDescent="0.3">
      <c r="A397" t="s">
        <v>465</v>
      </c>
      <c r="B397" s="5">
        <v>42330</v>
      </c>
      <c r="C397" t="s">
        <v>11</v>
      </c>
      <c r="D397" t="s">
        <v>45</v>
      </c>
      <c r="E397" t="s">
        <v>13</v>
      </c>
      <c r="F397" t="s">
        <v>186</v>
      </c>
      <c r="G397">
        <v>36</v>
      </c>
      <c r="H397">
        <v>3</v>
      </c>
      <c r="I397">
        <v>108</v>
      </c>
      <c r="J397" t="s">
        <v>26</v>
      </c>
    </row>
    <row r="398" spans="1:10" x14ac:dyDescent="0.3">
      <c r="A398" t="s">
        <v>466</v>
      </c>
      <c r="B398" s="5">
        <v>42344</v>
      </c>
      <c r="C398" t="s">
        <v>28</v>
      </c>
      <c r="D398" t="s">
        <v>45</v>
      </c>
      <c r="E398" t="s">
        <v>13</v>
      </c>
      <c r="F398" t="s">
        <v>14</v>
      </c>
      <c r="G398">
        <v>21</v>
      </c>
      <c r="H398">
        <v>4</v>
      </c>
      <c r="I398">
        <v>84</v>
      </c>
      <c r="J398" t="s">
        <v>26</v>
      </c>
    </row>
    <row r="399" spans="1:10" x14ac:dyDescent="0.3">
      <c r="A399" t="s">
        <v>467</v>
      </c>
      <c r="B399" s="5">
        <v>42344</v>
      </c>
      <c r="C399" t="s">
        <v>11</v>
      </c>
      <c r="D399" t="s">
        <v>45</v>
      </c>
      <c r="E399" t="s">
        <v>13</v>
      </c>
      <c r="F399" t="s">
        <v>99</v>
      </c>
      <c r="G399">
        <v>12.5</v>
      </c>
      <c r="H399">
        <v>50</v>
      </c>
      <c r="I399">
        <v>625</v>
      </c>
      <c r="J399" t="s">
        <v>26</v>
      </c>
    </row>
    <row r="400" spans="1:10" x14ac:dyDescent="0.3">
      <c r="A400" t="s">
        <v>468</v>
      </c>
      <c r="B400" s="5">
        <v>42344</v>
      </c>
      <c r="C400" t="s">
        <v>28</v>
      </c>
      <c r="D400" t="s">
        <v>45</v>
      </c>
      <c r="E400" t="s">
        <v>13</v>
      </c>
      <c r="F400" t="s">
        <v>124</v>
      </c>
      <c r="G400">
        <v>21.5</v>
      </c>
      <c r="H400">
        <v>12</v>
      </c>
      <c r="I400">
        <v>258</v>
      </c>
      <c r="J400" t="s">
        <v>26</v>
      </c>
    </row>
    <row r="401" spans="1:10" x14ac:dyDescent="0.3">
      <c r="A401" t="s">
        <v>469</v>
      </c>
      <c r="B401" s="5">
        <v>42345</v>
      </c>
      <c r="C401" t="s">
        <v>20</v>
      </c>
      <c r="D401" t="s">
        <v>12</v>
      </c>
      <c r="E401" t="s">
        <v>13</v>
      </c>
      <c r="F401" t="s">
        <v>14</v>
      </c>
      <c r="G401">
        <v>21</v>
      </c>
      <c r="H401">
        <v>15</v>
      </c>
      <c r="I401">
        <v>315</v>
      </c>
      <c r="J401" t="s">
        <v>26</v>
      </c>
    </row>
    <row r="402" spans="1:10" x14ac:dyDescent="0.3">
      <c r="A402" t="s">
        <v>470</v>
      </c>
      <c r="B402" s="5">
        <v>42351</v>
      </c>
      <c r="C402" t="s">
        <v>20</v>
      </c>
      <c r="D402" t="s">
        <v>12</v>
      </c>
      <c r="E402" t="s">
        <v>51</v>
      </c>
      <c r="F402" t="s">
        <v>81</v>
      </c>
      <c r="G402">
        <v>14</v>
      </c>
      <c r="H402">
        <v>20</v>
      </c>
      <c r="I402">
        <v>280</v>
      </c>
      <c r="J402" t="s">
        <v>26</v>
      </c>
    </row>
    <row r="403" spans="1:10" x14ac:dyDescent="0.3">
      <c r="A403" t="s">
        <v>471</v>
      </c>
      <c r="B403" s="5">
        <v>42353</v>
      </c>
      <c r="C403" t="s">
        <v>31</v>
      </c>
      <c r="D403" t="s">
        <v>24</v>
      </c>
      <c r="E403" t="s">
        <v>13</v>
      </c>
      <c r="F403" t="s">
        <v>99</v>
      </c>
      <c r="G403">
        <v>12.5</v>
      </c>
      <c r="H403">
        <v>1</v>
      </c>
      <c r="I403">
        <v>12.5</v>
      </c>
      <c r="J403" t="s">
        <v>26</v>
      </c>
    </row>
    <row r="404" spans="1:10" x14ac:dyDescent="0.3">
      <c r="A404" t="s">
        <v>472</v>
      </c>
      <c r="B404" s="5">
        <v>42354</v>
      </c>
      <c r="C404" t="s">
        <v>11</v>
      </c>
      <c r="D404" t="s">
        <v>12</v>
      </c>
      <c r="E404" t="s">
        <v>17</v>
      </c>
      <c r="F404" t="s">
        <v>32</v>
      </c>
      <c r="G404">
        <v>263.5</v>
      </c>
      <c r="H404">
        <v>5</v>
      </c>
      <c r="I404">
        <v>1317.5</v>
      </c>
      <c r="J404" t="s">
        <v>26</v>
      </c>
    </row>
    <row r="405" spans="1:10" x14ac:dyDescent="0.3">
      <c r="A405" t="s">
        <v>473</v>
      </c>
      <c r="B405" s="5">
        <v>42354</v>
      </c>
      <c r="C405" t="s">
        <v>11</v>
      </c>
      <c r="D405" t="s">
        <v>12</v>
      </c>
      <c r="E405" t="s">
        <v>13</v>
      </c>
      <c r="F405" t="s">
        <v>99</v>
      </c>
      <c r="G405">
        <v>12.5</v>
      </c>
      <c r="H405">
        <v>10</v>
      </c>
      <c r="I405">
        <v>125</v>
      </c>
      <c r="J405" t="s">
        <v>26</v>
      </c>
    </row>
    <row r="406" spans="1:10" x14ac:dyDescent="0.3">
      <c r="A406" t="s">
        <v>474</v>
      </c>
      <c r="B406" s="5">
        <v>42355</v>
      </c>
      <c r="C406" t="s">
        <v>20</v>
      </c>
      <c r="D406" t="s">
        <v>12</v>
      </c>
      <c r="E406" t="s">
        <v>21</v>
      </c>
      <c r="F406" t="s">
        <v>47</v>
      </c>
      <c r="G406">
        <v>40</v>
      </c>
      <c r="H406">
        <v>30</v>
      </c>
      <c r="I406">
        <v>1200</v>
      </c>
      <c r="J406" t="s">
        <v>15</v>
      </c>
    </row>
    <row r="407" spans="1:10" x14ac:dyDescent="0.3">
      <c r="A407" t="s">
        <v>475</v>
      </c>
      <c r="B407" s="5">
        <v>42355</v>
      </c>
      <c r="C407" t="s">
        <v>28</v>
      </c>
      <c r="D407" t="s">
        <v>12</v>
      </c>
      <c r="E407" t="s">
        <v>21</v>
      </c>
      <c r="F407" t="s">
        <v>22</v>
      </c>
      <c r="G407">
        <v>25.89</v>
      </c>
      <c r="H407">
        <v>15</v>
      </c>
      <c r="I407">
        <v>388.35</v>
      </c>
      <c r="J407" t="s">
        <v>15</v>
      </c>
    </row>
    <row r="408" spans="1:10" x14ac:dyDescent="0.3">
      <c r="A408" t="s">
        <v>476</v>
      </c>
      <c r="B408" s="5">
        <v>42358</v>
      </c>
      <c r="C408" t="s">
        <v>31</v>
      </c>
      <c r="D408" t="s">
        <v>12</v>
      </c>
      <c r="E408" t="s">
        <v>17</v>
      </c>
      <c r="F408" t="s">
        <v>54</v>
      </c>
      <c r="G408">
        <v>30</v>
      </c>
      <c r="H408">
        <v>3</v>
      </c>
      <c r="I408">
        <v>90</v>
      </c>
      <c r="J408" t="s">
        <v>15</v>
      </c>
    </row>
    <row r="409" spans="1:10" x14ac:dyDescent="0.3">
      <c r="A409" t="s">
        <v>477</v>
      </c>
      <c r="B409" s="5">
        <v>42358</v>
      </c>
      <c r="C409" t="s">
        <v>20</v>
      </c>
      <c r="D409" t="s">
        <v>12</v>
      </c>
      <c r="E409" t="s">
        <v>21</v>
      </c>
      <c r="F409" t="s">
        <v>22</v>
      </c>
      <c r="G409">
        <v>38</v>
      </c>
      <c r="H409">
        <v>20</v>
      </c>
      <c r="I409">
        <v>760</v>
      </c>
      <c r="J409" t="s">
        <v>15</v>
      </c>
    </row>
    <row r="410" spans="1:10" x14ac:dyDescent="0.3">
      <c r="A410" t="s">
        <v>478</v>
      </c>
      <c r="B410" s="5">
        <v>42360</v>
      </c>
      <c r="C410" t="s">
        <v>11</v>
      </c>
      <c r="D410" t="s">
        <v>12</v>
      </c>
      <c r="E410" t="s">
        <v>51</v>
      </c>
      <c r="F410" t="s">
        <v>268</v>
      </c>
      <c r="G410">
        <v>7.45</v>
      </c>
      <c r="H410">
        <v>6</v>
      </c>
      <c r="I410">
        <v>44.7</v>
      </c>
      <c r="J410" t="s">
        <v>15</v>
      </c>
    </row>
    <row r="411" spans="1:10" x14ac:dyDescent="0.3">
      <c r="A411" t="s">
        <v>479</v>
      </c>
      <c r="B411" s="5">
        <v>42360</v>
      </c>
      <c r="C411" t="s">
        <v>11</v>
      </c>
      <c r="D411" t="s">
        <v>12</v>
      </c>
      <c r="E411" t="s">
        <v>51</v>
      </c>
      <c r="F411" t="s">
        <v>81</v>
      </c>
      <c r="G411">
        <v>23.25</v>
      </c>
      <c r="H411">
        <v>15</v>
      </c>
      <c r="I411">
        <v>348.75</v>
      </c>
      <c r="J411" t="s">
        <v>15</v>
      </c>
    </row>
    <row r="412" spans="1:10" x14ac:dyDescent="0.3">
      <c r="A412" t="s">
        <v>480</v>
      </c>
      <c r="B412" s="5">
        <v>42360</v>
      </c>
      <c r="C412" t="s">
        <v>28</v>
      </c>
      <c r="D412" t="s">
        <v>45</v>
      </c>
      <c r="E412" t="s">
        <v>17</v>
      </c>
      <c r="F412" t="s">
        <v>54</v>
      </c>
      <c r="G412">
        <v>7</v>
      </c>
      <c r="H412">
        <v>8</v>
      </c>
      <c r="I412">
        <v>56</v>
      </c>
      <c r="J412" t="s">
        <v>26</v>
      </c>
    </row>
    <row r="413" spans="1:10" x14ac:dyDescent="0.3">
      <c r="A413" t="s">
        <v>481</v>
      </c>
      <c r="B413" s="5">
        <v>42360</v>
      </c>
      <c r="C413" t="s">
        <v>28</v>
      </c>
      <c r="D413" t="s">
        <v>45</v>
      </c>
      <c r="E413" t="s">
        <v>51</v>
      </c>
      <c r="F413" t="s">
        <v>81</v>
      </c>
      <c r="G413">
        <v>9.65</v>
      </c>
      <c r="H413">
        <v>14</v>
      </c>
      <c r="I413">
        <v>135.1</v>
      </c>
      <c r="J413" t="s">
        <v>26</v>
      </c>
    </row>
    <row r="414" spans="1:10" x14ac:dyDescent="0.3">
      <c r="A414" t="s">
        <v>482</v>
      </c>
      <c r="B414" s="5">
        <v>42362</v>
      </c>
      <c r="C414" t="s">
        <v>31</v>
      </c>
      <c r="D414" t="s">
        <v>45</v>
      </c>
      <c r="E414" t="s">
        <v>13</v>
      </c>
      <c r="F414" t="s">
        <v>56</v>
      </c>
      <c r="G414">
        <v>34.799999999999997</v>
      </c>
      <c r="H414">
        <v>10</v>
      </c>
      <c r="I414">
        <v>348</v>
      </c>
      <c r="J414" t="s">
        <v>15</v>
      </c>
    </row>
    <row r="415" spans="1:10" x14ac:dyDescent="0.3">
      <c r="A415" t="s">
        <v>483</v>
      </c>
      <c r="B415" s="5">
        <v>42362</v>
      </c>
      <c r="C415" t="s">
        <v>28</v>
      </c>
      <c r="D415" t="s">
        <v>45</v>
      </c>
      <c r="E415" t="s">
        <v>34</v>
      </c>
      <c r="F415" t="s">
        <v>90</v>
      </c>
      <c r="G415">
        <v>49.3</v>
      </c>
      <c r="H415">
        <v>2</v>
      </c>
      <c r="I415">
        <v>98.6</v>
      </c>
      <c r="J415" t="s">
        <v>15</v>
      </c>
    </row>
    <row r="416" spans="1:10" x14ac:dyDescent="0.3">
      <c r="A416" t="s">
        <v>484</v>
      </c>
      <c r="B416" s="5">
        <v>42362</v>
      </c>
      <c r="C416" t="s">
        <v>28</v>
      </c>
      <c r="D416" t="s">
        <v>45</v>
      </c>
      <c r="E416" t="s">
        <v>51</v>
      </c>
      <c r="F416" t="s">
        <v>268</v>
      </c>
      <c r="G416">
        <v>7.45</v>
      </c>
      <c r="H416">
        <v>7</v>
      </c>
      <c r="I416">
        <v>52.15</v>
      </c>
      <c r="J416" t="s">
        <v>26</v>
      </c>
    </row>
    <row r="417" spans="1:10" x14ac:dyDescent="0.3">
      <c r="A417" t="s">
        <v>485</v>
      </c>
      <c r="B417" s="5">
        <v>42362</v>
      </c>
      <c r="C417" t="s">
        <v>31</v>
      </c>
      <c r="D417" t="s">
        <v>45</v>
      </c>
      <c r="E417" t="s">
        <v>34</v>
      </c>
      <c r="F417" t="s">
        <v>64</v>
      </c>
      <c r="G417">
        <v>53</v>
      </c>
      <c r="H417">
        <v>10</v>
      </c>
      <c r="I417">
        <v>530</v>
      </c>
      <c r="J417" t="s">
        <v>26</v>
      </c>
    </row>
    <row r="418" spans="1:10" x14ac:dyDescent="0.3">
      <c r="A418" t="s">
        <v>486</v>
      </c>
      <c r="B418" s="5">
        <v>42362</v>
      </c>
      <c r="C418" t="s">
        <v>20</v>
      </c>
      <c r="D418" t="s">
        <v>45</v>
      </c>
      <c r="E418" t="s">
        <v>13</v>
      </c>
      <c r="F418" t="s">
        <v>14</v>
      </c>
      <c r="G418">
        <v>21</v>
      </c>
      <c r="H418">
        <v>50</v>
      </c>
      <c r="I418">
        <v>1050</v>
      </c>
      <c r="J418" t="s">
        <v>26</v>
      </c>
    </row>
    <row r="419" spans="1:10" x14ac:dyDescent="0.3">
      <c r="A419" t="s">
        <v>487</v>
      </c>
      <c r="B419" s="5">
        <v>42365</v>
      </c>
      <c r="C419" t="s">
        <v>11</v>
      </c>
      <c r="D419" t="s">
        <v>85</v>
      </c>
      <c r="E419" t="s">
        <v>51</v>
      </c>
      <c r="F419" t="s">
        <v>118</v>
      </c>
      <c r="G419">
        <v>39</v>
      </c>
      <c r="H419">
        <v>40</v>
      </c>
      <c r="I419">
        <v>1560</v>
      </c>
      <c r="J419" t="s">
        <v>26</v>
      </c>
    </row>
    <row r="420" spans="1:10" x14ac:dyDescent="0.3">
      <c r="A420" t="s">
        <v>488</v>
      </c>
      <c r="B420" s="5">
        <v>42365</v>
      </c>
      <c r="C420" t="s">
        <v>11</v>
      </c>
      <c r="D420" t="s">
        <v>85</v>
      </c>
      <c r="E420" t="s">
        <v>51</v>
      </c>
      <c r="F420" t="s">
        <v>52</v>
      </c>
      <c r="G420">
        <v>123.79</v>
      </c>
      <c r="H420">
        <v>20</v>
      </c>
      <c r="I420">
        <v>2475.8000000000002</v>
      </c>
      <c r="J420" t="s">
        <v>26</v>
      </c>
    </row>
    <row r="421" spans="1:10" x14ac:dyDescent="0.3">
      <c r="A421" t="s">
        <v>489</v>
      </c>
      <c r="B421" s="5">
        <v>42366</v>
      </c>
      <c r="C421" t="s">
        <v>20</v>
      </c>
      <c r="D421" t="s">
        <v>12</v>
      </c>
      <c r="E421" t="s">
        <v>13</v>
      </c>
      <c r="F421" t="s">
        <v>66</v>
      </c>
      <c r="G421">
        <v>55</v>
      </c>
      <c r="H421">
        <v>15</v>
      </c>
      <c r="I421">
        <v>825</v>
      </c>
      <c r="J421" t="s">
        <v>15</v>
      </c>
    </row>
    <row r="422" spans="1:10" x14ac:dyDescent="0.3">
      <c r="A422" t="s">
        <v>490</v>
      </c>
      <c r="B422" s="5">
        <v>42366</v>
      </c>
      <c r="C422" t="s">
        <v>11</v>
      </c>
      <c r="D422" t="s">
        <v>12</v>
      </c>
      <c r="E422" t="s">
        <v>34</v>
      </c>
      <c r="F422" t="s">
        <v>188</v>
      </c>
      <c r="G422">
        <v>9.1999999999999993</v>
      </c>
      <c r="H422">
        <v>24</v>
      </c>
      <c r="I422">
        <v>220.79999999999998</v>
      </c>
      <c r="J422" t="s">
        <v>15</v>
      </c>
    </row>
    <row r="423" spans="1:10" x14ac:dyDescent="0.3">
      <c r="A423" t="s">
        <v>491</v>
      </c>
      <c r="B423" s="5">
        <v>42366</v>
      </c>
      <c r="C423" t="s">
        <v>20</v>
      </c>
      <c r="D423" t="s">
        <v>12</v>
      </c>
      <c r="E423" t="s">
        <v>34</v>
      </c>
      <c r="F423" t="s">
        <v>68</v>
      </c>
      <c r="G423">
        <v>14</v>
      </c>
      <c r="H423">
        <v>15</v>
      </c>
      <c r="I423">
        <v>210</v>
      </c>
      <c r="J423" t="s">
        <v>15</v>
      </c>
    </row>
    <row r="424" spans="1:10" x14ac:dyDescent="0.3">
      <c r="A424" t="s">
        <v>492</v>
      </c>
      <c r="B424" s="5">
        <v>42366</v>
      </c>
      <c r="C424" t="s">
        <v>28</v>
      </c>
      <c r="D424" t="s">
        <v>45</v>
      </c>
      <c r="E424" t="s">
        <v>51</v>
      </c>
      <c r="F424" t="s">
        <v>81</v>
      </c>
      <c r="G424">
        <v>45.6</v>
      </c>
      <c r="H424">
        <v>24</v>
      </c>
      <c r="I424">
        <v>1094.4000000000001</v>
      </c>
      <c r="J424" t="s">
        <v>26</v>
      </c>
    </row>
    <row r="425" spans="1:10" x14ac:dyDescent="0.3">
      <c r="A425" t="s">
        <v>493</v>
      </c>
      <c r="B425" s="5">
        <v>42366</v>
      </c>
      <c r="C425" t="s">
        <v>31</v>
      </c>
      <c r="D425" t="s">
        <v>45</v>
      </c>
      <c r="E425" t="s">
        <v>51</v>
      </c>
      <c r="F425" t="s">
        <v>81</v>
      </c>
      <c r="G425">
        <v>31</v>
      </c>
      <c r="H425">
        <v>36</v>
      </c>
      <c r="I425">
        <v>1116</v>
      </c>
      <c r="J425" t="s">
        <v>26</v>
      </c>
    </row>
    <row r="426" spans="1:10" x14ac:dyDescent="0.3">
      <c r="A426" t="s">
        <v>494</v>
      </c>
      <c r="B426" s="5">
        <v>42366</v>
      </c>
      <c r="C426" t="s">
        <v>11</v>
      </c>
      <c r="D426" t="s">
        <v>45</v>
      </c>
      <c r="E426" t="s">
        <v>34</v>
      </c>
      <c r="F426" t="s">
        <v>75</v>
      </c>
      <c r="G426">
        <v>20</v>
      </c>
      <c r="H426">
        <v>4</v>
      </c>
      <c r="I426">
        <v>80</v>
      </c>
      <c r="J426" t="s">
        <v>26</v>
      </c>
    </row>
    <row r="427" spans="1:10" x14ac:dyDescent="0.3">
      <c r="A427" t="s">
        <v>495</v>
      </c>
      <c r="B427" s="5">
        <v>42005</v>
      </c>
      <c r="C427" t="s">
        <v>11</v>
      </c>
      <c r="D427" t="s">
        <v>12</v>
      </c>
      <c r="E427" t="s">
        <v>13</v>
      </c>
      <c r="F427" t="s">
        <v>14</v>
      </c>
      <c r="G427">
        <v>45.6</v>
      </c>
      <c r="H427">
        <v>126</v>
      </c>
      <c r="I427">
        <v>5745.6</v>
      </c>
      <c r="J427" t="s">
        <v>15</v>
      </c>
    </row>
    <row r="428" spans="1:10" x14ac:dyDescent="0.3">
      <c r="A428" t="s">
        <v>496</v>
      </c>
      <c r="B428" s="5">
        <v>42005</v>
      </c>
      <c r="C428" t="s">
        <v>20</v>
      </c>
      <c r="D428" t="s">
        <v>12</v>
      </c>
      <c r="E428" t="s">
        <v>21</v>
      </c>
      <c r="F428" t="s">
        <v>22</v>
      </c>
      <c r="G428">
        <v>19</v>
      </c>
      <c r="H428">
        <v>45</v>
      </c>
      <c r="I428">
        <v>855</v>
      </c>
      <c r="J428" t="s">
        <v>15</v>
      </c>
    </row>
    <row r="429" spans="1:10" x14ac:dyDescent="0.3">
      <c r="A429" t="s">
        <v>497</v>
      </c>
      <c r="B429" s="5">
        <v>42005</v>
      </c>
      <c r="C429" t="s">
        <v>20</v>
      </c>
      <c r="D429" t="s">
        <v>12</v>
      </c>
      <c r="E429" t="s">
        <v>21</v>
      </c>
      <c r="F429" t="s">
        <v>22</v>
      </c>
      <c r="G429">
        <v>18.399999999999999</v>
      </c>
      <c r="H429">
        <v>14</v>
      </c>
      <c r="I429">
        <v>257.59999999999997</v>
      </c>
      <c r="J429" t="s">
        <v>15</v>
      </c>
    </row>
    <row r="430" spans="1:10" x14ac:dyDescent="0.3">
      <c r="A430" t="s">
        <v>498</v>
      </c>
      <c r="B430" s="5">
        <v>42005</v>
      </c>
      <c r="C430" t="s">
        <v>20</v>
      </c>
      <c r="D430" t="s">
        <v>12</v>
      </c>
      <c r="E430" t="s">
        <v>34</v>
      </c>
      <c r="F430" t="s">
        <v>241</v>
      </c>
      <c r="G430">
        <v>10</v>
      </c>
      <c r="H430">
        <v>120</v>
      </c>
      <c r="I430">
        <v>1200</v>
      </c>
      <c r="J430" t="s">
        <v>15</v>
      </c>
    </row>
    <row r="431" spans="1:10" x14ac:dyDescent="0.3">
      <c r="A431" t="s">
        <v>499</v>
      </c>
      <c r="B431" s="5">
        <v>42007</v>
      </c>
      <c r="C431" t="s">
        <v>20</v>
      </c>
      <c r="D431" t="s">
        <v>24</v>
      </c>
      <c r="E431" t="s">
        <v>17</v>
      </c>
      <c r="F431" t="s">
        <v>54</v>
      </c>
      <c r="G431">
        <v>23.25</v>
      </c>
      <c r="H431">
        <v>36</v>
      </c>
      <c r="I431">
        <v>837</v>
      </c>
      <c r="J431" t="s">
        <v>15</v>
      </c>
    </row>
    <row r="432" spans="1:10" x14ac:dyDescent="0.3">
      <c r="A432" t="s">
        <v>500</v>
      </c>
      <c r="B432" s="5">
        <v>42007</v>
      </c>
      <c r="C432" t="s">
        <v>20</v>
      </c>
      <c r="D432" t="s">
        <v>24</v>
      </c>
      <c r="E432" t="s">
        <v>34</v>
      </c>
      <c r="F432" t="s">
        <v>241</v>
      </c>
      <c r="G432">
        <v>10</v>
      </c>
      <c r="H432">
        <v>24</v>
      </c>
      <c r="I432">
        <v>240</v>
      </c>
      <c r="J432" t="s">
        <v>15</v>
      </c>
    </row>
    <row r="433" spans="1:10" x14ac:dyDescent="0.3">
      <c r="A433" t="s">
        <v>501</v>
      </c>
      <c r="B433" s="5">
        <v>42012</v>
      </c>
      <c r="C433" t="s">
        <v>11</v>
      </c>
      <c r="D433" t="s">
        <v>12</v>
      </c>
      <c r="E433" t="s">
        <v>13</v>
      </c>
      <c r="F433" t="s">
        <v>113</v>
      </c>
      <c r="G433">
        <v>2.5</v>
      </c>
      <c r="H433">
        <v>350</v>
      </c>
      <c r="I433">
        <v>875</v>
      </c>
      <c r="J433" t="s">
        <v>26</v>
      </c>
    </row>
    <row r="434" spans="1:10" x14ac:dyDescent="0.3">
      <c r="A434" t="s">
        <v>318</v>
      </c>
      <c r="B434" s="5">
        <v>42012</v>
      </c>
      <c r="C434" t="s">
        <v>28</v>
      </c>
      <c r="D434" t="s">
        <v>12</v>
      </c>
      <c r="E434" t="s">
        <v>34</v>
      </c>
      <c r="F434" t="s">
        <v>188</v>
      </c>
      <c r="G434">
        <v>9.1999999999999993</v>
      </c>
      <c r="H434">
        <v>18</v>
      </c>
      <c r="I434">
        <v>165.6</v>
      </c>
      <c r="J434" t="s">
        <v>26</v>
      </c>
    </row>
    <row r="435" spans="1:10" x14ac:dyDescent="0.3">
      <c r="A435" t="s">
        <v>502</v>
      </c>
      <c r="B435" s="5">
        <v>42019</v>
      </c>
      <c r="C435" t="s">
        <v>31</v>
      </c>
      <c r="D435" t="s">
        <v>12</v>
      </c>
      <c r="E435" t="s">
        <v>17</v>
      </c>
      <c r="F435" t="s">
        <v>54</v>
      </c>
      <c r="G435">
        <v>15</v>
      </c>
      <c r="H435">
        <v>64</v>
      </c>
      <c r="I435">
        <v>960</v>
      </c>
      <c r="J435" t="s">
        <v>15</v>
      </c>
    </row>
    <row r="436" spans="1:10" x14ac:dyDescent="0.3">
      <c r="A436" t="s">
        <v>503</v>
      </c>
      <c r="B436" s="5">
        <v>42019</v>
      </c>
      <c r="C436" t="s">
        <v>11</v>
      </c>
      <c r="D436" t="s">
        <v>12</v>
      </c>
      <c r="E436" t="s">
        <v>21</v>
      </c>
      <c r="F436" t="s">
        <v>22</v>
      </c>
      <c r="G436">
        <v>15</v>
      </c>
      <c r="H436">
        <v>160</v>
      </c>
      <c r="I436">
        <v>2400</v>
      </c>
      <c r="J436" t="s">
        <v>15</v>
      </c>
    </row>
    <row r="437" spans="1:10" x14ac:dyDescent="0.3">
      <c r="A437" t="s">
        <v>504</v>
      </c>
      <c r="B437" s="5">
        <v>42019</v>
      </c>
      <c r="C437" t="s">
        <v>28</v>
      </c>
      <c r="D437" t="s">
        <v>12</v>
      </c>
      <c r="E437" t="s">
        <v>34</v>
      </c>
      <c r="F437" t="s">
        <v>64</v>
      </c>
      <c r="G437">
        <v>6</v>
      </c>
      <c r="H437">
        <v>6</v>
      </c>
      <c r="I437">
        <v>36</v>
      </c>
      <c r="J437" t="s">
        <v>15</v>
      </c>
    </row>
    <row r="438" spans="1:10" x14ac:dyDescent="0.3">
      <c r="A438" t="s">
        <v>505</v>
      </c>
      <c r="B438" s="5">
        <v>42019</v>
      </c>
      <c r="C438" t="s">
        <v>20</v>
      </c>
      <c r="D438" t="s">
        <v>12</v>
      </c>
      <c r="E438" t="s">
        <v>51</v>
      </c>
      <c r="F438" t="s">
        <v>138</v>
      </c>
      <c r="G438">
        <v>32.799999999999997</v>
      </c>
      <c r="H438">
        <v>105</v>
      </c>
      <c r="I438">
        <v>3443.9999999999995</v>
      </c>
      <c r="J438" t="s">
        <v>15</v>
      </c>
    </row>
    <row r="439" spans="1:10" x14ac:dyDescent="0.3">
      <c r="A439" t="s">
        <v>506</v>
      </c>
      <c r="B439" s="5">
        <v>42019</v>
      </c>
      <c r="C439" t="s">
        <v>11</v>
      </c>
      <c r="D439" t="s">
        <v>12</v>
      </c>
      <c r="E439" t="s">
        <v>21</v>
      </c>
      <c r="F439" t="s">
        <v>97</v>
      </c>
      <c r="G439">
        <v>13</v>
      </c>
      <c r="H439">
        <v>40</v>
      </c>
      <c r="I439">
        <v>520</v>
      </c>
      <c r="J439" t="s">
        <v>15</v>
      </c>
    </row>
    <row r="440" spans="1:10" x14ac:dyDescent="0.3">
      <c r="A440" t="s">
        <v>507</v>
      </c>
      <c r="B440" s="5">
        <v>42019</v>
      </c>
      <c r="C440" t="s">
        <v>11</v>
      </c>
      <c r="D440" t="s">
        <v>12</v>
      </c>
      <c r="E440" t="s">
        <v>34</v>
      </c>
      <c r="F440" t="s">
        <v>77</v>
      </c>
      <c r="G440">
        <v>31.23</v>
      </c>
      <c r="H440">
        <v>300</v>
      </c>
      <c r="I440">
        <v>9369</v>
      </c>
      <c r="J440" t="s">
        <v>15</v>
      </c>
    </row>
    <row r="441" spans="1:10" x14ac:dyDescent="0.3">
      <c r="A441" t="s">
        <v>508</v>
      </c>
      <c r="B441" s="5">
        <v>42019</v>
      </c>
      <c r="C441" t="s">
        <v>20</v>
      </c>
      <c r="D441" t="s">
        <v>12</v>
      </c>
      <c r="E441" t="s">
        <v>34</v>
      </c>
      <c r="F441" t="s">
        <v>188</v>
      </c>
      <c r="G441">
        <v>9.1999999999999993</v>
      </c>
      <c r="H441">
        <v>24</v>
      </c>
      <c r="I441">
        <v>220.79999999999998</v>
      </c>
      <c r="J441" t="s">
        <v>15</v>
      </c>
    </row>
    <row r="442" spans="1:10" x14ac:dyDescent="0.3">
      <c r="A442" t="s">
        <v>509</v>
      </c>
      <c r="B442" s="5">
        <v>42021</v>
      </c>
      <c r="C442" t="s">
        <v>11</v>
      </c>
      <c r="D442" t="s">
        <v>12</v>
      </c>
      <c r="E442" t="s">
        <v>13</v>
      </c>
      <c r="F442" t="s">
        <v>66</v>
      </c>
      <c r="G442">
        <v>55</v>
      </c>
      <c r="H442">
        <v>200</v>
      </c>
      <c r="I442">
        <v>11000</v>
      </c>
      <c r="J442" t="s">
        <v>26</v>
      </c>
    </row>
    <row r="443" spans="1:10" x14ac:dyDescent="0.3">
      <c r="A443" t="s">
        <v>510</v>
      </c>
      <c r="B443" s="5">
        <v>42021</v>
      </c>
      <c r="C443" t="s">
        <v>20</v>
      </c>
      <c r="D443" t="s">
        <v>12</v>
      </c>
      <c r="E443" t="s">
        <v>13</v>
      </c>
      <c r="F443" t="s">
        <v>99</v>
      </c>
      <c r="G443">
        <v>12.5</v>
      </c>
      <c r="H443">
        <v>112</v>
      </c>
      <c r="I443">
        <v>1400</v>
      </c>
      <c r="J443" t="s">
        <v>26</v>
      </c>
    </row>
    <row r="444" spans="1:10" x14ac:dyDescent="0.3">
      <c r="A444" t="s">
        <v>511</v>
      </c>
      <c r="B444" s="5">
        <v>42025</v>
      </c>
      <c r="C444" t="s">
        <v>11</v>
      </c>
      <c r="D444" t="s">
        <v>85</v>
      </c>
      <c r="E444" t="s">
        <v>34</v>
      </c>
      <c r="F444" t="s">
        <v>64</v>
      </c>
      <c r="G444">
        <v>33.25</v>
      </c>
      <c r="H444">
        <v>21</v>
      </c>
      <c r="I444">
        <v>698.25</v>
      </c>
      <c r="J444" t="s">
        <v>15</v>
      </c>
    </row>
    <row r="445" spans="1:10" x14ac:dyDescent="0.3">
      <c r="A445" t="s">
        <v>512</v>
      </c>
      <c r="B445" s="5">
        <v>42025</v>
      </c>
      <c r="C445" t="s">
        <v>11</v>
      </c>
      <c r="D445" t="s">
        <v>85</v>
      </c>
      <c r="E445" t="s">
        <v>13</v>
      </c>
      <c r="F445" t="s">
        <v>14</v>
      </c>
      <c r="G445">
        <v>38</v>
      </c>
      <c r="H445">
        <v>45</v>
      </c>
      <c r="I445">
        <v>1710</v>
      </c>
      <c r="J445" t="s">
        <v>15</v>
      </c>
    </row>
    <row r="446" spans="1:10" x14ac:dyDescent="0.3">
      <c r="A446" t="s">
        <v>513</v>
      </c>
      <c r="B446" s="5">
        <v>42033</v>
      </c>
      <c r="C446" t="s">
        <v>31</v>
      </c>
      <c r="D446" t="s">
        <v>45</v>
      </c>
      <c r="E446" t="s">
        <v>17</v>
      </c>
      <c r="F446" t="s">
        <v>18</v>
      </c>
      <c r="G446">
        <v>19</v>
      </c>
      <c r="H446">
        <v>50</v>
      </c>
      <c r="I446">
        <v>950</v>
      </c>
      <c r="J446" t="s">
        <v>26</v>
      </c>
    </row>
    <row r="447" spans="1:10" x14ac:dyDescent="0.3">
      <c r="A447" t="s">
        <v>514</v>
      </c>
      <c r="B447" s="5">
        <v>42033</v>
      </c>
      <c r="C447" t="s">
        <v>31</v>
      </c>
      <c r="D447" t="s">
        <v>45</v>
      </c>
      <c r="E447" t="s">
        <v>13</v>
      </c>
      <c r="F447" t="s">
        <v>14</v>
      </c>
      <c r="G447">
        <v>21</v>
      </c>
      <c r="H447">
        <v>48</v>
      </c>
      <c r="I447">
        <v>1008</v>
      </c>
      <c r="J447" t="s">
        <v>26</v>
      </c>
    </row>
    <row r="448" spans="1:10" x14ac:dyDescent="0.3">
      <c r="A448" t="s">
        <v>515</v>
      </c>
      <c r="B448" s="5">
        <v>42033</v>
      </c>
      <c r="C448" t="s">
        <v>31</v>
      </c>
      <c r="D448" t="s">
        <v>45</v>
      </c>
      <c r="E448" t="s">
        <v>13</v>
      </c>
      <c r="F448" t="s">
        <v>56</v>
      </c>
      <c r="G448">
        <v>34.799999999999997</v>
      </c>
      <c r="H448">
        <v>70</v>
      </c>
      <c r="I448">
        <v>2436</v>
      </c>
      <c r="J448" t="s">
        <v>26</v>
      </c>
    </row>
    <row r="449" spans="1:10" x14ac:dyDescent="0.3">
      <c r="A449" t="s">
        <v>516</v>
      </c>
      <c r="B449" s="5">
        <v>42043</v>
      </c>
      <c r="C449" t="s">
        <v>20</v>
      </c>
      <c r="D449" t="s">
        <v>12</v>
      </c>
      <c r="E449" t="s">
        <v>21</v>
      </c>
      <c r="F449" t="s">
        <v>87</v>
      </c>
      <c r="G449">
        <v>21.05</v>
      </c>
      <c r="H449">
        <v>280</v>
      </c>
      <c r="I449">
        <v>5894</v>
      </c>
      <c r="J449" t="s">
        <v>26</v>
      </c>
    </row>
    <row r="450" spans="1:10" x14ac:dyDescent="0.3">
      <c r="A450" t="s">
        <v>334</v>
      </c>
      <c r="B450" s="5">
        <v>42043</v>
      </c>
      <c r="C450" t="s">
        <v>20</v>
      </c>
      <c r="D450" t="s">
        <v>12</v>
      </c>
      <c r="E450" t="s">
        <v>13</v>
      </c>
      <c r="F450" t="s">
        <v>124</v>
      </c>
      <c r="G450">
        <v>21.5</v>
      </c>
      <c r="H450">
        <v>2</v>
      </c>
      <c r="I450">
        <v>43</v>
      </c>
      <c r="J450" t="s">
        <v>26</v>
      </c>
    </row>
    <row r="451" spans="1:10" x14ac:dyDescent="0.3">
      <c r="A451" t="s">
        <v>335</v>
      </c>
      <c r="B451" s="5">
        <v>42043</v>
      </c>
      <c r="C451" t="s">
        <v>28</v>
      </c>
      <c r="D451" t="s">
        <v>12</v>
      </c>
      <c r="E451" t="s">
        <v>34</v>
      </c>
      <c r="F451" t="s">
        <v>188</v>
      </c>
      <c r="G451">
        <v>9.1999999999999993</v>
      </c>
      <c r="H451">
        <v>40</v>
      </c>
      <c r="I451">
        <v>368</v>
      </c>
      <c r="J451" t="s">
        <v>26</v>
      </c>
    </row>
    <row r="452" spans="1:10" x14ac:dyDescent="0.3">
      <c r="A452" t="s">
        <v>517</v>
      </c>
      <c r="B452" s="5">
        <v>42046</v>
      </c>
      <c r="C452" t="s">
        <v>11</v>
      </c>
      <c r="D452" t="s">
        <v>24</v>
      </c>
      <c r="E452" t="s">
        <v>51</v>
      </c>
      <c r="F452" t="s">
        <v>81</v>
      </c>
      <c r="G452">
        <v>18.399999999999999</v>
      </c>
      <c r="H452">
        <v>200</v>
      </c>
      <c r="I452">
        <v>3679.9999999999995</v>
      </c>
      <c r="J452" t="s">
        <v>26</v>
      </c>
    </row>
    <row r="453" spans="1:10" x14ac:dyDescent="0.3">
      <c r="A453" t="s">
        <v>518</v>
      </c>
      <c r="B453" s="5">
        <v>42050</v>
      </c>
      <c r="C453" t="s">
        <v>11</v>
      </c>
      <c r="D453" t="s">
        <v>45</v>
      </c>
      <c r="E453" t="s">
        <v>17</v>
      </c>
      <c r="F453" t="s">
        <v>54</v>
      </c>
      <c r="G453">
        <v>15</v>
      </c>
      <c r="H453">
        <v>150</v>
      </c>
      <c r="I453">
        <v>2250</v>
      </c>
      <c r="J453" t="s">
        <v>26</v>
      </c>
    </row>
    <row r="454" spans="1:10" x14ac:dyDescent="0.3">
      <c r="A454" t="s">
        <v>338</v>
      </c>
      <c r="B454" s="5">
        <v>42050</v>
      </c>
      <c r="C454" t="s">
        <v>31</v>
      </c>
      <c r="D454" t="s">
        <v>45</v>
      </c>
      <c r="E454" t="s">
        <v>34</v>
      </c>
      <c r="F454" t="s">
        <v>339</v>
      </c>
      <c r="G454">
        <v>12.75</v>
      </c>
      <c r="H454">
        <v>135</v>
      </c>
      <c r="I454">
        <v>1721.25</v>
      </c>
      <c r="J454" t="s">
        <v>26</v>
      </c>
    </row>
    <row r="455" spans="1:10" x14ac:dyDescent="0.3">
      <c r="A455" t="s">
        <v>519</v>
      </c>
      <c r="B455" s="5">
        <v>42060</v>
      </c>
      <c r="C455" t="s">
        <v>28</v>
      </c>
      <c r="D455" t="s">
        <v>45</v>
      </c>
      <c r="E455" t="s">
        <v>17</v>
      </c>
      <c r="F455" t="s">
        <v>54</v>
      </c>
      <c r="G455">
        <v>9</v>
      </c>
      <c r="H455">
        <v>168</v>
      </c>
      <c r="I455">
        <v>1512</v>
      </c>
      <c r="J455" t="s">
        <v>15</v>
      </c>
    </row>
    <row r="456" spans="1:10" x14ac:dyDescent="0.3">
      <c r="A456" t="s">
        <v>520</v>
      </c>
      <c r="B456" s="5">
        <v>42060</v>
      </c>
      <c r="C456" t="s">
        <v>11</v>
      </c>
      <c r="D456" t="s">
        <v>45</v>
      </c>
      <c r="E456" t="s">
        <v>21</v>
      </c>
      <c r="F456" t="s">
        <v>22</v>
      </c>
      <c r="G456">
        <v>6</v>
      </c>
      <c r="H456">
        <v>10</v>
      </c>
      <c r="I456">
        <v>60</v>
      </c>
      <c r="J456" t="s">
        <v>15</v>
      </c>
    </row>
    <row r="457" spans="1:10" x14ac:dyDescent="0.3">
      <c r="A457" t="s">
        <v>342</v>
      </c>
      <c r="B457" s="5">
        <v>42063</v>
      </c>
      <c r="C457" t="s">
        <v>28</v>
      </c>
      <c r="D457" t="s">
        <v>12</v>
      </c>
      <c r="E457" t="s">
        <v>13</v>
      </c>
      <c r="F457" t="s">
        <v>14</v>
      </c>
      <c r="G457">
        <v>21</v>
      </c>
      <c r="H457">
        <v>10</v>
      </c>
      <c r="I457">
        <v>210</v>
      </c>
      <c r="J457" t="s">
        <v>15</v>
      </c>
    </row>
    <row r="458" spans="1:10" x14ac:dyDescent="0.3">
      <c r="A458" t="s">
        <v>521</v>
      </c>
      <c r="B458" s="5">
        <v>42063</v>
      </c>
      <c r="C458" t="s">
        <v>20</v>
      </c>
      <c r="D458" t="s">
        <v>12</v>
      </c>
      <c r="E458" t="s">
        <v>21</v>
      </c>
      <c r="F458" t="s">
        <v>22</v>
      </c>
      <c r="G458">
        <v>12</v>
      </c>
      <c r="H458">
        <v>10</v>
      </c>
      <c r="I458">
        <v>120</v>
      </c>
      <c r="J458" t="s">
        <v>15</v>
      </c>
    </row>
    <row r="459" spans="1:10" x14ac:dyDescent="0.3">
      <c r="A459" t="s">
        <v>522</v>
      </c>
      <c r="B459" s="5">
        <v>42067</v>
      </c>
      <c r="C459" t="s">
        <v>28</v>
      </c>
      <c r="D459" t="s">
        <v>45</v>
      </c>
      <c r="E459" t="s">
        <v>34</v>
      </c>
      <c r="F459" t="s">
        <v>64</v>
      </c>
      <c r="G459">
        <v>30</v>
      </c>
      <c r="H459">
        <v>300</v>
      </c>
      <c r="I459">
        <v>9000</v>
      </c>
      <c r="J459" t="s">
        <v>26</v>
      </c>
    </row>
    <row r="460" spans="1:10" x14ac:dyDescent="0.3">
      <c r="A460" t="s">
        <v>523</v>
      </c>
      <c r="B460" s="5">
        <v>42067</v>
      </c>
      <c r="C460" t="s">
        <v>11</v>
      </c>
      <c r="D460" t="s">
        <v>45</v>
      </c>
      <c r="E460" t="s">
        <v>51</v>
      </c>
      <c r="F460" t="s">
        <v>81</v>
      </c>
      <c r="G460">
        <v>38</v>
      </c>
      <c r="H460">
        <v>100</v>
      </c>
      <c r="I460">
        <v>3800</v>
      </c>
      <c r="J460" t="s">
        <v>26</v>
      </c>
    </row>
    <row r="461" spans="1:10" x14ac:dyDescent="0.3">
      <c r="A461" t="s">
        <v>524</v>
      </c>
      <c r="B461" s="5">
        <v>42068</v>
      </c>
      <c r="C461" t="s">
        <v>11</v>
      </c>
      <c r="D461" t="s">
        <v>45</v>
      </c>
      <c r="E461" t="s">
        <v>17</v>
      </c>
      <c r="F461" t="s">
        <v>128</v>
      </c>
      <c r="G461">
        <v>4.5</v>
      </c>
      <c r="H461">
        <v>480</v>
      </c>
      <c r="I461">
        <v>2160</v>
      </c>
      <c r="J461" t="s">
        <v>15</v>
      </c>
    </row>
    <row r="462" spans="1:10" x14ac:dyDescent="0.3">
      <c r="A462" t="s">
        <v>525</v>
      </c>
      <c r="B462" s="5">
        <v>42068</v>
      </c>
      <c r="C462" t="s">
        <v>20</v>
      </c>
      <c r="D462" t="s">
        <v>45</v>
      </c>
      <c r="E462" t="s">
        <v>21</v>
      </c>
      <c r="F462" t="s">
        <v>22</v>
      </c>
      <c r="G462">
        <v>53</v>
      </c>
      <c r="H462">
        <v>36</v>
      </c>
      <c r="I462">
        <v>1908</v>
      </c>
      <c r="J462" t="s">
        <v>15</v>
      </c>
    </row>
    <row r="463" spans="1:10" x14ac:dyDescent="0.3">
      <c r="A463" t="s">
        <v>526</v>
      </c>
      <c r="B463" s="5">
        <v>42069</v>
      </c>
      <c r="C463" t="s">
        <v>20</v>
      </c>
      <c r="D463" t="s">
        <v>45</v>
      </c>
      <c r="E463" t="s">
        <v>13</v>
      </c>
      <c r="F463" t="s">
        <v>113</v>
      </c>
      <c r="G463">
        <v>2.5</v>
      </c>
      <c r="H463">
        <v>60</v>
      </c>
      <c r="I463">
        <v>150</v>
      </c>
      <c r="J463" t="s">
        <v>26</v>
      </c>
    </row>
    <row r="464" spans="1:10" x14ac:dyDescent="0.3">
      <c r="A464" t="s">
        <v>527</v>
      </c>
      <c r="B464" s="5">
        <v>42069</v>
      </c>
      <c r="C464" t="s">
        <v>20</v>
      </c>
      <c r="D464" t="s">
        <v>45</v>
      </c>
      <c r="E464" t="s">
        <v>13</v>
      </c>
      <c r="F464" t="s">
        <v>124</v>
      </c>
      <c r="G464">
        <v>21.5</v>
      </c>
      <c r="H464">
        <v>96</v>
      </c>
      <c r="I464">
        <v>2064</v>
      </c>
      <c r="J464" t="s">
        <v>26</v>
      </c>
    </row>
    <row r="465" spans="1:10" x14ac:dyDescent="0.3">
      <c r="A465" t="s">
        <v>528</v>
      </c>
      <c r="B465" s="5">
        <v>42076</v>
      </c>
      <c r="C465" t="s">
        <v>31</v>
      </c>
      <c r="D465" t="s">
        <v>12</v>
      </c>
      <c r="E465" t="s">
        <v>13</v>
      </c>
      <c r="F465" t="s">
        <v>41</v>
      </c>
      <c r="G465">
        <v>34</v>
      </c>
      <c r="H465">
        <v>80</v>
      </c>
      <c r="I465">
        <v>2720</v>
      </c>
      <c r="J465" t="s">
        <v>26</v>
      </c>
    </row>
    <row r="466" spans="1:10" x14ac:dyDescent="0.3">
      <c r="A466" t="s">
        <v>529</v>
      </c>
      <c r="B466" s="5">
        <v>42076</v>
      </c>
      <c r="C466" t="s">
        <v>28</v>
      </c>
      <c r="D466" t="s">
        <v>12</v>
      </c>
      <c r="E466" t="s">
        <v>34</v>
      </c>
      <c r="F466" t="s">
        <v>75</v>
      </c>
      <c r="G466">
        <v>20</v>
      </c>
      <c r="H466">
        <v>240</v>
      </c>
      <c r="I466">
        <v>4800</v>
      </c>
      <c r="J466" t="s">
        <v>26</v>
      </c>
    </row>
    <row r="467" spans="1:10" x14ac:dyDescent="0.3">
      <c r="A467" t="s">
        <v>530</v>
      </c>
      <c r="B467" s="5">
        <v>42080</v>
      </c>
      <c r="C467" t="s">
        <v>11</v>
      </c>
      <c r="D467" t="s">
        <v>45</v>
      </c>
      <c r="E467" t="s">
        <v>51</v>
      </c>
      <c r="F467" t="s">
        <v>81</v>
      </c>
      <c r="G467">
        <v>53</v>
      </c>
      <c r="H467">
        <v>9</v>
      </c>
      <c r="I467">
        <v>477</v>
      </c>
      <c r="J467" t="s">
        <v>26</v>
      </c>
    </row>
    <row r="468" spans="1:10" x14ac:dyDescent="0.3">
      <c r="A468" t="s">
        <v>353</v>
      </c>
      <c r="B468" s="5">
        <v>42080</v>
      </c>
      <c r="C468" t="s">
        <v>31</v>
      </c>
      <c r="D468" t="s">
        <v>45</v>
      </c>
      <c r="E468" t="s">
        <v>17</v>
      </c>
      <c r="F468" t="s">
        <v>54</v>
      </c>
      <c r="G468">
        <v>18.399999999999999</v>
      </c>
      <c r="H468">
        <v>10</v>
      </c>
      <c r="I468">
        <v>184</v>
      </c>
      <c r="J468" t="s">
        <v>26</v>
      </c>
    </row>
    <row r="469" spans="1:10" x14ac:dyDescent="0.3">
      <c r="A469" t="s">
        <v>531</v>
      </c>
      <c r="B469" s="5">
        <v>42080</v>
      </c>
      <c r="C469" t="s">
        <v>31</v>
      </c>
      <c r="D469" t="s">
        <v>45</v>
      </c>
      <c r="E469" t="s">
        <v>34</v>
      </c>
      <c r="F469" t="s">
        <v>241</v>
      </c>
      <c r="G469">
        <v>10</v>
      </c>
      <c r="H469">
        <v>28</v>
      </c>
      <c r="I469">
        <v>280</v>
      </c>
      <c r="J469" t="s">
        <v>26</v>
      </c>
    </row>
    <row r="470" spans="1:10" x14ac:dyDescent="0.3">
      <c r="A470" t="s">
        <v>532</v>
      </c>
      <c r="B470" s="5">
        <v>42082</v>
      </c>
      <c r="C470" t="s">
        <v>31</v>
      </c>
      <c r="D470" t="s">
        <v>12</v>
      </c>
      <c r="E470" t="s">
        <v>51</v>
      </c>
      <c r="F470" t="s">
        <v>268</v>
      </c>
      <c r="G470">
        <v>7.45</v>
      </c>
      <c r="H470">
        <v>144</v>
      </c>
      <c r="I470">
        <v>1072.8</v>
      </c>
      <c r="J470" t="s">
        <v>26</v>
      </c>
    </row>
    <row r="471" spans="1:10" x14ac:dyDescent="0.3">
      <c r="A471" t="s">
        <v>533</v>
      </c>
      <c r="B471" s="5">
        <v>42082</v>
      </c>
      <c r="C471" t="s">
        <v>20</v>
      </c>
      <c r="D471" t="s">
        <v>12</v>
      </c>
      <c r="E471" t="s">
        <v>34</v>
      </c>
      <c r="F471" t="s">
        <v>188</v>
      </c>
      <c r="G471">
        <v>9.1999999999999993</v>
      </c>
      <c r="H471">
        <v>10</v>
      </c>
      <c r="I471">
        <v>92</v>
      </c>
      <c r="J471" t="s">
        <v>26</v>
      </c>
    </row>
    <row r="472" spans="1:10" x14ac:dyDescent="0.3">
      <c r="A472" t="s">
        <v>534</v>
      </c>
      <c r="B472" s="5">
        <v>42089</v>
      </c>
      <c r="C472" t="s">
        <v>20</v>
      </c>
      <c r="D472" t="s">
        <v>12</v>
      </c>
      <c r="E472" t="s">
        <v>17</v>
      </c>
      <c r="F472" t="s">
        <v>54</v>
      </c>
      <c r="G472">
        <v>38</v>
      </c>
      <c r="H472">
        <v>240</v>
      </c>
      <c r="I472">
        <v>9120</v>
      </c>
      <c r="J472" t="s">
        <v>26</v>
      </c>
    </row>
    <row r="473" spans="1:10" x14ac:dyDescent="0.3">
      <c r="A473" t="s">
        <v>535</v>
      </c>
      <c r="B473" s="5">
        <v>42091</v>
      </c>
      <c r="C473" t="s">
        <v>31</v>
      </c>
      <c r="D473" t="s">
        <v>12</v>
      </c>
      <c r="E473" t="s">
        <v>13</v>
      </c>
      <c r="F473" t="s">
        <v>99</v>
      </c>
      <c r="G473">
        <v>12.5</v>
      </c>
      <c r="H473">
        <v>120</v>
      </c>
      <c r="I473">
        <v>1500</v>
      </c>
      <c r="J473" t="s">
        <v>26</v>
      </c>
    </row>
    <row r="474" spans="1:10" x14ac:dyDescent="0.3">
      <c r="A474" t="s">
        <v>359</v>
      </c>
      <c r="B474" s="5">
        <v>42108</v>
      </c>
      <c r="C474" t="s">
        <v>28</v>
      </c>
      <c r="D474" t="s">
        <v>12</v>
      </c>
      <c r="E474" t="s">
        <v>17</v>
      </c>
      <c r="F474" t="s">
        <v>128</v>
      </c>
      <c r="G474">
        <v>4.5</v>
      </c>
      <c r="H474">
        <v>10</v>
      </c>
      <c r="I474">
        <v>45</v>
      </c>
      <c r="J474" t="s">
        <v>26</v>
      </c>
    </row>
    <row r="475" spans="1:10" x14ac:dyDescent="0.3">
      <c r="A475" t="s">
        <v>536</v>
      </c>
      <c r="B475" s="5">
        <v>42108</v>
      </c>
      <c r="C475" t="s">
        <v>28</v>
      </c>
      <c r="D475" t="s">
        <v>12</v>
      </c>
      <c r="E475" t="s">
        <v>13</v>
      </c>
      <c r="F475" t="s">
        <v>41</v>
      </c>
      <c r="G475">
        <v>34</v>
      </c>
      <c r="H475">
        <v>96</v>
      </c>
      <c r="I475">
        <v>3264</v>
      </c>
      <c r="J475" t="s">
        <v>26</v>
      </c>
    </row>
    <row r="476" spans="1:10" x14ac:dyDescent="0.3">
      <c r="A476" t="s">
        <v>537</v>
      </c>
      <c r="B476" s="5">
        <v>42108</v>
      </c>
      <c r="C476" t="s">
        <v>11</v>
      </c>
      <c r="D476" t="s">
        <v>12</v>
      </c>
      <c r="E476" t="s">
        <v>51</v>
      </c>
      <c r="F476" t="s">
        <v>81</v>
      </c>
      <c r="G476">
        <v>12</v>
      </c>
      <c r="H476">
        <v>36</v>
      </c>
      <c r="I476">
        <v>432</v>
      </c>
      <c r="J476" t="s">
        <v>26</v>
      </c>
    </row>
    <row r="477" spans="1:10" x14ac:dyDescent="0.3">
      <c r="A477" t="s">
        <v>538</v>
      </c>
      <c r="B477" s="5">
        <v>42108</v>
      </c>
      <c r="C477" t="s">
        <v>11</v>
      </c>
      <c r="D477" t="s">
        <v>12</v>
      </c>
      <c r="E477" t="s">
        <v>34</v>
      </c>
      <c r="F477" t="s">
        <v>136</v>
      </c>
      <c r="G477">
        <v>9.5</v>
      </c>
      <c r="H477">
        <v>54</v>
      </c>
      <c r="I477">
        <v>513</v>
      </c>
      <c r="J477" t="s">
        <v>26</v>
      </c>
    </row>
    <row r="478" spans="1:10" x14ac:dyDescent="0.3">
      <c r="A478" t="s">
        <v>539</v>
      </c>
      <c r="B478" s="5">
        <v>42111</v>
      </c>
      <c r="C478" t="s">
        <v>28</v>
      </c>
      <c r="D478" t="s">
        <v>45</v>
      </c>
      <c r="E478" t="s">
        <v>17</v>
      </c>
      <c r="F478" t="s">
        <v>54</v>
      </c>
      <c r="G478">
        <v>15</v>
      </c>
      <c r="H478">
        <v>30</v>
      </c>
      <c r="I478">
        <v>450</v>
      </c>
      <c r="J478" t="s">
        <v>26</v>
      </c>
    </row>
    <row r="479" spans="1:10" x14ac:dyDescent="0.3">
      <c r="A479" t="s">
        <v>540</v>
      </c>
      <c r="B479" s="5">
        <v>42111</v>
      </c>
      <c r="C479" t="s">
        <v>28</v>
      </c>
      <c r="D479" t="s">
        <v>45</v>
      </c>
      <c r="E479" t="s">
        <v>13</v>
      </c>
      <c r="F479" t="s">
        <v>14</v>
      </c>
      <c r="G479">
        <v>7</v>
      </c>
      <c r="H479">
        <v>60</v>
      </c>
      <c r="I479">
        <v>420</v>
      </c>
      <c r="J479" t="s">
        <v>26</v>
      </c>
    </row>
    <row r="480" spans="1:10" x14ac:dyDescent="0.3">
      <c r="A480" t="s">
        <v>541</v>
      </c>
      <c r="B480" s="5">
        <v>42111</v>
      </c>
      <c r="C480" t="s">
        <v>11</v>
      </c>
      <c r="D480" t="s">
        <v>45</v>
      </c>
      <c r="E480" t="s">
        <v>13</v>
      </c>
      <c r="F480" t="s">
        <v>66</v>
      </c>
      <c r="G480">
        <v>55</v>
      </c>
      <c r="H480">
        <v>16</v>
      </c>
      <c r="I480">
        <v>880</v>
      </c>
      <c r="J480" t="s">
        <v>26</v>
      </c>
    </row>
    <row r="481" spans="1:10" x14ac:dyDescent="0.3">
      <c r="A481" t="s">
        <v>542</v>
      </c>
      <c r="B481" s="5">
        <v>42116</v>
      </c>
      <c r="C481" t="s">
        <v>31</v>
      </c>
      <c r="D481" t="s">
        <v>24</v>
      </c>
      <c r="E481" t="s">
        <v>34</v>
      </c>
      <c r="F481" t="s">
        <v>64</v>
      </c>
      <c r="G481">
        <v>9.65</v>
      </c>
      <c r="H481">
        <v>90</v>
      </c>
      <c r="I481">
        <v>868.5</v>
      </c>
      <c r="J481" t="s">
        <v>26</v>
      </c>
    </row>
    <row r="482" spans="1:10" x14ac:dyDescent="0.3">
      <c r="A482" t="s">
        <v>543</v>
      </c>
      <c r="B482" s="5">
        <v>42116</v>
      </c>
      <c r="C482" t="s">
        <v>20</v>
      </c>
      <c r="D482" t="s">
        <v>24</v>
      </c>
      <c r="E482" t="s">
        <v>17</v>
      </c>
      <c r="F482" t="s">
        <v>72</v>
      </c>
      <c r="G482">
        <v>18</v>
      </c>
      <c r="H482">
        <v>18</v>
      </c>
      <c r="I482">
        <v>324</v>
      </c>
      <c r="J482" t="s">
        <v>26</v>
      </c>
    </row>
    <row r="483" spans="1:10" x14ac:dyDescent="0.3">
      <c r="A483" t="s">
        <v>544</v>
      </c>
      <c r="B483" s="5">
        <v>42116</v>
      </c>
      <c r="C483" t="s">
        <v>11</v>
      </c>
      <c r="D483" t="s">
        <v>24</v>
      </c>
      <c r="E483" t="s">
        <v>34</v>
      </c>
      <c r="F483" t="s">
        <v>43</v>
      </c>
      <c r="G483">
        <v>12.5</v>
      </c>
      <c r="H483">
        <v>240</v>
      </c>
      <c r="I483">
        <v>3000</v>
      </c>
      <c r="J483" t="s">
        <v>26</v>
      </c>
    </row>
    <row r="484" spans="1:10" x14ac:dyDescent="0.3">
      <c r="A484" t="s">
        <v>545</v>
      </c>
      <c r="B484" s="5">
        <v>42118</v>
      </c>
      <c r="C484" t="s">
        <v>28</v>
      </c>
      <c r="D484" t="s">
        <v>45</v>
      </c>
      <c r="E484" t="s">
        <v>51</v>
      </c>
      <c r="F484" t="s">
        <v>118</v>
      </c>
      <c r="G484">
        <v>39</v>
      </c>
      <c r="H484">
        <v>250</v>
      </c>
      <c r="I484">
        <v>9750</v>
      </c>
      <c r="J484" t="s">
        <v>26</v>
      </c>
    </row>
    <row r="485" spans="1:10" x14ac:dyDescent="0.3">
      <c r="A485" t="s">
        <v>546</v>
      </c>
      <c r="B485" s="5">
        <v>42118</v>
      </c>
      <c r="C485" t="s">
        <v>20</v>
      </c>
      <c r="D485" t="s">
        <v>45</v>
      </c>
      <c r="E485" t="s">
        <v>17</v>
      </c>
      <c r="F485" t="s">
        <v>54</v>
      </c>
      <c r="G485">
        <v>26</v>
      </c>
      <c r="H485">
        <v>72</v>
      </c>
      <c r="I485">
        <v>1872</v>
      </c>
      <c r="J485" t="s">
        <v>26</v>
      </c>
    </row>
    <row r="486" spans="1:10" x14ac:dyDescent="0.3">
      <c r="A486" t="s">
        <v>547</v>
      </c>
      <c r="B486" s="5">
        <v>42118</v>
      </c>
      <c r="C486" t="s">
        <v>28</v>
      </c>
      <c r="D486" t="s">
        <v>45</v>
      </c>
      <c r="E486" t="s">
        <v>13</v>
      </c>
      <c r="F486" t="s">
        <v>14</v>
      </c>
      <c r="G486">
        <v>9.65</v>
      </c>
      <c r="H486">
        <v>18</v>
      </c>
      <c r="I486">
        <v>173.70000000000002</v>
      </c>
      <c r="J486" t="s">
        <v>26</v>
      </c>
    </row>
    <row r="487" spans="1:10" x14ac:dyDescent="0.3">
      <c r="A487" t="s">
        <v>548</v>
      </c>
      <c r="B487" s="5">
        <v>42118</v>
      </c>
      <c r="C487" t="s">
        <v>20</v>
      </c>
      <c r="D487" t="s">
        <v>45</v>
      </c>
      <c r="E487" t="s">
        <v>34</v>
      </c>
      <c r="F487" t="s">
        <v>35</v>
      </c>
      <c r="G487">
        <v>81</v>
      </c>
      <c r="H487">
        <v>45</v>
      </c>
      <c r="I487">
        <v>3645</v>
      </c>
      <c r="J487" t="s">
        <v>26</v>
      </c>
    </row>
    <row r="488" spans="1:10" x14ac:dyDescent="0.3">
      <c r="A488" t="s">
        <v>549</v>
      </c>
      <c r="B488" s="5">
        <v>42125</v>
      </c>
      <c r="C488" t="s">
        <v>31</v>
      </c>
      <c r="D488" t="s">
        <v>24</v>
      </c>
      <c r="E488" t="s">
        <v>13</v>
      </c>
      <c r="F488" t="s">
        <v>66</v>
      </c>
      <c r="G488">
        <v>55</v>
      </c>
      <c r="H488">
        <v>300</v>
      </c>
      <c r="I488">
        <v>16500</v>
      </c>
      <c r="J488" t="s">
        <v>15</v>
      </c>
    </row>
    <row r="489" spans="1:10" x14ac:dyDescent="0.3">
      <c r="A489" t="s">
        <v>550</v>
      </c>
      <c r="B489" s="5">
        <v>42126</v>
      </c>
      <c r="C489" t="s">
        <v>28</v>
      </c>
      <c r="D489" t="s">
        <v>45</v>
      </c>
      <c r="E489" t="s">
        <v>21</v>
      </c>
      <c r="F489" t="s">
        <v>375</v>
      </c>
      <c r="G489">
        <v>17</v>
      </c>
      <c r="H489">
        <v>216</v>
      </c>
      <c r="I489">
        <v>3672</v>
      </c>
      <c r="J489" t="s">
        <v>26</v>
      </c>
    </row>
    <row r="490" spans="1:10" x14ac:dyDescent="0.3">
      <c r="A490" t="s">
        <v>551</v>
      </c>
      <c r="B490" s="5">
        <v>42126</v>
      </c>
      <c r="C490" t="s">
        <v>20</v>
      </c>
      <c r="D490" t="s">
        <v>45</v>
      </c>
      <c r="E490" t="s">
        <v>34</v>
      </c>
      <c r="F490" t="s">
        <v>64</v>
      </c>
      <c r="G490">
        <v>25.89</v>
      </c>
      <c r="H490">
        <v>150</v>
      </c>
      <c r="I490">
        <v>3883.5</v>
      </c>
      <c r="J490" t="s">
        <v>26</v>
      </c>
    </row>
    <row r="491" spans="1:10" x14ac:dyDescent="0.3">
      <c r="A491" t="s">
        <v>552</v>
      </c>
      <c r="B491" s="5">
        <v>42132</v>
      </c>
      <c r="C491" t="s">
        <v>28</v>
      </c>
      <c r="D491" t="s">
        <v>45</v>
      </c>
      <c r="E491" t="s">
        <v>17</v>
      </c>
      <c r="F491" t="s">
        <v>54</v>
      </c>
      <c r="G491">
        <v>15</v>
      </c>
      <c r="H491">
        <v>28</v>
      </c>
      <c r="I491">
        <v>420</v>
      </c>
      <c r="J491" t="s">
        <v>26</v>
      </c>
    </row>
    <row r="492" spans="1:10" x14ac:dyDescent="0.3">
      <c r="A492" t="s">
        <v>553</v>
      </c>
      <c r="B492" s="5">
        <v>42132</v>
      </c>
      <c r="C492" t="s">
        <v>11</v>
      </c>
      <c r="D492" t="s">
        <v>45</v>
      </c>
      <c r="E492" t="s">
        <v>13</v>
      </c>
      <c r="F492" t="s">
        <v>56</v>
      </c>
      <c r="G492">
        <v>34.799999999999997</v>
      </c>
      <c r="H492">
        <v>7</v>
      </c>
      <c r="I492">
        <v>243.59999999999997</v>
      </c>
      <c r="J492" t="s">
        <v>26</v>
      </c>
    </row>
    <row r="493" spans="1:10" x14ac:dyDescent="0.3">
      <c r="A493" t="s">
        <v>379</v>
      </c>
      <c r="B493" s="5">
        <v>42133</v>
      </c>
      <c r="C493" t="s">
        <v>20</v>
      </c>
      <c r="D493" t="s">
        <v>45</v>
      </c>
      <c r="E493" t="s">
        <v>13</v>
      </c>
      <c r="F493" t="s">
        <v>113</v>
      </c>
      <c r="G493">
        <v>2.5</v>
      </c>
      <c r="H493">
        <v>15</v>
      </c>
      <c r="I493">
        <v>37.5</v>
      </c>
      <c r="J493" t="s">
        <v>26</v>
      </c>
    </row>
    <row r="494" spans="1:10" x14ac:dyDescent="0.3">
      <c r="A494" t="s">
        <v>380</v>
      </c>
      <c r="B494" s="5">
        <v>42133</v>
      </c>
      <c r="C494" t="s">
        <v>28</v>
      </c>
      <c r="D494" t="s">
        <v>45</v>
      </c>
      <c r="E494" t="s">
        <v>34</v>
      </c>
      <c r="F494" t="s">
        <v>64</v>
      </c>
      <c r="G494">
        <v>6</v>
      </c>
      <c r="H494">
        <v>8</v>
      </c>
      <c r="I494">
        <v>48</v>
      </c>
      <c r="J494" t="s">
        <v>26</v>
      </c>
    </row>
    <row r="495" spans="1:10" x14ac:dyDescent="0.3">
      <c r="A495" t="s">
        <v>554</v>
      </c>
      <c r="B495" s="5">
        <v>42133</v>
      </c>
      <c r="C495" t="s">
        <v>20</v>
      </c>
      <c r="D495" t="s">
        <v>45</v>
      </c>
      <c r="E495" t="s">
        <v>34</v>
      </c>
      <c r="F495" t="s">
        <v>241</v>
      </c>
      <c r="G495">
        <v>10</v>
      </c>
      <c r="H495">
        <v>135</v>
      </c>
      <c r="I495">
        <v>1350</v>
      </c>
      <c r="J495" t="s">
        <v>26</v>
      </c>
    </row>
    <row r="496" spans="1:10" x14ac:dyDescent="0.3">
      <c r="A496" t="s">
        <v>382</v>
      </c>
      <c r="B496" s="5">
        <v>42133</v>
      </c>
      <c r="C496" t="s">
        <v>28</v>
      </c>
      <c r="D496" t="s">
        <v>45</v>
      </c>
      <c r="E496" t="s">
        <v>34</v>
      </c>
      <c r="F496" t="s">
        <v>75</v>
      </c>
      <c r="G496">
        <v>20</v>
      </c>
      <c r="H496">
        <v>6</v>
      </c>
      <c r="I496">
        <v>120</v>
      </c>
      <c r="J496" t="s">
        <v>26</v>
      </c>
    </row>
    <row r="497" spans="1:10" x14ac:dyDescent="0.3">
      <c r="A497" t="s">
        <v>555</v>
      </c>
      <c r="B497" s="5">
        <v>42136</v>
      </c>
      <c r="C497" t="s">
        <v>20</v>
      </c>
      <c r="D497" t="s">
        <v>24</v>
      </c>
      <c r="E497" t="s">
        <v>17</v>
      </c>
      <c r="F497" t="s">
        <v>32</v>
      </c>
      <c r="G497">
        <v>263.5</v>
      </c>
      <c r="H497">
        <v>12</v>
      </c>
      <c r="I497">
        <v>3162</v>
      </c>
      <c r="J497" t="s">
        <v>15</v>
      </c>
    </row>
    <row r="498" spans="1:10" x14ac:dyDescent="0.3">
      <c r="A498" t="s">
        <v>556</v>
      </c>
      <c r="B498" s="5">
        <v>42136</v>
      </c>
      <c r="C498" t="s">
        <v>20</v>
      </c>
      <c r="D498" t="s">
        <v>12</v>
      </c>
      <c r="E498" t="s">
        <v>17</v>
      </c>
      <c r="F498" t="s">
        <v>128</v>
      </c>
      <c r="G498">
        <v>4.5</v>
      </c>
      <c r="H498">
        <v>70</v>
      </c>
      <c r="I498">
        <v>315</v>
      </c>
      <c r="J498" t="s">
        <v>15</v>
      </c>
    </row>
    <row r="499" spans="1:10" x14ac:dyDescent="0.3">
      <c r="A499" t="s">
        <v>557</v>
      </c>
      <c r="B499" s="5">
        <v>42136</v>
      </c>
      <c r="C499" t="s">
        <v>31</v>
      </c>
      <c r="D499" t="s">
        <v>12</v>
      </c>
      <c r="E499" t="s">
        <v>21</v>
      </c>
      <c r="F499" t="s">
        <v>87</v>
      </c>
      <c r="G499">
        <v>21.05</v>
      </c>
      <c r="H499">
        <v>324</v>
      </c>
      <c r="I499">
        <v>6820.2</v>
      </c>
      <c r="J499" t="s">
        <v>15</v>
      </c>
    </row>
    <row r="500" spans="1:10" x14ac:dyDescent="0.3">
      <c r="A500" t="s">
        <v>558</v>
      </c>
      <c r="B500" s="5">
        <v>42140</v>
      </c>
      <c r="C500" t="s">
        <v>28</v>
      </c>
      <c r="D500" t="s">
        <v>45</v>
      </c>
      <c r="E500" t="s">
        <v>13</v>
      </c>
      <c r="F500" t="s">
        <v>121</v>
      </c>
      <c r="G500">
        <v>32</v>
      </c>
      <c r="H500">
        <v>96</v>
      </c>
      <c r="I500">
        <v>3072</v>
      </c>
      <c r="J500" t="s">
        <v>26</v>
      </c>
    </row>
    <row r="501" spans="1:10" x14ac:dyDescent="0.3">
      <c r="A501" t="s">
        <v>559</v>
      </c>
      <c r="B501" s="5">
        <v>42140</v>
      </c>
      <c r="C501" t="s">
        <v>11</v>
      </c>
      <c r="D501" t="s">
        <v>45</v>
      </c>
      <c r="E501" t="s">
        <v>21</v>
      </c>
      <c r="F501" t="s">
        <v>22</v>
      </c>
      <c r="G501">
        <v>19</v>
      </c>
      <c r="H501">
        <v>240</v>
      </c>
      <c r="I501">
        <v>4560</v>
      </c>
      <c r="J501" t="s">
        <v>26</v>
      </c>
    </row>
    <row r="502" spans="1:10" x14ac:dyDescent="0.3">
      <c r="A502" t="s">
        <v>560</v>
      </c>
      <c r="B502" s="5">
        <v>42145</v>
      </c>
      <c r="C502" t="s">
        <v>31</v>
      </c>
      <c r="D502" t="s">
        <v>85</v>
      </c>
      <c r="E502" t="s">
        <v>51</v>
      </c>
      <c r="F502" t="s">
        <v>118</v>
      </c>
      <c r="G502">
        <v>39</v>
      </c>
      <c r="H502">
        <v>80</v>
      </c>
      <c r="I502">
        <v>3120</v>
      </c>
      <c r="J502" t="s">
        <v>26</v>
      </c>
    </row>
    <row r="503" spans="1:10" x14ac:dyDescent="0.3">
      <c r="A503" t="s">
        <v>561</v>
      </c>
      <c r="B503" s="5">
        <v>42145</v>
      </c>
      <c r="C503" t="s">
        <v>20</v>
      </c>
      <c r="D503" t="s">
        <v>85</v>
      </c>
      <c r="E503" t="s">
        <v>21</v>
      </c>
      <c r="F503" t="s">
        <v>22</v>
      </c>
      <c r="G503">
        <v>28.5</v>
      </c>
      <c r="H503">
        <v>70</v>
      </c>
      <c r="I503">
        <v>1995</v>
      </c>
      <c r="J503" t="s">
        <v>26</v>
      </c>
    </row>
    <row r="504" spans="1:10" x14ac:dyDescent="0.3">
      <c r="A504" t="s">
        <v>562</v>
      </c>
      <c r="B504" s="5">
        <v>42145</v>
      </c>
      <c r="C504" t="s">
        <v>20</v>
      </c>
      <c r="D504" t="s">
        <v>85</v>
      </c>
      <c r="E504" t="s">
        <v>34</v>
      </c>
      <c r="F504" t="s">
        <v>188</v>
      </c>
      <c r="G504">
        <v>9.1999999999999993</v>
      </c>
      <c r="H504">
        <v>70</v>
      </c>
      <c r="I504">
        <v>644</v>
      </c>
      <c r="J504" t="s">
        <v>26</v>
      </c>
    </row>
    <row r="505" spans="1:10" x14ac:dyDescent="0.3">
      <c r="A505" t="s">
        <v>563</v>
      </c>
      <c r="B505" s="5">
        <v>42145</v>
      </c>
      <c r="C505" t="s">
        <v>31</v>
      </c>
      <c r="D505" t="s">
        <v>85</v>
      </c>
      <c r="E505" t="s">
        <v>34</v>
      </c>
      <c r="F505" t="s">
        <v>241</v>
      </c>
      <c r="G505">
        <v>10</v>
      </c>
      <c r="H505">
        <v>24</v>
      </c>
      <c r="I505">
        <v>240</v>
      </c>
      <c r="J505" t="s">
        <v>26</v>
      </c>
    </row>
    <row r="506" spans="1:10" x14ac:dyDescent="0.3">
      <c r="A506" t="s">
        <v>564</v>
      </c>
      <c r="B506" s="5">
        <v>42152</v>
      </c>
      <c r="C506" t="s">
        <v>20</v>
      </c>
      <c r="D506" t="s">
        <v>45</v>
      </c>
      <c r="E506" t="s">
        <v>51</v>
      </c>
      <c r="F506" t="s">
        <v>138</v>
      </c>
      <c r="G506">
        <v>32.799999999999997</v>
      </c>
      <c r="H506">
        <v>36</v>
      </c>
      <c r="I506">
        <v>1180.8</v>
      </c>
      <c r="J506" t="s">
        <v>26</v>
      </c>
    </row>
    <row r="507" spans="1:10" x14ac:dyDescent="0.3">
      <c r="A507" t="s">
        <v>565</v>
      </c>
      <c r="B507" s="5">
        <v>42152</v>
      </c>
      <c r="C507" t="s">
        <v>20</v>
      </c>
      <c r="D507" t="s">
        <v>45</v>
      </c>
      <c r="E507" t="s">
        <v>34</v>
      </c>
      <c r="F507" t="s">
        <v>64</v>
      </c>
      <c r="G507">
        <v>53</v>
      </c>
      <c r="H507">
        <v>80</v>
      </c>
      <c r="I507">
        <v>4240</v>
      </c>
      <c r="J507" t="s">
        <v>26</v>
      </c>
    </row>
    <row r="508" spans="1:10" x14ac:dyDescent="0.3">
      <c r="A508" t="s">
        <v>566</v>
      </c>
      <c r="B508" s="5">
        <v>42152</v>
      </c>
      <c r="C508" t="s">
        <v>11</v>
      </c>
      <c r="D508" t="s">
        <v>45</v>
      </c>
      <c r="E508" t="s">
        <v>13</v>
      </c>
      <c r="F508" t="s">
        <v>14</v>
      </c>
      <c r="G508">
        <v>7</v>
      </c>
      <c r="H508">
        <v>120</v>
      </c>
      <c r="I508">
        <v>840</v>
      </c>
      <c r="J508" t="s">
        <v>26</v>
      </c>
    </row>
    <row r="509" spans="1:10" x14ac:dyDescent="0.3">
      <c r="A509" t="s">
        <v>567</v>
      </c>
      <c r="B509" s="5">
        <v>42152</v>
      </c>
      <c r="C509" t="s">
        <v>28</v>
      </c>
      <c r="D509" t="s">
        <v>45</v>
      </c>
      <c r="E509" t="s">
        <v>17</v>
      </c>
      <c r="F509" t="s">
        <v>54</v>
      </c>
      <c r="G509">
        <v>15</v>
      </c>
      <c r="H509">
        <v>24</v>
      </c>
      <c r="I509">
        <v>360</v>
      </c>
      <c r="J509" t="s">
        <v>26</v>
      </c>
    </row>
    <row r="510" spans="1:10" x14ac:dyDescent="0.3">
      <c r="A510" t="s">
        <v>395</v>
      </c>
      <c r="B510" s="5">
        <v>42152</v>
      </c>
      <c r="C510" t="s">
        <v>11</v>
      </c>
      <c r="D510" t="s">
        <v>45</v>
      </c>
      <c r="E510" t="s">
        <v>34</v>
      </c>
      <c r="F510" t="s">
        <v>136</v>
      </c>
      <c r="G510">
        <v>9.5</v>
      </c>
      <c r="H510">
        <v>25</v>
      </c>
      <c r="I510">
        <v>237.5</v>
      </c>
      <c r="J510" t="s">
        <v>26</v>
      </c>
    </row>
    <row r="511" spans="1:10" x14ac:dyDescent="0.3">
      <c r="A511" t="s">
        <v>568</v>
      </c>
      <c r="B511" s="5">
        <v>42158</v>
      </c>
      <c r="C511" t="s">
        <v>28</v>
      </c>
      <c r="D511" t="s">
        <v>12</v>
      </c>
      <c r="E511" t="s">
        <v>51</v>
      </c>
      <c r="F511" t="s">
        <v>81</v>
      </c>
      <c r="G511">
        <v>7</v>
      </c>
      <c r="H511">
        <v>210</v>
      </c>
      <c r="I511">
        <v>1470</v>
      </c>
      <c r="J511" t="s">
        <v>26</v>
      </c>
    </row>
    <row r="512" spans="1:10" x14ac:dyDescent="0.3">
      <c r="A512" t="s">
        <v>569</v>
      </c>
      <c r="B512" s="5">
        <v>42158</v>
      </c>
      <c r="C512" t="s">
        <v>11</v>
      </c>
      <c r="D512" t="s">
        <v>12</v>
      </c>
      <c r="E512" t="s">
        <v>51</v>
      </c>
      <c r="F512" t="s">
        <v>81</v>
      </c>
      <c r="G512">
        <v>19</v>
      </c>
      <c r="H512">
        <v>75</v>
      </c>
      <c r="I512">
        <v>1425</v>
      </c>
      <c r="J512" t="s">
        <v>26</v>
      </c>
    </row>
    <row r="513" spans="1:10" x14ac:dyDescent="0.3">
      <c r="A513" t="s">
        <v>570</v>
      </c>
      <c r="B513" s="5">
        <v>42161</v>
      </c>
      <c r="C513" t="s">
        <v>20</v>
      </c>
      <c r="D513" t="s">
        <v>85</v>
      </c>
      <c r="E513" t="s">
        <v>34</v>
      </c>
      <c r="F513" t="s">
        <v>64</v>
      </c>
      <c r="G513">
        <v>31</v>
      </c>
      <c r="H513">
        <v>40</v>
      </c>
      <c r="I513">
        <v>1240</v>
      </c>
      <c r="J513" t="s">
        <v>26</v>
      </c>
    </row>
    <row r="514" spans="1:10" x14ac:dyDescent="0.3">
      <c r="A514" t="s">
        <v>399</v>
      </c>
      <c r="B514" s="5">
        <v>42172</v>
      </c>
      <c r="C514" t="s">
        <v>11</v>
      </c>
      <c r="D514" t="s">
        <v>45</v>
      </c>
      <c r="E514" t="s">
        <v>17</v>
      </c>
      <c r="F514" t="s">
        <v>72</v>
      </c>
      <c r="G514">
        <v>18</v>
      </c>
      <c r="H514">
        <v>20</v>
      </c>
      <c r="I514">
        <v>360</v>
      </c>
      <c r="J514" t="s">
        <v>26</v>
      </c>
    </row>
    <row r="515" spans="1:10" x14ac:dyDescent="0.3">
      <c r="A515" t="s">
        <v>571</v>
      </c>
      <c r="B515" s="5">
        <v>42172</v>
      </c>
      <c r="C515" t="s">
        <v>28</v>
      </c>
      <c r="D515" t="s">
        <v>45</v>
      </c>
      <c r="E515" t="s">
        <v>21</v>
      </c>
      <c r="F515" t="s">
        <v>22</v>
      </c>
      <c r="G515">
        <v>19.5</v>
      </c>
      <c r="H515">
        <v>12</v>
      </c>
      <c r="I515">
        <v>234</v>
      </c>
      <c r="J515" t="s">
        <v>26</v>
      </c>
    </row>
    <row r="516" spans="1:10" x14ac:dyDescent="0.3">
      <c r="A516" t="s">
        <v>572</v>
      </c>
      <c r="B516" s="5">
        <v>42174</v>
      </c>
      <c r="C516" t="s">
        <v>11</v>
      </c>
      <c r="D516" t="s">
        <v>12</v>
      </c>
      <c r="E516" t="s">
        <v>17</v>
      </c>
      <c r="F516" t="s">
        <v>25</v>
      </c>
      <c r="G516">
        <v>7.75</v>
      </c>
      <c r="H516">
        <v>100</v>
      </c>
      <c r="I516">
        <v>775</v>
      </c>
      <c r="J516" t="s">
        <v>15</v>
      </c>
    </row>
    <row r="517" spans="1:10" x14ac:dyDescent="0.3">
      <c r="A517" t="s">
        <v>402</v>
      </c>
      <c r="B517" s="5">
        <v>42179</v>
      </c>
      <c r="C517" t="s">
        <v>20</v>
      </c>
      <c r="D517" t="s">
        <v>12</v>
      </c>
      <c r="E517" t="s">
        <v>34</v>
      </c>
      <c r="F517" t="s">
        <v>136</v>
      </c>
      <c r="G517">
        <v>9.5</v>
      </c>
      <c r="H517">
        <v>75</v>
      </c>
      <c r="I517">
        <v>712.5</v>
      </c>
      <c r="J517" t="s">
        <v>15</v>
      </c>
    </row>
    <row r="518" spans="1:10" x14ac:dyDescent="0.3">
      <c r="A518" t="s">
        <v>573</v>
      </c>
      <c r="B518" s="5">
        <v>42180</v>
      </c>
      <c r="C518" t="s">
        <v>31</v>
      </c>
      <c r="D518" t="s">
        <v>12</v>
      </c>
      <c r="E518" t="s">
        <v>17</v>
      </c>
      <c r="F518" t="s">
        <v>72</v>
      </c>
      <c r="G518">
        <v>18</v>
      </c>
      <c r="H518">
        <v>40</v>
      </c>
      <c r="I518">
        <v>720</v>
      </c>
      <c r="J518" t="s">
        <v>15</v>
      </c>
    </row>
    <row r="519" spans="1:10" x14ac:dyDescent="0.3">
      <c r="A519" t="s">
        <v>574</v>
      </c>
      <c r="B519" s="5">
        <v>42180</v>
      </c>
      <c r="C519" t="s">
        <v>31</v>
      </c>
      <c r="D519" t="s">
        <v>12</v>
      </c>
      <c r="E519" t="s">
        <v>21</v>
      </c>
      <c r="F519" t="s">
        <v>97</v>
      </c>
      <c r="G519">
        <v>13</v>
      </c>
      <c r="H519">
        <v>160</v>
      </c>
      <c r="I519">
        <v>2080</v>
      </c>
      <c r="J519" t="s">
        <v>15</v>
      </c>
    </row>
    <row r="520" spans="1:10" x14ac:dyDescent="0.3">
      <c r="A520" t="s">
        <v>575</v>
      </c>
      <c r="B520" s="5">
        <v>42193</v>
      </c>
      <c r="C520" t="s">
        <v>31</v>
      </c>
      <c r="D520" t="s">
        <v>45</v>
      </c>
      <c r="E520" t="s">
        <v>34</v>
      </c>
      <c r="F520" t="s">
        <v>90</v>
      </c>
      <c r="G520">
        <v>49.3</v>
      </c>
      <c r="H520">
        <v>100</v>
      </c>
      <c r="I520">
        <v>4930</v>
      </c>
      <c r="J520" t="s">
        <v>26</v>
      </c>
    </row>
    <row r="521" spans="1:10" x14ac:dyDescent="0.3">
      <c r="A521" t="s">
        <v>576</v>
      </c>
      <c r="B521" s="5">
        <v>42200</v>
      </c>
      <c r="C521" t="s">
        <v>31</v>
      </c>
      <c r="D521" t="s">
        <v>12</v>
      </c>
      <c r="E521" t="s">
        <v>51</v>
      </c>
      <c r="F521" t="s">
        <v>81</v>
      </c>
      <c r="G521">
        <v>24</v>
      </c>
      <c r="H521">
        <v>180</v>
      </c>
      <c r="I521">
        <v>4320</v>
      </c>
      <c r="J521" t="s">
        <v>26</v>
      </c>
    </row>
    <row r="522" spans="1:10" x14ac:dyDescent="0.3">
      <c r="A522" t="s">
        <v>577</v>
      </c>
      <c r="B522" s="5">
        <v>42200</v>
      </c>
      <c r="C522" t="s">
        <v>31</v>
      </c>
      <c r="D522" t="s">
        <v>12</v>
      </c>
      <c r="E522" t="s">
        <v>21</v>
      </c>
      <c r="F522" t="s">
        <v>111</v>
      </c>
      <c r="G522">
        <v>22</v>
      </c>
      <c r="H522">
        <v>180</v>
      </c>
      <c r="I522">
        <v>3960</v>
      </c>
      <c r="J522" t="s">
        <v>26</v>
      </c>
    </row>
    <row r="523" spans="1:10" x14ac:dyDescent="0.3">
      <c r="A523" t="s">
        <v>578</v>
      </c>
      <c r="B523" s="5">
        <v>42200</v>
      </c>
      <c r="C523" t="s">
        <v>11</v>
      </c>
      <c r="D523" t="s">
        <v>12</v>
      </c>
      <c r="E523" t="s">
        <v>34</v>
      </c>
      <c r="F523" t="s">
        <v>90</v>
      </c>
      <c r="G523">
        <v>49.3</v>
      </c>
      <c r="H523">
        <v>80</v>
      </c>
      <c r="I523">
        <v>3944</v>
      </c>
      <c r="J523" t="s">
        <v>26</v>
      </c>
    </row>
    <row r="524" spans="1:10" x14ac:dyDescent="0.3">
      <c r="A524" t="s">
        <v>579</v>
      </c>
      <c r="B524" s="5">
        <v>42214</v>
      </c>
      <c r="C524" t="s">
        <v>11</v>
      </c>
      <c r="D524" t="s">
        <v>45</v>
      </c>
      <c r="E524" t="s">
        <v>17</v>
      </c>
      <c r="F524" t="s">
        <v>54</v>
      </c>
      <c r="G524">
        <v>15</v>
      </c>
      <c r="H524">
        <v>40</v>
      </c>
      <c r="I524">
        <v>600</v>
      </c>
      <c r="J524" t="s">
        <v>26</v>
      </c>
    </row>
    <row r="525" spans="1:10" x14ac:dyDescent="0.3">
      <c r="A525" t="s">
        <v>580</v>
      </c>
      <c r="B525" s="5">
        <v>42214</v>
      </c>
      <c r="C525" t="s">
        <v>31</v>
      </c>
      <c r="D525" t="s">
        <v>45</v>
      </c>
      <c r="E525" t="s">
        <v>13</v>
      </c>
      <c r="F525" t="s">
        <v>14</v>
      </c>
      <c r="G525">
        <v>9</v>
      </c>
      <c r="H525">
        <v>90</v>
      </c>
      <c r="I525">
        <v>810</v>
      </c>
      <c r="J525" t="s">
        <v>26</v>
      </c>
    </row>
    <row r="526" spans="1:10" x14ac:dyDescent="0.3">
      <c r="A526" t="s">
        <v>581</v>
      </c>
      <c r="B526" s="5">
        <v>42214</v>
      </c>
      <c r="C526" t="s">
        <v>11</v>
      </c>
      <c r="D526" t="s">
        <v>45</v>
      </c>
      <c r="E526" t="s">
        <v>13</v>
      </c>
      <c r="F526" t="s">
        <v>124</v>
      </c>
      <c r="G526">
        <v>21.5</v>
      </c>
      <c r="H526">
        <v>45</v>
      </c>
      <c r="I526">
        <v>967.5</v>
      </c>
      <c r="J526" t="s">
        <v>26</v>
      </c>
    </row>
    <row r="527" spans="1:10" x14ac:dyDescent="0.3">
      <c r="A527" t="s">
        <v>582</v>
      </c>
      <c r="B527" s="5">
        <v>42214</v>
      </c>
      <c r="C527" t="s">
        <v>28</v>
      </c>
      <c r="D527" t="s">
        <v>45</v>
      </c>
      <c r="E527" t="s">
        <v>34</v>
      </c>
      <c r="F527" t="s">
        <v>188</v>
      </c>
      <c r="G527">
        <v>9.1999999999999993</v>
      </c>
      <c r="H527">
        <v>50</v>
      </c>
      <c r="I527">
        <v>459.99999999999994</v>
      </c>
      <c r="J527" t="s">
        <v>26</v>
      </c>
    </row>
    <row r="528" spans="1:10" x14ac:dyDescent="0.3">
      <c r="A528" t="s">
        <v>583</v>
      </c>
      <c r="B528" s="5">
        <v>42215</v>
      </c>
      <c r="C528" t="s">
        <v>28</v>
      </c>
      <c r="D528" t="s">
        <v>12</v>
      </c>
      <c r="E528" t="s">
        <v>17</v>
      </c>
      <c r="F528" t="s">
        <v>18</v>
      </c>
      <c r="G528">
        <v>19</v>
      </c>
      <c r="H528">
        <v>120</v>
      </c>
      <c r="I528">
        <v>2280</v>
      </c>
      <c r="J528" t="s">
        <v>26</v>
      </c>
    </row>
    <row r="529" spans="1:10" x14ac:dyDescent="0.3">
      <c r="A529" t="s">
        <v>109</v>
      </c>
      <c r="B529" s="5">
        <v>42215</v>
      </c>
      <c r="C529" t="s">
        <v>31</v>
      </c>
      <c r="D529" t="s">
        <v>12</v>
      </c>
      <c r="E529" t="s">
        <v>34</v>
      </c>
      <c r="F529" t="s">
        <v>43</v>
      </c>
      <c r="G529">
        <v>12.5</v>
      </c>
      <c r="H529">
        <v>180</v>
      </c>
      <c r="I529">
        <v>2250</v>
      </c>
      <c r="J529" t="s">
        <v>26</v>
      </c>
    </row>
    <row r="530" spans="1:10" x14ac:dyDescent="0.3">
      <c r="A530" t="s">
        <v>584</v>
      </c>
      <c r="B530" s="5">
        <v>42221</v>
      </c>
      <c r="C530" t="s">
        <v>11</v>
      </c>
      <c r="D530" t="s">
        <v>85</v>
      </c>
      <c r="E530" t="s">
        <v>51</v>
      </c>
      <c r="F530" t="s">
        <v>52</v>
      </c>
      <c r="G530">
        <v>123.79</v>
      </c>
      <c r="H530">
        <v>100</v>
      </c>
      <c r="I530">
        <v>12379</v>
      </c>
      <c r="J530" t="s">
        <v>26</v>
      </c>
    </row>
    <row r="531" spans="1:10" x14ac:dyDescent="0.3">
      <c r="A531" t="s">
        <v>585</v>
      </c>
      <c r="B531" s="5">
        <v>42221</v>
      </c>
      <c r="C531" t="s">
        <v>20</v>
      </c>
      <c r="D531" t="s">
        <v>85</v>
      </c>
      <c r="E531" t="s">
        <v>51</v>
      </c>
      <c r="F531" t="s">
        <v>81</v>
      </c>
      <c r="G531">
        <v>33.25</v>
      </c>
      <c r="H531">
        <v>18</v>
      </c>
      <c r="I531">
        <v>598.5</v>
      </c>
      <c r="J531" t="s">
        <v>26</v>
      </c>
    </row>
    <row r="532" spans="1:10" x14ac:dyDescent="0.3">
      <c r="A532" t="s">
        <v>417</v>
      </c>
      <c r="B532" s="5">
        <v>42228</v>
      </c>
      <c r="C532" t="s">
        <v>11</v>
      </c>
      <c r="D532" t="s">
        <v>12</v>
      </c>
      <c r="E532" t="s">
        <v>51</v>
      </c>
      <c r="F532" t="s">
        <v>81</v>
      </c>
      <c r="G532">
        <v>38</v>
      </c>
      <c r="H532">
        <v>60</v>
      </c>
      <c r="I532">
        <v>2280</v>
      </c>
      <c r="J532" t="s">
        <v>15</v>
      </c>
    </row>
    <row r="533" spans="1:10" x14ac:dyDescent="0.3">
      <c r="A533" t="s">
        <v>586</v>
      </c>
      <c r="B533" s="5">
        <v>42228</v>
      </c>
      <c r="C533" t="s">
        <v>28</v>
      </c>
      <c r="D533" t="s">
        <v>12</v>
      </c>
      <c r="E533" t="s">
        <v>13</v>
      </c>
      <c r="F533" t="s">
        <v>14</v>
      </c>
      <c r="G533">
        <v>21</v>
      </c>
      <c r="H533">
        <v>100</v>
      </c>
      <c r="I533">
        <v>2100</v>
      </c>
      <c r="J533" t="s">
        <v>15</v>
      </c>
    </row>
    <row r="534" spans="1:10" x14ac:dyDescent="0.3">
      <c r="A534" t="s">
        <v>419</v>
      </c>
      <c r="B534" s="5">
        <v>42228</v>
      </c>
      <c r="C534" t="s">
        <v>31</v>
      </c>
      <c r="D534" t="s">
        <v>12</v>
      </c>
      <c r="E534" t="s">
        <v>34</v>
      </c>
      <c r="F534" t="s">
        <v>64</v>
      </c>
      <c r="G534">
        <v>16.25</v>
      </c>
      <c r="H534">
        <v>125</v>
      </c>
      <c r="I534">
        <v>2031.25</v>
      </c>
      <c r="J534" t="s">
        <v>15</v>
      </c>
    </row>
    <row r="535" spans="1:10" x14ac:dyDescent="0.3">
      <c r="A535" t="s">
        <v>587</v>
      </c>
      <c r="B535" s="5">
        <v>42234</v>
      </c>
      <c r="C535" t="s">
        <v>11</v>
      </c>
      <c r="D535" t="s">
        <v>12</v>
      </c>
      <c r="E535" t="s">
        <v>17</v>
      </c>
      <c r="F535" t="s">
        <v>29</v>
      </c>
      <c r="G535">
        <v>46</v>
      </c>
      <c r="H535">
        <v>100</v>
      </c>
      <c r="I535">
        <v>4600</v>
      </c>
      <c r="J535" t="s">
        <v>26</v>
      </c>
    </row>
    <row r="536" spans="1:10" x14ac:dyDescent="0.3">
      <c r="A536" t="s">
        <v>588</v>
      </c>
      <c r="B536" s="5">
        <v>42234</v>
      </c>
      <c r="C536" t="s">
        <v>11</v>
      </c>
      <c r="D536" t="s">
        <v>12</v>
      </c>
      <c r="E536" t="s">
        <v>17</v>
      </c>
      <c r="F536" t="s">
        <v>54</v>
      </c>
      <c r="G536">
        <v>12</v>
      </c>
      <c r="H536">
        <v>63</v>
      </c>
      <c r="I536">
        <v>756</v>
      </c>
      <c r="J536" t="s">
        <v>26</v>
      </c>
    </row>
    <row r="537" spans="1:10" x14ac:dyDescent="0.3">
      <c r="A537" t="s">
        <v>422</v>
      </c>
      <c r="B537" s="5">
        <v>42235</v>
      </c>
      <c r="C537" t="s">
        <v>20</v>
      </c>
      <c r="D537" t="s">
        <v>12</v>
      </c>
      <c r="E537" t="s">
        <v>13</v>
      </c>
      <c r="F537" t="s">
        <v>14</v>
      </c>
      <c r="G537">
        <v>19</v>
      </c>
      <c r="H537">
        <v>15</v>
      </c>
      <c r="I537">
        <v>285</v>
      </c>
      <c r="J537" t="s">
        <v>15</v>
      </c>
    </row>
    <row r="538" spans="1:10" x14ac:dyDescent="0.3">
      <c r="A538" t="s">
        <v>589</v>
      </c>
      <c r="B538" s="5">
        <v>42235</v>
      </c>
      <c r="C538" t="s">
        <v>31</v>
      </c>
      <c r="D538" t="s">
        <v>85</v>
      </c>
      <c r="E538" t="s">
        <v>17</v>
      </c>
      <c r="F538" t="s">
        <v>54</v>
      </c>
      <c r="G538">
        <v>62.5</v>
      </c>
      <c r="H538">
        <v>200</v>
      </c>
      <c r="I538">
        <v>12500</v>
      </c>
      <c r="J538" t="s">
        <v>15</v>
      </c>
    </row>
    <row r="539" spans="1:10" x14ac:dyDescent="0.3">
      <c r="A539" t="s">
        <v>424</v>
      </c>
      <c r="B539" s="5">
        <v>42236</v>
      </c>
      <c r="C539" t="s">
        <v>31</v>
      </c>
      <c r="D539" t="s">
        <v>12</v>
      </c>
      <c r="E539" t="s">
        <v>17</v>
      </c>
      <c r="F539" t="s">
        <v>37</v>
      </c>
      <c r="G539">
        <v>18</v>
      </c>
      <c r="H539">
        <v>20</v>
      </c>
      <c r="I539">
        <v>360</v>
      </c>
      <c r="J539" t="s">
        <v>26</v>
      </c>
    </row>
    <row r="540" spans="1:10" x14ac:dyDescent="0.3">
      <c r="A540" t="s">
        <v>590</v>
      </c>
      <c r="B540" s="5">
        <v>42236</v>
      </c>
      <c r="C540" t="s">
        <v>11</v>
      </c>
      <c r="D540" t="s">
        <v>12</v>
      </c>
      <c r="E540" t="s">
        <v>34</v>
      </c>
      <c r="F540" t="s">
        <v>188</v>
      </c>
      <c r="G540">
        <v>9.1999999999999993</v>
      </c>
      <c r="H540">
        <v>300</v>
      </c>
      <c r="I540">
        <v>2760</v>
      </c>
      <c r="J540" t="s">
        <v>26</v>
      </c>
    </row>
    <row r="541" spans="1:10" x14ac:dyDescent="0.3">
      <c r="A541" t="s">
        <v>591</v>
      </c>
      <c r="B541" s="5">
        <v>42237</v>
      </c>
      <c r="C541" t="s">
        <v>20</v>
      </c>
      <c r="D541" t="s">
        <v>12</v>
      </c>
      <c r="E541" t="s">
        <v>17</v>
      </c>
      <c r="F541" t="s">
        <v>128</v>
      </c>
      <c r="G541">
        <v>4.5</v>
      </c>
      <c r="H541">
        <v>90</v>
      </c>
      <c r="I541">
        <v>405</v>
      </c>
      <c r="J541" t="s">
        <v>26</v>
      </c>
    </row>
    <row r="542" spans="1:10" x14ac:dyDescent="0.3">
      <c r="A542" t="s">
        <v>592</v>
      </c>
      <c r="B542" s="5">
        <v>42237</v>
      </c>
      <c r="C542" t="s">
        <v>20</v>
      </c>
      <c r="D542" t="s">
        <v>12</v>
      </c>
      <c r="E542" t="s">
        <v>21</v>
      </c>
      <c r="F542" t="s">
        <v>22</v>
      </c>
      <c r="G542">
        <v>21</v>
      </c>
      <c r="H542">
        <v>105</v>
      </c>
      <c r="I542">
        <v>2205</v>
      </c>
      <c r="J542" t="s">
        <v>26</v>
      </c>
    </row>
    <row r="543" spans="1:10" x14ac:dyDescent="0.3">
      <c r="A543" t="s">
        <v>593</v>
      </c>
      <c r="B543" s="5">
        <v>42238</v>
      </c>
      <c r="C543" t="s">
        <v>20</v>
      </c>
      <c r="D543" t="s">
        <v>12</v>
      </c>
      <c r="E543" t="s">
        <v>51</v>
      </c>
      <c r="F543" t="s">
        <v>268</v>
      </c>
      <c r="G543">
        <v>7.45</v>
      </c>
      <c r="H543">
        <v>150</v>
      </c>
      <c r="I543">
        <v>1117.5</v>
      </c>
      <c r="J543" t="s">
        <v>26</v>
      </c>
    </row>
    <row r="544" spans="1:10" x14ac:dyDescent="0.3">
      <c r="A544" t="s">
        <v>594</v>
      </c>
      <c r="B544" s="5">
        <v>42238</v>
      </c>
      <c r="C544" t="s">
        <v>31</v>
      </c>
      <c r="D544" t="s">
        <v>12</v>
      </c>
      <c r="E544" t="s">
        <v>51</v>
      </c>
      <c r="F544" t="s">
        <v>138</v>
      </c>
      <c r="G544">
        <v>32.799999999999997</v>
      </c>
      <c r="H544">
        <v>250</v>
      </c>
      <c r="I544">
        <v>8200</v>
      </c>
      <c r="J544" t="s">
        <v>26</v>
      </c>
    </row>
    <row r="545" spans="1:10" x14ac:dyDescent="0.3">
      <c r="A545" t="s">
        <v>595</v>
      </c>
      <c r="B545" s="5">
        <v>42238</v>
      </c>
      <c r="C545" t="s">
        <v>20</v>
      </c>
      <c r="D545" t="s">
        <v>12</v>
      </c>
      <c r="E545" t="s">
        <v>17</v>
      </c>
      <c r="F545" t="s">
        <v>54</v>
      </c>
      <c r="G545">
        <v>25.89</v>
      </c>
      <c r="H545">
        <v>240</v>
      </c>
      <c r="I545">
        <v>6213.6</v>
      </c>
      <c r="J545" t="s">
        <v>26</v>
      </c>
    </row>
    <row r="546" spans="1:10" x14ac:dyDescent="0.3">
      <c r="A546" t="s">
        <v>596</v>
      </c>
      <c r="B546" s="5">
        <v>42241</v>
      </c>
      <c r="C546" t="s">
        <v>11</v>
      </c>
      <c r="D546" t="s">
        <v>12</v>
      </c>
      <c r="E546" t="s">
        <v>17</v>
      </c>
      <c r="F546" t="s">
        <v>54</v>
      </c>
      <c r="G546">
        <v>14</v>
      </c>
      <c r="H546">
        <v>140</v>
      </c>
      <c r="I546">
        <v>1960</v>
      </c>
      <c r="J546" t="s">
        <v>26</v>
      </c>
    </row>
    <row r="547" spans="1:10" x14ac:dyDescent="0.3">
      <c r="A547" t="s">
        <v>597</v>
      </c>
      <c r="B547" s="5">
        <v>42241</v>
      </c>
      <c r="C547" t="s">
        <v>31</v>
      </c>
      <c r="D547" t="s">
        <v>12</v>
      </c>
      <c r="E547" t="s">
        <v>21</v>
      </c>
      <c r="F547" t="s">
        <v>22</v>
      </c>
      <c r="G547">
        <v>25.89</v>
      </c>
      <c r="H547">
        <v>8</v>
      </c>
      <c r="I547">
        <v>207.12</v>
      </c>
      <c r="J547" t="s">
        <v>26</v>
      </c>
    </row>
    <row r="548" spans="1:10" x14ac:dyDescent="0.3">
      <c r="A548" t="s">
        <v>598</v>
      </c>
      <c r="B548" s="5">
        <v>42245</v>
      </c>
      <c r="C548" t="s">
        <v>11</v>
      </c>
      <c r="D548" t="s">
        <v>12</v>
      </c>
      <c r="E548" t="s">
        <v>17</v>
      </c>
      <c r="F548" t="s">
        <v>54</v>
      </c>
      <c r="G548">
        <v>15</v>
      </c>
      <c r="H548">
        <v>320</v>
      </c>
      <c r="I548">
        <v>4800</v>
      </c>
      <c r="J548" t="s">
        <v>26</v>
      </c>
    </row>
    <row r="549" spans="1:10" x14ac:dyDescent="0.3">
      <c r="A549" t="s">
        <v>535</v>
      </c>
      <c r="B549" s="5">
        <v>42245</v>
      </c>
      <c r="C549" t="s">
        <v>31</v>
      </c>
      <c r="D549" t="s">
        <v>12</v>
      </c>
      <c r="E549" t="s">
        <v>13</v>
      </c>
      <c r="F549" t="s">
        <v>99</v>
      </c>
      <c r="G549">
        <v>12.5</v>
      </c>
      <c r="H549">
        <v>40</v>
      </c>
      <c r="I549">
        <v>500</v>
      </c>
      <c r="J549" t="s">
        <v>26</v>
      </c>
    </row>
    <row r="550" spans="1:10" x14ac:dyDescent="0.3">
      <c r="A550" t="s">
        <v>599</v>
      </c>
      <c r="B550" s="5">
        <v>42245</v>
      </c>
      <c r="C550" t="s">
        <v>31</v>
      </c>
      <c r="D550" t="s">
        <v>12</v>
      </c>
      <c r="E550" t="s">
        <v>17</v>
      </c>
      <c r="F550" t="s">
        <v>54</v>
      </c>
      <c r="G550">
        <v>18.399999999999999</v>
      </c>
      <c r="H550">
        <v>48</v>
      </c>
      <c r="I550">
        <v>883.19999999999993</v>
      </c>
      <c r="J550" t="s">
        <v>26</v>
      </c>
    </row>
    <row r="551" spans="1:10" x14ac:dyDescent="0.3">
      <c r="A551" t="s">
        <v>600</v>
      </c>
      <c r="B551" s="5">
        <v>42258</v>
      </c>
      <c r="C551" t="s">
        <v>28</v>
      </c>
      <c r="D551" t="s">
        <v>45</v>
      </c>
      <c r="E551" t="s">
        <v>21</v>
      </c>
      <c r="F551" t="s">
        <v>22</v>
      </c>
      <c r="G551">
        <v>9</v>
      </c>
      <c r="H551">
        <v>35</v>
      </c>
      <c r="I551">
        <v>315</v>
      </c>
      <c r="J551" t="s">
        <v>26</v>
      </c>
    </row>
    <row r="552" spans="1:10" x14ac:dyDescent="0.3">
      <c r="A552" t="s">
        <v>601</v>
      </c>
      <c r="B552" s="5">
        <v>42269</v>
      </c>
      <c r="C552" t="s">
        <v>11</v>
      </c>
      <c r="D552" t="s">
        <v>12</v>
      </c>
      <c r="E552" t="s">
        <v>17</v>
      </c>
      <c r="F552" t="s">
        <v>54</v>
      </c>
      <c r="G552">
        <v>31</v>
      </c>
      <c r="H552">
        <v>120</v>
      </c>
      <c r="I552">
        <v>3720</v>
      </c>
      <c r="J552" t="s">
        <v>26</v>
      </c>
    </row>
    <row r="553" spans="1:10" x14ac:dyDescent="0.3">
      <c r="A553" t="s">
        <v>602</v>
      </c>
      <c r="B553" s="5">
        <v>42269</v>
      </c>
      <c r="C553" t="s">
        <v>20</v>
      </c>
      <c r="D553" t="s">
        <v>12</v>
      </c>
      <c r="E553" t="s">
        <v>34</v>
      </c>
      <c r="F553" t="s">
        <v>136</v>
      </c>
      <c r="G553">
        <v>9.5</v>
      </c>
      <c r="H553">
        <v>150</v>
      </c>
      <c r="I553">
        <v>1425</v>
      </c>
      <c r="J553" t="s">
        <v>26</v>
      </c>
    </row>
    <row r="554" spans="1:10" x14ac:dyDescent="0.3">
      <c r="A554" t="s">
        <v>603</v>
      </c>
      <c r="B554" s="5">
        <v>42272</v>
      </c>
      <c r="C554" t="s">
        <v>20</v>
      </c>
      <c r="D554" t="s">
        <v>12</v>
      </c>
      <c r="E554" t="s">
        <v>21</v>
      </c>
      <c r="F554" t="s">
        <v>97</v>
      </c>
      <c r="G554">
        <v>13</v>
      </c>
      <c r="H554">
        <v>240</v>
      </c>
      <c r="I554">
        <v>3120</v>
      </c>
      <c r="J554" t="s">
        <v>15</v>
      </c>
    </row>
    <row r="555" spans="1:10" x14ac:dyDescent="0.3">
      <c r="A555" t="s">
        <v>604</v>
      </c>
      <c r="B555" s="5">
        <v>42272</v>
      </c>
      <c r="C555" t="s">
        <v>31</v>
      </c>
      <c r="D555" t="s">
        <v>12</v>
      </c>
      <c r="E555" t="s">
        <v>51</v>
      </c>
      <c r="F555" t="s">
        <v>81</v>
      </c>
      <c r="G555">
        <v>38</v>
      </c>
      <c r="H555">
        <v>120</v>
      </c>
      <c r="I555">
        <v>4560</v>
      </c>
      <c r="J555" t="s">
        <v>15</v>
      </c>
    </row>
    <row r="556" spans="1:10" x14ac:dyDescent="0.3">
      <c r="A556" t="s">
        <v>605</v>
      </c>
      <c r="B556" s="5">
        <v>42284</v>
      </c>
      <c r="C556" t="s">
        <v>20</v>
      </c>
      <c r="D556" t="s">
        <v>12</v>
      </c>
      <c r="E556" t="s">
        <v>17</v>
      </c>
      <c r="F556" t="s">
        <v>128</v>
      </c>
      <c r="G556">
        <v>4.5</v>
      </c>
      <c r="H556">
        <v>105</v>
      </c>
      <c r="I556">
        <v>472.5</v>
      </c>
      <c r="J556" t="s">
        <v>15</v>
      </c>
    </row>
    <row r="557" spans="1:10" x14ac:dyDescent="0.3">
      <c r="A557" t="s">
        <v>606</v>
      </c>
      <c r="B557" s="5">
        <v>42284</v>
      </c>
      <c r="C557" t="s">
        <v>11</v>
      </c>
      <c r="D557" t="s">
        <v>12</v>
      </c>
      <c r="E557" t="s">
        <v>21</v>
      </c>
      <c r="F557" t="s">
        <v>111</v>
      </c>
      <c r="G557">
        <v>22</v>
      </c>
      <c r="H557">
        <v>18</v>
      </c>
      <c r="I557">
        <v>396</v>
      </c>
      <c r="J557" t="s">
        <v>15</v>
      </c>
    </row>
    <row r="558" spans="1:10" x14ac:dyDescent="0.3">
      <c r="A558" t="s">
        <v>607</v>
      </c>
      <c r="B558" s="5">
        <v>42284</v>
      </c>
      <c r="C558" t="s">
        <v>31</v>
      </c>
      <c r="D558" t="s">
        <v>12</v>
      </c>
      <c r="E558" t="s">
        <v>34</v>
      </c>
      <c r="F558" t="s">
        <v>339</v>
      </c>
      <c r="G558">
        <v>12.75</v>
      </c>
      <c r="H558">
        <v>120</v>
      </c>
      <c r="I558">
        <v>1530</v>
      </c>
      <c r="J558" t="s">
        <v>15</v>
      </c>
    </row>
    <row r="559" spans="1:10" x14ac:dyDescent="0.3">
      <c r="A559" t="s">
        <v>399</v>
      </c>
      <c r="B559" s="5">
        <v>42286</v>
      </c>
      <c r="C559" t="s">
        <v>11</v>
      </c>
      <c r="D559" t="s">
        <v>45</v>
      </c>
      <c r="E559" t="s">
        <v>17</v>
      </c>
      <c r="F559" t="s">
        <v>54</v>
      </c>
      <c r="G559">
        <v>15</v>
      </c>
      <c r="H559">
        <v>224</v>
      </c>
      <c r="I559">
        <v>3360</v>
      </c>
      <c r="J559" t="s">
        <v>26</v>
      </c>
    </row>
    <row r="560" spans="1:10" x14ac:dyDescent="0.3">
      <c r="A560" t="s">
        <v>608</v>
      </c>
      <c r="B560" s="5">
        <v>42286</v>
      </c>
      <c r="C560" t="s">
        <v>20</v>
      </c>
      <c r="D560" t="s">
        <v>45</v>
      </c>
      <c r="E560" t="s">
        <v>51</v>
      </c>
      <c r="F560" t="s">
        <v>81</v>
      </c>
      <c r="G560">
        <v>24</v>
      </c>
      <c r="H560">
        <v>63</v>
      </c>
      <c r="I560">
        <v>1512</v>
      </c>
      <c r="J560" t="s">
        <v>26</v>
      </c>
    </row>
    <row r="561" spans="1:10" x14ac:dyDescent="0.3">
      <c r="A561" t="s">
        <v>443</v>
      </c>
      <c r="B561" s="5">
        <v>42286</v>
      </c>
      <c r="C561" t="s">
        <v>11</v>
      </c>
      <c r="D561" t="s">
        <v>45</v>
      </c>
      <c r="E561" t="s">
        <v>34</v>
      </c>
      <c r="F561" t="s">
        <v>64</v>
      </c>
      <c r="G561">
        <v>19.5</v>
      </c>
      <c r="H561">
        <v>40</v>
      </c>
      <c r="I561">
        <v>780</v>
      </c>
      <c r="J561" t="s">
        <v>26</v>
      </c>
    </row>
    <row r="562" spans="1:10" x14ac:dyDescent="0.3">
      <c r="A562" t="s">
        <v>609</v>
      </c>
      <c r="B562" s="5">
        <v>42287</v>
      </c>
      <c r="C562" t="s">
        <v>11</v>
      </c>
      <c r="D562" t="s">
        <v>12</v>
      </c>
      <c r="E562" t="s">
        <v>21</v>
      </c>
      <c r="F562" t="s">
        <v>47</v>
      </c>
      <c r="G562">
        <v>40</v>
      </c>
      <c r="H562">
        <v>200</v>
      </c>
      <c r="I562">
        <v>8000</v>
      </c>
      <c r="J562" t="s">
        <v>26</v>
      </c>
    </row>
    <row r="563" spans="1:10" x14ac:dyDescent="0.3">
      <c r="A563" t="s">
        <v>610</v>
      </c>
      <c r="B563" s="5">
        <v>42287</v>
      </c>
      <c r="C563" t="s">
        <v>11</v>
      </c>
      <c r="D563" t="s">
        <v>12</v>
      </c>
      <c r="E563" t="s">
        <v>34</v>
      </c>
      <c r="F563" t="s">
        <v>64</v>
      </c>
      <c r="G563">
        <v>53</v>
      </c>
      <c r="H563">
        <v>168</v>
      </c>
      <c r="I563">
        <v>8904</v>
      </c>
      <c r="J563" t="s">
        <v>26</v>
      </c>
    </row>
    <row r="564" spans="1:10" x14ac:dyDescent="0.3">
      <c r="A564" t="s">
        <v>446</v>
      </c>
      <c r="B564" s="5">
        <v>42287</v>
      </c>
      <c r="C564" t="s">
        <v>20</v>
      </c>
      <c r="D564" t="s">
        <v>12</v>
      </c>
      <c r="E564" t="s">
        <v>13</v>
      </c>
      <c r="F564" t="s">
        <v>41</v>
      </c>
      <c r="G564">
        <v>34</v>
      </c>
      <c r="H564">
        <v>10</v>
      </c>
      <c r="I564">
        <v>340</v>
      </c>
      <c r="J564" t="s">
        <v>26</v>
      </c>
    </row>
    <row r="565" spans="1:10" x14ac:dyDescent="0.3">
      <c r="A565" t="s">
        <v>611</v>
      </c>
      <c r="B565" s="5">
        <v>42294</v>
      </c>
      <c r="C565" t="s">
        <v>28</v>
      </c>
      <c r="D565" t="s">
        <v>24</v>
      </c>
      <c r="E565" t="s">
        <v>21</v>
      </c>
      <c r="F565" t="s">
        <v>22</v>
      </c>
      <c r="G565">
        <v>28.5</v>
      </c>
      <c r="H565">
        <v>40</v>
      </c>
      <c r="I565">
        <v>1140</v>
      </c>
      <c r="J565" t="s">
        <v>26</v>
      </c>
    </row>
    <row r="566" spans="1:10" x14ac:dyDescent="0.3">
      <c r="A566" t="s">
        <v>612</v>
      </c>
      <c r="B566" s="5">
        <v>42294</v>
      </c>
      <c r="C566" t="s">
        <v>20</v>
      </c>
      <c r="D566" t="s">
        <v>24</v>
      </c>
      <c r="E566" t="s">
        <v>34</v>
      </c>
      <c r="F566" t="s">
        <v>241</v>
      </c>
      <c r="G566">
        <v>10</v>
      </c>
      <c r="H566">
        <v>20</v>
      </c>
      <c r="I566">
        <v>200</v>
      </c>
      <c r="J566" t="s">
        <v>26</v>
      </c>
    </row>
    <row r="567" spans="1:10" x14ac:dyDescent="0.3">
      <c r="A567" t="s">
        <v>613</v>
      </c>
      <c r="B567" s="5">
        <v>42298</v>
      </c>
      <c r="C567" t="s">
        <v>28</v>
      </c>
      <c r="D567" t="s">
        <v>12</v>
      </c>
      <c r="E567" t="s">
        <v>17</v>
      </c>
      <c r="F567" t="s">
        <v>72</v>
      </c>
      <c r="G567">
        <v>18</v>
      </c>
      <c r="H567">
        <v>84</v>
      </c>
      <c r="I567">
        <v>1512</v>
      </c>
      <c r="J567" t="s">
        <v>26</v>
      </c>
    </row>
    <row r="568" spans="1:10" x14ac:dyDescent="0.3">
      <c r="A568" t="s">
        <v>614</v>
      </c>
      <c r="B568" s="5">
        <v>42298</v>
      </c>
      <c r="C568" t="s">
        <v>11</v>
      </c>
      <c r="D568" t="s">
        <v>12</v>
      </c>
      <c r="E568" t="s">
        <v>13</v>
      </c>
      <c r="F568" t="s">
        <v>124</v>
      </c>
      <c r="G568">
        <v>21.5</v>
      </c>
      <c r="H568">
        <v>24</v>
      </c>
      <c r="I568">
        <v>516</v>
      </c>
      <c r="J568" t="s">
        <v>26</v>
      </c>
    </row>
    <row r="569" spans="1:10" x14ac:dyDescent="0.3">
      <c r="A569" t="s">
        <v>615</v>
      </c>
      <c r="B569" s="5">
        <v>42301</v>
      </c>
      <c r="C569" t="s">
        <v>11</v>
      </c>
      <c r="D569" t="s">
        <v>12</v>
      </c>
      <c r="E569" t="s">
        <v>51</v>
      </c>
      <c r="F569" t="s">
        <v>81</v>
      </c>
      <c r="G569">
        <v>24</v>
      </c>
      <c r="H569">
        <v>30</v>
      </c>
      <c r="I569">
        <v>720</v>
      </c>
      <c r="J569" t="s">
        <v>26</v>
      </c>
    </row>
    <row r="570" spans="1:10" x14ac:dyDescent="0.3">
      <c r="A570" t="s">
        <v>452</v>
      </c>
      <c r="B570" s="5">
        <v>42301</v>
      </c>
      <c r="C570" t="s">
        <v>20</v>
      </c>
      <c r="D570" t="s">
        <v>12</v>
      </c>
      <c r="E570" t="s">
        <v>51</v>
      </c>
      <c r="F570" t="s">
        <v>81</v>
      </c>
      <c r="G570">
        <v>7</v>
      </c>
      <c r="H570">
        <v>4</v>
      </c>
      <c r="I570">
        <v>28</v>
      </c>
      <c r="J570" t="s">
        <v>26</v>
      </c>
    </row>
    <row r="571" spans="1:10" x14ac:dyDescent="0.3">
      <c r="A571" t="s">
        <v>616</v>
      </c>
      <c r="B571" s="5">
        <v>42301</v>
      </c>
      <c r="C571" t="s">
        <v>28</v>
      </c>
      <c r="D571" t="s">
        <v>12</v>
      </c>
      <c r="E571" t="s">
        <v>51</v>
      </c>
      <c r="F571" t="s">
        <v>81</v>
      </c>
      <c r="G571">
        <v>9.65</v>
      </c>
      <c r="H571">
        <v>120</v>
      </c>
      <c r="I571">
        <v>1158</v>
      </c>
      <c r="J571" t="s">
        <v>26</v>
      </c>
    </row>
    <row r="572" spans="1:10" x14ac:dyDescent="0.3">
      <c r="A572" t="s">
        <v>617</v>
      </c>
      <c r="B572" s="5">
        <v>42304</v>
      </c>
      <c r="C572" t="s">
        <v>28</v>
      </c>
      <c r="D572" t="s">
        <v>45</v>
      </c>
      <c r="E572" t="s">
        <v>13</v>
      </c>
      <c r="F572" t="s">
        <v>14</v>
      </c>
      <c r="G572">
        <v>21</v>
      </c>
      <c r="H572">
        <v>50</v>
      </c>
      <c r="I572">
        <v>1050</v>
      </c>
      <c r="J572" t="s">
        <v>15</v>
      </c>
    </row>
    <row r="573" spans="1:10" x14ac:dyDescent="0.3">
      <c r="A573" t="s">
        <v>618</v>
      </c>
      <c r="B573" s="5">
        <v>42305</v>
      </c>
      <c r="C573" t="s">
        <v>28</v>
      </c>
      <c r="D573" t="s">
        <v>12</v>
      </c>
      <c r="E573" t="s">
        <v>51</v>
      </c>
      <c r="F573" t="s">
        <v>81</v>
      </c>
      <c r="G573">
        <v>24</v>
      </c>
      <c r="H573">
        <v>96</v>
      </c>
      <c r="I573">
        <v>2304</v>
      </c>
      <c r="J573" t="s">
        <v>26</v>
      </c>
    </row>
    <row r="574" spans="1:10" x14ac:dyDescent="0.3">
      <c r="A574" t="s">
        <v>619</v>
      </c>
      <c r="B574" s="5">
        <v>42305</v>
      </c>
      <c r="C574" t="s">
        <v>28</v>
      </c>
      <c r="D574" t="s">
        <v>12</v>
      </c>
      <c r="E574" t="s">
        <v>21</v>
      </c>
      <c r="F574" t="s">
        <v>22</v>
      </c>
      <c r="G574">
        <v>25.89</v>
      </c>
      <c r="H574">
        <v>105</v>
      </c>
      <c r="I574">
        <v>2718.4500000000003</v>
      </c>
      <c r="J574" t="s">
        <v>26</v>
      </c>
    </row>
    <row r="575" spans="1:10" x14ac:dyDescent="0.3">
      <c r="A575" t="s">
        <v>620</v>
      </c>
      <c r="B575" s="5">
        <v>42305</v>
      </c>
      <c r="C575" t="s">
        <v>11</v>
      </c>
      <c r="D575" t="s">
        <v>12</v>
      </c>
      <c r="E575" t="s">
        <v>51</v>
      </c>
      <c r="F575" t="s">
        <v>81</v>
      </c>
      <c r="G575">
        <v>18.399999999999999</v>
      </c>
      <c r="H575">
        <v>42</v>
      </c>
      <c r="I575">
        <v>772.8</v>
      </c>
      <c r="J575" t="s">
        <v>26</v>
      </c>
    </row>
    <row r="576" spans="1:10" x14ac:dyDescent="0.3">
      <c r="A576" t="s">
        <v>621</v>
      </c>
      <c r="B576" s="5">
        <v>42308</v>
      </c>
      <c r="C576" t="s">
        <v>20</v>
      </c>
      <c r="D576" t="s">
        <v>12</v>
      </c>
      <c r="E576" t="s">
        <v>17</v>
      </c>
      <c r="F576" t="s">
        <v>134</v>
      </c>
      <c r="G576">
        <v>18</v>
      </c>
      <c r="H576">
        <v>200</v>
      </c>
      <c r="I576">
        <v>3600</v>
      </c>
      <c r="J576" t="s">
        <v>26</v>
      </c>
    </row>
    <row r="577" spans="1:10" x14ac:dyDescent="0.3">
      <c r="A577" t="s">
        <v>622</v>
      </c>
      <c r="B577" s="5">
        <v>42308</v>
      </c>
      <c r="C577" t="s">
        <v>11</v>
      </c>
      <c r="D577" t="s">
        <v>12</v>
      </c>
      <c r="E577" t="s">
        <v>21</v>
      </c>
      <c r="F577" t="s">
        <v>39</v>
      </c>
      <c r="G577">
        <v>25</v>
      </c>
      <c r="H577">
        <v>240</v>
      </c>
      <c r="I577">
        <v>6000</v>
      </c>
      <c r="J577" t="s">
        <v>26</v>
      </c>
    </row>
    <row r="578" spans="1:10" x14ac:dyDescent="0.3">
      <c r="A578" t="s">
        <v>623</v>
      </c>
      <c r="B578" s="5">
        <v>42308</v>
      </c>
      <c r="C578" t="s">
        <v>20</v>
      </c>
      <c r="D578" t="s">
        <v>12</v>
      </c>
      <c r="E578" t="s">
        <v>13</v>
      </c>
      <c r="F578" t="s">
        <v>14</v>
      </c>
      <c r="G578">
        <v>25.89</v>
      </c>
      <c r="H578">
        <v>90</v>
      </c>
      <c r="I578">
        <v>2330.1</v>
      </c>
      <c r="J578" t="s">
        <v>26</v>
      </c>
    </row>
    <row r="579" spans="1:10" x14ac:dyDescent="0.3">
      <c r="A579" t="s">
        <v>624</v>
      </c>
      <c r="B579" s="5">
        <v>42321</v>
      </c>
      <c r="C579" t="s">
        <v>31</v>
      </c>
      <c r="D579" t="s">
        <v>45</v>
      </c>
      <c r="E579" t="s">
        <v>17</v>
      </c>
      <c r="F579" t="s">
        <v>134</v>
      </c>
      <c r="G579">
        <v>18</v>
      </c>
      <c r="H579">
        <v>60</v>
      </c>
      <c r="I579">
        <v>1080</v>
      </c>
      <c r="J579" t="s">
        <v>26</v>
      </c>
    </row>
    <row r="580" spans="1:10" x14ac:dyDescent="0.3">
      <c r="A580" t="s">
        <v>625</v>
      </c>
      <c r="B580" s="5">
        <v>42321</v>
      </c>
      <c r="C580" t="s">
        <v>11</v>
      </c>
      <c r="D580" t="s">
        <v>45</v>
      </c>
      <c r="E580" t="s">
        <v>34</v>
      </c>
      <c r="F580" t="s">
        <v>64</v>
      </c>
      <c r="G580">
        <v>38</v>
      </c>
      <c r="H580">
        <v>30</v>
      </c>
      <c r="I580">
        <v>1140</v>
      </c>
      <c r="J580" t="s">
        <v>26</v>
      </c>
    </row>
    <row r="581" spans="1:10" x14ac:dyDescent="0.3">
      <c r="A581" t="s">
        <v>626</v>
      </c>
      <c r="B581" s="5">
        <v>42321</v>
      </c>
      <c r="C581" t="s">
        <v>28</v>
      </c>
      <c r="D581" t="s">
        <v>45</v>
      </c>
      <c r="E581" t="s">
        <v>13</v>
      </c>
      <c r="F581" t="s">
        <v>66</v>
      </c>
      <c r="G581">
        <v>55</v>
      </c>
      <c r="H581">
        <v>36</v>
      </c>
      <c r="I581">
        <v>1980</v>
      </c>
      <c r="J581" t="s">
        <v>26</v>
      </c>
    </row>
    <row r="582" spans="1:10" x14ac:dyDescent="0.3">
      <c r="A582" t="s">
        <v>627</v>
      </c>
      <c r="B582" s="5">
        <v>42325</v>
      </c>
      <c r="C582" t="s">
        <v>28</v>
      </c>
      <c r="D582" t="s">
        <v>45</v>
      </c>
      <c r="E582" t="s">
        <v>17</v>
      </c>
      <c r="F582" t="s">
        <v>79</v>
      </c>
      <c r="G582">
        <v>18</v>
      </c>
      <c r="H582">
        <v>32</v>
      </c>
      <c r="I582">
        <v>576</v>
      </c>
      <c r="J582" t="s">
        <v>26</v>
      </c>
    </row>
    <row r="583" spans="1:10" x14ac:dyDescent="0.3">
      <c r="A583" t="s">
        <v>628</v>
      </c>
      <c r="B583" s="5">
        <v>42325</v>
      </c>
      <c r="C583" t="s">
        <v>11</v>
      </c>
      <c r="D583" t="s">
        <v>45</v>
      </c>
      <c r="E583" t="s">
        <v>13</v>
      </c>
      <c r="F583" t="s">
        <v>186</v>
      </c>
      <c r="G583">
        <v>36</v>
      </c>
      <c r="H583">
        <v>15</v>
      </c>
      <c r="I583">
        <v>540</v>
      </c>
      <c r="J583" t="s">
        <v>26</v>
      </c>
    </row>
    <row r="584" spans="1:10" x14ac:dyDescent="0.3">
      <c r="A584" t="s">
        <v>629</v>
      </c>
      <c r="B584" s="5">
        <v>42339</v>
      </c>
      <c r="C584" t="s">
        <v>28</v>
      </c>
      <c r="D584" t="s">
        <v>45</v>
      </c>
      <c r="E584" t="s">
        <v>13</v>
      </c>
      <c r="F584" t="s">
        <v>14</v>
      </c>
      <c r="G584">
        <v>21</v>
      </c>
      <c r="H584">
        <v>16</v>
      </c>
      <c r="I584">
        <v>336</v>
      </c>
      <c r="J584" t="s">
        <v>26</v>
      </c>
    </row>
    <row r="585" spans="1:10" x14ac:dyDescent="0.3">
      <c r="A585" t="s">
        <v>630</v>
      </c>
      <c r="B585" s="5">
        <v>42339</v>
      </c>
      <c r="C585" t="s">
        <v>11</v>
      </c>
      <c r="D585" t="s">
        <v>45</v>
      </c>
      <c r="E585" t="s">
        <v>13</v>
      </c>
      <c r="F585" t="s">
        <v>99</v>
      </c>
      <c r="G585">
        <v>12.5</v>
      </c>
      <c r="H585">
        <v>150</v>
      </c>
      <c r="I585">
        <v>1875</v>
      </c>
      <c r="J585" t="s">
        <v>26</v>
      </c>
    </row>
    <row r="586" spans="1:10" x14ac:dyDescent="0.3">
      <c r="A586" t="s">
        <v>631</v>
      </c>
      <c r="B586" s="5">
        <v>42339</v>
      </c>
      <c r="C586" t="s">
        <v>28</v>
      </c>
      <c r="D586" t="s">
        <v>45</v>
      </c>
      <c r="E586" t="s">
        <v>13</v>
      </c>
      <c r="F586" t="s">
        <v>124</v>
      </c>
      <c r="G586">
        <v>21.5</v>
      </c>
      <c r="H586">
        <v>108</v>
      </c>
      <c r="I586">
        <v>2322</v>
      </c>
      <c r="J586" t="s">
        <v>26</v>
      </c>
    </row>
    <row r="587" spans="1:10" x14ac:dyDescent="0.3">
      <c r="A587" t="s">
        <v>632</v>
      </c>
      <c r="B587" s="5">
        <v>42340</v>
      </c>
      <c r="C587" t="s">
        <v>20</v>
      </c>
      <c r="D587" t="s">
        <v>12</v>
      </c>
      <c r="E587" t="s">
        <v>13</v>
      </c>
      <c r="F587" t="s">
        <v>14</v>
      </c>
      <c r="G587">
        <v>21</v>
      </c>
      <c r="H587">
        <v>45</v>
      </c>
      <c r="I587">
        <v>945</v>
      </c>
      <c r="J587" t="s">
        <v>26</v>
      </c>
    </row>
    <row r="588" spans="1:10" x14ac:dyDescent="0.3">
      <c r="A588" t="s">
        <v>633</v>
      </c>
      <c r="B588" s="5">
        <v>42346</v>
      </c>
      <c r="C588" t="s">
        <v>20</v>
      </c>
      <c r="D588" t="s">
        <v>12</v>
      </c>
      <c r="E588" t="s">
        <v>51</v>
      </c>
      <c r="F588" t="s">
        <v>81</v>
      </c>
      <c r="G588">
        <v>14</v>
      </c>
      <c r="H588">
        <v>100</v>
      </c>
      <c r="I588">
        <v>1400</v>
      </c>
      <c r="J588" t="s">
        <v>26</v>
      </c>
    </row>
    <row r="589" spans="1:10" x14ac:dyDescent="0.3">
      <c r="A589" t="s">
        <v>634</v>
      </c>
      <c r="B589" s="5">
        <v>42348</v>
      </c>
      <c r="C589" t="s">
        <v>31</v>
      </c>
      <c r="D589" t="s">
        <v>24</v>
      </c>
      <c r="E589" t="s">
        <v>13</v>
      </c>
      <c r="F589" t="s">
        <v>99</v>
      </c>
      <c r="G589">
        <v>12.5</v>
      </c>
      <c r="H589">
        <v>4</v>
      </c>
      <c r="I589">
        <v>50</v>
      </c>
      <c r="J589" t="s">
        <v>26</v>
      </c>
    </row>
    <row r="590" spans="1:10" x14ac:dyDescent="0.3">
      <c r="A590" t="s">
        <v>635</v>
      </c>
      <c r="B590" s="5">
        <v>42349</v>
      </c>
      <c r="C590" t="s">
        <v>11</v>
      </c>
      <c r="D590" t="s">
        <v>12</v>
      </c>
      <c r="E590" t="s">
        <v>17</v>
      </c>
      <c r="F590" t="s">
        <v>32</v>
      </c>
      <c r="G590">
        <v>263.5</v>
      </c>
      <c r="H590">
        <v>50</v>
      </c>
      <c r="I590">
        <v>13175</v>
      </c>
      <c r="J590" t="s">
        <v>26</v>
      </c>
    </row>
    <row r="591" spans="1:10" x14ac:dyDescent="0.3">
      <c r="A591" t="s">
        <v>636</v>
      </c>
      <c r="B591" s="5">
        <v>42349</v>
      </c>
      <c r="C591" t="s">
        <v>11</v>
      </c>
      <c r="D591" t="s">
        <v>12</v>
      </c>
      <c r="E591" t="s">
        <v>13</v>
      </c>
      <c r="F591" t="s">
        <v>99</v>
      </c>
      <c r="G591">
        <v>12.5</v>
      </c>
      <c r="H591">
        <v>80</v>
      </c>
      <c r="I591">
        <v>1000</v>
      </c>
      <c r="J591" t="s">
        <v>26</v>
      </c>
    </row>
    <row r="592" spans="1:10" x14ac:dyDescent="0.3">
      <c r="A592" t="s">
        <v>474</v>
      </c>
      <c r="B592" s="5">
        <v>42350</v>
      </c>
      <c r="C592" t="s">
        <v>20</v>
      </c>
      <c r="D592" t="s">
        <v>12</v>
      </c>
      <c r="E592" t="s">
        <v>21</v>
      </c>
      <c r="F592" t="s">
        <v>47</v>
      </c>
      <c r="G592">
        <v>40</v>
      </c>
      <c r="H592">
        <v>180</v>
      </c>
      <c r="I592">
        <v>7200</v>
      </c>
      <c r="J592" t="s">
        <v>15</v>
      </c>
    </row>
    <row r="593" spans="1:10" x14ac:dyDescent="0.3">
      <c r="A593" t="s">
        <v>637</v>
      </c>
      <c r="B593" s="5">
        <v>42350</v>
      </c>
      <c r="C593" t="s">
        <v>28</v>
      </c>
      <c r="D593" t="s">
        <v>12</v>
      </c>
      <c r="E593" t="s">
        <v>21</v>
      </c>
      <c r="F593" t="s">
        <v>22</v>
      </c>
      <c r="G593">
        <v>25.89</v>
      </c>
      <c r="H593">
        <v>120</v>
      </c>
      <c r="I593">
        <v>3106.8</v>
      </c>
      <c r="J593" t="s">
        <v>15</v>
      </c>
    </row>
    <row r="594" spans="1:10" x14ac:dyDescent="0.3">
      <c r="A594" t="s">
        <v>638</v>
      </c>
      <c r="B594" s="5">
        <v>42353</v>
      </c>
      <c r="C594" t="s">
        <v>31</v>
      </c>
      <c r="D594" t="s">
        <v>12</v>
      </c>
      <c r="E594" t="s">
        <v>17</v>
      </c>
      <c r="F594" t="s">
        <v>54</v>
      </c>
      <c r="G594">
        <v>30</v>
      </c>
      <c r="H594">
        <v>18</v>
      </c>
      <c r="I594">
        <v>540</v>
      </c>
      <c r="J594" t="s">
        <v>15</v>
      </c>
    </row>
    <row r="595" spans="1:10" x14ac:dyDescent="0.3">
      <c r="A595" t="s">
        <v>639</v>
      </c>
      <c r="B595" s="5">
        <v>42353</v>
      </c>
      <c r="C595" t="s">
        <v>20</v>
      </c>
      <c r="D595" t="s">
        <v>12</v>
      </c>
      <c r="E595" t="s">
        <v>21</v>
      </c>
      <c r="F595" t="s">
        <v>22</v>
      </c>
      <c r="G595">
        <v>38</v>
      </c>
      <c r="H595">
        <v>180</v>
      </c>
      <c r="I595">
        <v>6840</v>
      </c>
      <c r="J595" t="s">
        <v>15</v>
      </c>
    </row>
    <row r="596" spans="1:10" x14ac:dyDescent="0.3">
      <c r="A596" t="s">
        <v>640</v>
      </c>
      <c r="B596" s="5">
        <v>42355</v>
      </c>
      <c r="C596" t="s">
        <v>11</v>
      </c>
      <c r="D596" t="s">
        <v>12</v>
      </c>
      <c r="E596" t="s">
        <v>51</v>
      </c>
      <c r="F596" t="s">
        <v>268</v>
      </c>
      <c r="G596">
        <v>7.45</v>
      </c>
      <c r="H596">
        <v>24</v>
      </c>
      <c r="I596">
        <v>178.8</v>
      </c>
      <c r="J596" t="s">
        <v>15</v>
      </c>
    </row>
    <row r="597" spans="1:10" x14ac:dyDescent="0.3">
      <c r="A597" t="s">
        <v>479</v>
      </c>
      <c r="B597" s="5">
        <v>42355</v>
      </c>
      <c r="C597" t="s">
        <v>11</v>
      </c>
      <c r="D597" t="s">
        <v>12</v>
      </c>
      <c r="E597" t="s">
        <v>51</v>
      </c>
      <c r="F597" t="s">
        <v>81</v>
      </c>
      <c r="G597">
        <v>23.25</v>
      </c>
      <c r="H597">
        <v>15</v>
      </c>
      <c r="I597">
        <v>348.75</v>
      </c>
      <c r="J597" t="s">
        <v>15</v>
      </c>
    </row>
    <row r="598" spans="1:10" x14ac:dyDescent="0.3">
      <c r="A598" t="s">
        <v>641</v>
      </c>
      <c r="B598" s="5">
        <v>42355</v>
      </c>
      <c r="C598" t="s">
        <v>28</v>
      </c>
      <c r="D598" t="s">
        <v>45</v>
      </c>
      <c r="E598" t="s">
        <v>17</v>
      </c>
      <c r="F598" t="s">
        <v>54</v>
      </c>
      <c r="G598">
        <v>7</v>
      </c>
      <c r="H598">
        <v>56</v>
      </c>
      <c r="I598">
        <v>392</v>
      </c>
      <c r="J598" t="s">
        <v>26</v>
      </c>
    </row>
    <row r="599" spans="1:10" x14ac:dyDescent="0.3">
      <c r="A599" t="s">
        <v>642</v>
      </c>
      <c r="B599" s="5">
        <v>42355</v>
      </c>
      <c r="C599" t="s">
        <v>28</v>
      </c>
      <c r="D599" t="s">
        <v>45</v>
      </c>
      <c r="E599" t="s">
        <v>51</v>
      </c>
      <c r="F599" t="s">
        <v>81</v>
      </c>
      <c r="G599">
        <v>9.65</v>
      </c>
      <c r="H599">
        <v>98</v>
      </c>
      <c r="I599">
        <v>945.7</v>
      </c>
      <c r="J599" t="s">
        <v>26</v>
      </c>
    </row>
    <row r="600" spans="1:10" x14ac:dyDescent="0.3">
      <c r="A600" t="s">
        <v>482</v>
      </c>
      <c r="B600" s="5">
        <v>42357</v>
      </c>
      <c r="C600" t="s">
        <v>31</v>
      </c>
      <c r="D600" t="s">
        <v>45</v>
      </c>
      <c r="E600" t="s">
        <v>13</v>
      </c>
      <c r="F600" t="s">
        <v>56</v>
      </c>
      <c r="G600">
        <v>34.799999999999997</v>
      </c>
      <c r="H600">
        <v>10</v>
      </c>
      <c r="I600">
        <v>348</v>
      </c>
      <c r="J600" t="s">
        <v>15</v>
      </c>
    </row>
    <row r="601" spans="1:10" x14ac:dyDescent="0.3">
      <c r="A601" t="s">
        <v>483</v>
      </c>
      <c r="B601" s="5">
        <v>42357</v>
      </c>
      <c r="C601" t="s">
        <v>28</v>
      </c>
      <c r="D601" t="s">
        <v>45</v>
      </c>
      <c r="E601" t="s">
        <v>34</v>
      </c>
      <c r="F601" t="s">
        <v>90</v>
      </c>
      <c r="G601">
        <v>49.3</v>
      </c>
      <c r="H601">
        <v>2</v>
      </c>
      <c r="I601">
        <v>98.6</v>
      </c>
      <c r="J601" t="s">
        <v>15</v>
      </c>
    </row>
    <row r="602" spans="1:10" x14ac:dyDescent="0.3">
      <c r="A602" t="s">
        <v>643</v>
      </c>
      <c r="B602" s="5">
        <v>42357</v>
      </c>
      <c r="C602" t="s">
        <v>28</v>
      </c>
      <c r="D602" t="s">
        <v>45</v>
      </c>
      <c r="E602" t="s">
        <v>51</v>
      </c>
      <c r="F602" t="s">
        <v>268</v>
      </c>
      <c r="G602">
        <v>7.45</v>
      </c>
      <c r="H602">
        <v>56</v>
      </c>
      <c r="I602">
        <v>417.2</v>
      </c>
      <c r="J602" t="s">
        <v>26</v>
      </c>
    </row>
    <row r="603" spans="1:10" x14ac:dyDescent="0.3">
      <c r="A603" t="s">
        <v>644</v>
      </c>
      <c r="B603" s="5">
        <v>42357</v>
      </c>
      <c r="C603" t="s">
        <v>31</v>
      </c>
      <c r="D603" t="s">
        <v>45</v>
      </c>
      <c r="E603" t="s">
        <v>34</v>
      </c>
      <c r="F603" t="s">
        <v>64</v>
      </c>
      <c r="G603">
        <v>53</v>
      </c>
      <c r="H603">
        <v>40</v>
      </c>
      <c r="I603">
        <v>2120</v>
      </c>
      <c r="J603" t="s">
        <v>26</v>
      </c>
    </row>
    <row r="604" spans="1:10" x14ac:dyDescent="0.3">
      <c r="A604" t="s">
        <v>645</v>
      </c>
      <c r="B604" s="5">
        <v>42357</v>
      </c>
      <c r="C604" t="s">
        <v>20</v>
      </c>
      <c r="D604" t="s">
        <v>45</v>
      </c>
      <c r="E604" t="s">
        <v>13</v>
      </c>
      <c r="F604" t="s">
        <v>14</v>
      </c>
      <c r="G604">
        <v>21</v>
      </c>
      <c r="H604">
        <v>350</v>
      </c>
      <c r="I604">
        <v>7350</v>
      </c>
      <c r="J604" t="s">
        <v>26</v>
      </c>
    </row>
    <row r="605" spans="1:10" x14ac:dyDescent="0.3">
      <c r="A605" t="s">
        <v>646</v>
      </c>
      <c r="B605" s="5">
        <v>42360</v>
      </c>
      <c r="C605" t="s">
        <v>11</v>
      </c>
      <c r="D605" t="s">
        <v>85</v>
      </c>
      <c r="E605" t="s">
        <v>51</v>
      </c>
      <c r="F605" t="s">
        <v>118</v>
      </c>
      <c r="G605">
        <v>39</v>
      </c>
      <c r="H605">
        <v>120</v>
      </c>
      <c r="I605">
        <v>4680</v>
      </c>
      <c r="J605" t="s">
        <v>26</v>
      </c>
    </row>
    <row r="606" spans="1:10" x14ac:dyDescent="0.3">
      <c r="A606" t="s">
        <v>647</v>
      </c>
      <c r="B606" s="5">
        <v>42360</v>
      </c>
      <c r="C606" t="s">
        <v>11</v>
      </c>
      <c r="D606" t="s">
        <v>85</v>
      </c>
      <c r="E606" t="s">
        <v>51</v>
      </c>
      <c r="F606" t="s">
        <v>52</v>
      </c>
      <c r="G606">
        <v>123.79</v>
      </c>
      <c r="H606">
        <v>180</v>
      </c>
      <c r="I606">
        <v>22282.2</v>
      </c>
      <c r="J606" t="s">
        <v>26</v>
      </c>
    </row>
    <row r="607" spans="1:10" x14ac:dyDescent="0.3">
      <c r="A607" t="s">
        <v>648</v>
      </c>
      <c r="B607" s="5">
        <v>42361</v>
      </c>
      <c r="C607" t="s">
        <v>20</v>
      </c>
      <c r="D607" t="s">
        <v>12</v>
      </c>
      <c r="E607" t="s">
        <v>13</v>
      </c>
      <c r="F607" t="s">
        <v>66</v>
      </c>
      <c r="G607">
        <v>55</v>
      </c>
      <c r="H607">
        <v>135</v>
      </c>
      <c r="I607">
        <v>7425</v>
      </c>
      <c r="J607" t="s">
        <v>15</v>
      </c>
    </row>
    <row r="608" spans="1:10" x14ac:dyDescent="0.3">
      <c r="A608" t="s">
        <v>649</v>
      </c>
      <c r="B608" s="5">
        <v>42361</v>
      </c>
      <c r="C608" t="s">
        <v>11</v>
      </c>
      <c r="D608" t="s">
        <v>12</v>
      </c>
      <c r="E608" t="s">
        <v>34</v>
      </c>
      <c r="F608" t="s">
        <v>188</v>
      </c>
      <c r="G608">
        <v>9.1999999999999993</v>
      </c>
      <c r="H608">
        <v>216</v>
      </c>
      <c r="I608">
        <v>1987.1999999999998</v>
      </c>
      <c r="J608" t="s">
        <v>15</v>
      </c>
    </row>
    <row r="609" spans="1:10" x14ac:dyDescent="0.3">
      <c r="A609" t="s">
        <v>650</v>
      </c>
      <c r="B609" s="5">
        <v>42361</v>
      </c>
      <c r="C609" t="s">
        <v>20</v>
      </c>
      <c r="D609" t="s">
        <v>12</v>
      </c>
      <c r="E609" t="s">
        <v>34</v>
      </c>
      <c r="F609" t="s">
        <v>68</v>
      </c>
      <c r="G609">
        <v>14</v>
      </c>
      <c r="H609">
        <v>75</v>
      </c>
      <c r="I609">
        <v>1050</v>
      </c>
      <c r="J609" t="s">
        <v>15</v>
      </c>
    </row>
    <row r="610" spans="1:10" x14ac:dyDescent="0.3">
      <c r="A610" t="s">
        <v>651</v>
      </c>
      <c r="B610" s="5">
        <v>42361</v>
      </c>
      <c r="C610" t="s">
        <v>28</v>
      </c>
      <c r="D610" t="s">
        <v>45</v>
      </c>
      <c r="E610" t="s">
        <v>51</v>
      </c>
      <c r="F610" t="s">
        <v>81</v>
      </c>
      <c r="G610">
        <v>45.6</v>
      </c>
      <c r="H610">
        <v>120</v>
      </c>
      <c r="I610">
        <v>5472</v>
      </c>
      <c r="J610" t="s">
        <v>26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9E523-C244-4ACE-BF5F-E008021A41B7}">
  <sheetPr codeName="Hoja4"/>
  <dimension ref="A1:BJ610"/>
  <sheetViews>
    <sheetView topLeftCell="AJ1" zoomScale="70" zoomScaleNormal="70" workbookViewId="0">
      <selection activeCell="BG41" sqref="BG41"/>
    </sheetView>
  </sheetViews>
  <sheetFormatPr baseColWidth="10" defaultRowHeight="14.4" x14ac:dyDescent="0.3"/>
  <cols>
    <col min="2" max="2" width="14" style="5" customWidth="1"/>
    <col min="4" max="4" width="18" customWidth="1"/>
    <col min="5" max="5" width="20" customWidth="1"/>
    <col min="6" max="6" width="18.88671875" customWidth="1"/>
    <col min="7" max="7" width="15.5546875" customWidth="1"/>
    <col min="10" max="10" width="16.109375" customWidth="1"/>
    <col min="12" max="12" width="22.6640625" customWidth="1"/>
    <col min="13" max="13" width="15.6640625" customWidth="1"/>
    <col min="14" max="14" width="21.109375" customWidth="1"/>
    <col min="15" max="15" width="19.6640625" customWidth="1"/>
    <col min="17" max="18" width="0" hidden="1" customWidth="1"/>
    <col min="19" max="19" width="14.6640625" hidden="1" customWidth="1"/>
    <col min="20" max="20" width="17.5546875" customWidth="1"/>
    <col min="21" max="21" width="18" customWidth="1"/>
    <col min="50" max="50" width="23.88671875" customWidth="1"/>
    <col min="53" max="53" width="23.33203125" customWidth="1"/>
    <col min="58" max="58" width="21" customWidth="1"/>
    <col min="59" max="59" width="24.6640625" customWidth="1"/>
    <col min="60" max="60" width="22.33203125" customWidth="1"/>
    <col min="62" max="62" width="22.88671875" customWidth="1"/>
  </cols>
  <sheetData>
    <row r="1" spans="1:62" ht="39" customHeight="1" x14ac:dyDescent="0.3">
      <c r="A1" s="9" t="s">
        <v>0</v>
      </c>
      <c r="B1" s="18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1" t="s">
        <v>9</v>
      </c>
    </row>
    <row r="2" spans="1:62" x14ac:dyDescent="0.3">
      <c r="A2" s="12" t="s">
        <v>10</v>
      </c>
      <c r="B2" s="19">
        <v>42011</v>
      </c>
      <c r="C2" s="13" t="s">
        <v>11</v>
      </c>
      <c r="D2" s="13" t="s">
        <v>12</v>
      </c>
      <c r="E2" s="13" t="s">
        <v>13</v>
      </c>
      <c r="F2" s="13" t="s">
        <v>14</v>
      </c>
      <c r="G2" s="13">
        <v>7</v>
      </c>
      <c r="H2" s="13">
        <v>20</v>
      </c>
      <c r="I2" s="13">
        <v>140</v>
      </c>
      <c r="J2" s="14" t="s">
        <v>15</v>
      </c>
    </row>
    <row r="3" spans="1:62" x14ac:dyDescent="0.3">
      <c r="A3" s="12" t="s">
        <v>16</v>
      </c>
      <c r="B3" s="19">
        <v>42015</v>
      </c>
      <c r="C3" s="13" t="s">
        <v>11</v>
      </c>
      <c r="D3" s="13" t="s">
        <v>12</v>
      </c>
      <c r="E3" s="13" t="s">
        <v>17</v>
      </c>
      <c r="F3" s="13" t="s">
        <v>18</v>
      </c>
      <c r="G3" s="13">
        <v>19</v>
      </c>
      <c r="H3" s="13">
        <v>12</v>
      </c>
      <c r="I3" s="13">
        <v>228</v>
      </c>
      <c r="J3" s="14" t="s">
        <v>15</v>
      </c>
      <c r="Q3" s="65" t="s">
        <v>8</v>
      </c>
    </row>
    <row r="4" spans="1:62" x14ac:dyDescent="0.3">
      <c r="A4" s="12" t="s">
        <v>19</v>
      </c>
      <c r="B4" s="19">
        <v>42015</v>
      </c>
      <c r="C4" s="13" t="s">
        <v>20</v>
      </c>
      <c r="D4" s="13" t="s">
        <v>12</v>
      </c>
      <c r="E4" s="13" t="s">
        <v>21</v>
      </c>
      <c r="F4" s="13" t="s">
        <v>22</v>
      </c>
      <c r="G4" s="13">
        <v>12</v>
      </c>
      <c r="H4" s="13">
        <v>35</v>
      </c>
      <c r="I4" s="13">
        <v>420</v>
      </c>
      <c r="J4" s="14" t="s">
        <v>15</v>
      </c>
      <c r="Q4" s="13">
        <v>140</v>
      </c>
    </row>
    <row r="5" spans="1:62" x14ac:dyDescent="0.3">
      <c r="A5" s="12" t="s">
        <v>23</v>
      </c>
      <c r="B5" s="19">
        <v>42017</v>
      </c>
      <c r="C5" s="13" t="s">
        <v>20</v>
      </c>
      <c r="D5" s="13" t="s">
        <v>24</v>
      </c>
      <c r="E5" s="13" t="s">
        <v>17</v>
      </c>
      <c r="F5" s="13" t="s">
        <v>25</v>
      </c>
      <c r="G5" s="13">
        <v>7.75</v>
      </c>
      <c r="H5" s="13">
        <v>20</v>
      </c>
      <c r="I5" s="13">
        <v>155</v>
      </c>
      <c r="J5" s="14" t="s">
        <v>26</v>
      </c>
      <c r="L5" s="65"/>
      <c r="M5" s="90" t="s">
        <v>8</v>
      </c>
      <c r="O5" s="90" t="s">
        <v>8</v>
      </c>
      <c r="Q5" s="13">
        <v>60</v>
      </c>
      <c r="R5" s="51"/>
      <c r="Y5" s="90" t="s">
        <v>8</v>
      </c>
      <c r="AA5" s="90" t="s">
        <v>8</v>
      </c>
      <c r="AJ5" s="90" t="s">
        <v>8</v>
      </c>
      <c r="AK5" s="90" t="s">
        <v>8</v>
      </c>
      <c r="AM5" s="90" t="s">
        <v>8</v>
      </c>
    </row>
    <row r="6" spans="1:62" x14ac:dyDescent="0.3">
      <c r="A6" s="12" t="s">
        <v>27</v>
      </c>
      <c r="B6" s="19">
        <v>42017</v>
      </c>
      <c r="C6" s="13" t="s">
        <v>28</v>
      </c>
      <c r="D6" s="13" t="s">
        <v>24</v>
      </c>
      <c r="E6" s="13" t="s">
        <v>17</v>
      </c>
      <c r="F6" s="13" t="s">
        <v>29</v>
      </c>
      <c r="G6" s="13">
        <v>46</v>
      </c>
      <c r="H6" s="13">
        <v>7</v>
      </c>
      <c r="I6" s="13">
        <v>322</v>
      </c>
      <c r="J6" s="14" t="s">
        <v>26</v>
      </c>
      <c r="M6" t="s">
        <v>749</v>
      </c>
      <c r="O6" s="13">
        <v>140</v>
      </c>
      <c r="Q6" s="13">
        <v>95</v>
      </c>
      <c r="R6" s="51"/>
      <c r="Y6" t="s">
        <v>750</v>
      </c>
      <c r="AA6" s="13">
        <v>228</v>
      </c>
      <c r="AJ6" t="s">
        <v>751</v>
      </c>
      <c r="AK6" t="s">
        <v>752</v>
      </c>
      <c r="AM6" s="13">
        <v>420</v>
      </c>
      <c r="AV6" s="90" t="s">
        <v>8</v>
      </c>
      <c r="AW6" s="90" t="s">
        <v>8</v>
      </c>
      <c r="AX6" s="90" t="s">
        <v>3</v>
      </c>
      <c r="AZ6" s="90" t="s">
        <v>8</v>
      </c>
      <c r="BA6" s="90" t="s">
        <v>3</v>
      </c>
      <c r="BF6" s="90" t="s">
        <v>3</v>
      </c>
      <c r="BG6" s="90" t="s">
        <v>3</v>
      </c>
      <c r="BH6" s="90" t="s">
        <v>3</v>
      </c>
      <c r="BJ6" s="90" t="s">
        <v>3</v>
      </c>
    </row>
    <row r="7" spans="1:62" x14ac:dyDescent="0.3">
      <c r="A7" s="12" t="s">
        <v>30</v>
      </c>
      <c r="B7" s="19">
        <v>42023</v>
      </c>
      <c r="C7" s="13" t="s">
        <v>31</v>
      </c>
      <c r="D7" s="13" t="s">
        <v>24</v>
      </c>
      <c r="E7" s="13" t="s">
        <v>17</v>
      </c>
      <c r="F7" s="13" t="s">
        <v>32</v>
      </c>
      <c r="G7" s="13">
        <v>263.5</v>
      </c>
      <c r="H7" s="13">
        <v>2</v>
      </c>
      <c r="I7" s="13">
        <v>527</v>
      </c>
      <c r="J7" s="14" t="s">
        <v>15</v>
      </c>
      <c r="O7" s="13">
        <v>60</v>
      </c>
      <c r="Q7" s="13">
        <v>140</v>
      </c>
      <c r="R7" s="51"/>
      <c r="AA7" s="13">
        <v>420</v>
      </c>
      <c r="AM7" s="13">
        <v>405</v>
      </c>
      <c r="AV7" t="s">
        <v>751</v>
      </c>
      <c r="AW7" t="s">
        <v>752</v>
      </c>
      <c r="AX7" t="s">
        <v>85</v>
      </c>
      <c r="AZ7" s="13">
        <v>442.05</v>
      </c>
      <c r="BA7" s="13" t="s">
        <v>85</v>
      </c>
      <c r="BF7" t="s">
        <v>748</v>
      </c>
      <c r="BG7" t="s">
        <v>753</v>
      </c>
      <c r="BH7" t="s">
        <v>754</v>
      </c>
      <c r="BJ7" s="13" t="s">
        <v>85</v>
      </c>
    </row>
    <row r="8" spans="1:62" x14ac:dyDescent="0.3">
      <c r="A8" s="12" t="s">
        <v>33</v>
      </c>
      <c r="B8" s="19">
        <v>42023</v>
      </c>
      <c r="C8" s="13" t="s">
        <v>20</v>
      </c>
      <c r="D8" s="13" t="s">
        <v>24</v>
      </c>
      <c r="E8" s="13" t="s">
        <v>34</v>
      </c>
      <c r="F8" s="13" t="s">
        <v>35</v>
      </c>
      <c r="G8" s="13">
        <v>81</v>
      </c>
      <c r="H8" s="13">
        <v>5</v>
      </c>
      <c r="I8" s="13">
        <v>405</v>
      </c>
      <c r="J8" s="14" t="s">
        <v>15</v>
      </c>
      <c r="O8" s="13">
        <v>95</v>
      </c>
      <c r="Q8" s="13">
        <v>72</v>
      </c>
      <c r="R8" s="51"/>
      <c r="AA8" s="13">
        <v>155</v>
      </c>
      <c r="AM8" s="13">
        <v>450</v>
      </c>
      <c r="AZ8" s="13">
        <v>498.75</v>
      </c>
      <c r="BA8" s="13" t="s">
        <v>85</v>
      </c>
      <c r="BJ8" s="13" t="s">
        <v>85</v>
      </c>
    </row>
    <row r="9" spans="1:62" x14ac:dyDescent="0.3">
      <c r="A9" s="12" t="s">
        <v>36</v>
      </c>
      <c r="B9" s="19">
        <v>42023</v>
      </c>
      <c r="C9" s="13" t="s">
        <v>20</v>
      </c>
      <c r="D9" s="13" t="s">
        <v>12</v>
      </c>
      <c r="E9" s="13" t="s">
        <v>17</v>
      </c>
      <c r="F9" s="13" t="s">
        <v>37</v>
      </c>
      <c r="G9" s="13">
        <v>18</v>
      </c>
      <c r="H9" s="13">
        <v>28</v>
      </c>
      <c r="I9" s="13">
        <v>504</v>
      </c>
      <c r="J9" s="14" t="s">
        <v>26</v>
      </c>
      <c r="O9" s="13">
        <v>140</v>
      </c>
      <c r="Q9" s="13">
        <v>70</v>
      </c>
      <c r="R9" s="51"/>
      <c r="AA9" s="13">
        <v>322</v>
      </c>
      <c r="AM9" s="13">
        <v>442.05</v>
      </c>
      <c r="AZ9" s="13">
        <v>468</v>
      </c>
      <c r="BA9" s="13" t="s">
        <v>85</v>
      </c>
      <c r="BJ9" s="13" t="s">
        <v>85</v>
      </c>
    </row>
    <row r="10" spans="1:62" x14ac:dyDescent="0.3">
      <c r="A10" s="12" t="s">
        <v>38</v>
      </c>
      <c r="B10" s="19">
        <v>42023</v>
      </c>
      <c r="C10" s="13" t="s">
        <v>11</v>
      </c>
      <c r="D10" s="13" t="s">
        <v>12</v>
      </c>
      <c r="E10" s="13" t="s">
        <v>21</v>
      </c>
      <c r="F10" s="13" t="s">
        <v>39</v>
      </c>
      <c r="G10" s="13">
        <v>25</v>
      </c>
      <c r="H10" s="13">
        <v>6</v>
      </c>
      <c r="I10" s="13">
        <v>150</v>
      </c>
      <c r="J10" s="14" t="s">
        <v>26</v>
      </c>
      <c r="O10" s="13">
        <v>72</v>
      </c>
      <c r="Q10" s="13">
        <v>30</v>
      </c>
      <c r="R10" s="51"/>
      <c r="AA10" s="13">
        <v>527</v>
      </c>
      <c r="AM10" s="13">
        <v>498.75</v>
      </c>
      <c r="BJ10" s="13" t="s">
        <v>85</v>
      </c>
    </row>
    <row r="11" spans="1:62" x14ac:dyDescent="0.3">
      <c r="A11" s="12" t="s">
        <v>40</v>
      </c>
      <c r="B11" s="19">
        <v>42023</v>
      </c>
      <c r="C11" s="13" t="s">
        <v>20</v>
      </c>
      <c r="D11" s="13" t="s">
        <v>12</v>
      </c>
      <c r="E11" s="13" t="s">
        <v>13</v>
      </c>
      <c r="F11" s="13" t="s">
        <v>41</v>
      </c>
      <c r="G11" s="13">
        <v>34</v>
      </c>
      <c r="H11" s="13">
        <v>30</v>
      </c>
      <c r="I11" s="13">
        <v>1020</v>
      </c>
      <c r="J11" s="14" t="s">
        <v>26</v>
      </c>
      <c r="O11" s="13">
        <v>70</v>
      </c>
      <c r="Q11" s="13">
        <v>45</v>
      </c>
      <c r="R11" s="51"/>
      <c r="AA11" s="13">
        <v>405</v>
      </c>
      <c r="AM11" s="13">
        <v>437.5</v>
      </c>
      <c r="BJ11" s="13" t="s">
        <v>85</v>
      </c>
    </row>
    <row r="12" spans="1:62" x14ac:dyDescent="0.3">
      <c r="A12" s="12" t="s">
        <v>42</v>
      </c>
      <c r="B12" s="19">
        <v>42023</v>
      </c>
      <c r="C12" s="13" t="s">
        <v>31</v>
      </c>
      <c r="D12" s="13" t="s">
        <v>12</v>
      </c>
      <c r="E12" s="13" t="s">
        <v>34</v>
      </c>
      <c r="F12" s="13" t="s">
        <v>43</v>
      </c>
      <c r="G12" s="13">
        <v>12.5</v>
      </c>
      <c r="H12" s="13">
        <v>24</v>
      </c>
      <c r="I12" s="13">
        <v>300</v>
      </c>
      <c r="J12" s="14" t="s">
        <v>26</v>
      </c>
      <c r="O12" s="13">
        <v>30</v>
      </c>
      <c r="Q12" s="13">
        <v>100</v>
      </c>
      <c r="R12" s="51"/>
      <c r="AA12" s="13">
        <v>504</v>
      </c>
      <c r="AM12" s="13">
        <v>442.05</v>
      </c>
      <c r="BJ12" s="13" t="s">
        <v>85</v>
      </c>
    </row>
    <row r="13" spans="1:62" x14ac:dyDescent="0.3">
      <c r="A13" s="12" t="s">
        <v>44</v>
      </c>
      <c r="B13" s="19">
        <v>42023</v>
      </c>
      <c r="C13" s="13" t="s">
        <v>31</v>
      </c>
      <c r="D13" s="13" t="s">
        <v>45</v>
      </c>
      <c r="E13" s="13" t="s">
        <v>17</v>
      </c>
      <c r="F13" s="13" t="s">
        <v>18</v>
      </c>
      <c r="G13" s="13">
        <v>19</v>
      </c>
      <c r="H13" s="13">
        <v>10</v>
      </c>
      <c r="I13" s="13">
        <v>190</v>
      </c>
      <c r="J13" s="14" t="s">
        <v>15</v>
      </c>
      <c r="O13" s="13">
        <v>45</v>
      </c>
      <c r="Q13" s="13">
        <v>104.69999999999999</v>
      </c>
      <c r="R13" s="51"/>
      <c r="AA13" s="13">
        <v>1020</v>
      </c>
      <c r="AM13" s="13">
        <v>468</v>
      </c>
      <c r="BJ13" s="13" t="s">
        <v>85</v>
      </c>
    </row>
    <row r="14" spans="1:62" x14ac:dyDescent="0.3">
      <c r="A14" s="12" t="s">
        <v>46</v>
      </c>
      <c r="B14" s="19">
        <v>42023</v>
      </c>
      <c r="C14" s="13" t="s">
        <v>11</v>
      </c>
      <c r="D14" s="13" t="s">
        <v>45</v>
      </c>
      <c r="E14" s="13" t="s">
        <v>21</v>
      </c>
      <c r="F14" s="13" t="s">
        <v>47</v>
      </c>
      <c r="G14" s="13">
        <v>40</v>
      </c>
      <c r="H14" s="13">
        <v>20</v>
      </c>
      <c r="I14" s="13">
        <v>800</v>
      </c>
      <c r="J14" s="14" t="s">
        <v>15</v>
      </c>
      <c r="O14" s="13">
        <v>100</v>
      </c>
      <c r="Q14" s="13">
        <v>25.89</v>
      </c>
      <c r="R14" s="51"/>
      <c r="AA14" s="13">
        <v>300</v>
      </c>
      <c r="AM14" s="13">
        <v>475</v>
      </c>
      <c r="BJ14" s="13" t="s">
        <v>85</v>
      </c>
    </row>
    <row r="15" spans="1:62" x14ac:dyDescent="0.3">
      <c r="A15" s="12" t="s">
        <v>48</v>
      </c>
      <c r="B15" s="19">
        <v>42023</v>
      </c>
      <c r="C15" s="13" t="s">
        <v>11</v>
      </c>
      <c r="D15" s="13" t="s">
        <v>45</v>
      </c>
      <c r="E15" s="13" t="s">
        <v>13</v>
      </c>
      <c r="F15" s="13" t="s">
        <v>41</v>
      </c>
      <c r="G15" s="13">
        <v>34</v>
      </c>
      <c r="H15" s="13">
        <v>21</v>
      </c>
      <c r="I15" s="13">
        <v>714</v>
      </c>
      <c r="J15" s="14" t="s">
        <v>15</v>
      </c>
      <c r="O15" s="13">
        <v>104.69999999999999</v>
      </c>
      <c r="Q15" s="13">
        <v>84</v>
      </c>
      <c r="R15" s="51"/>
      <c r="AA15" s="13">
        <v>190</v>
      </c>
      <c r="AM15" s="13">
        <v>441</v>
      </c>
      <c r="BJ15" s="13" t="s">
        <v>85</v>
      </c>
    </row>
    <row r="16" spans="1:62" x14ac:dyDescent="0.3">
      <c r="A16" s="12" t="s">
        <v>49</v>
      </c>
      <c r="B16" s="19">
        <v>42023</v>
      </c>
      <c r="C16" s="13" t="s">
        <v>20</v>
      </c>
      <c r="D16" s="13" t="s">
        <v>45</v>
      </c>
      <c r="E16" s="13" t="s">
        <v>13</v>
      </c>
      <c r="F16" s="13" t="s">
        <v>14</v>
      </c>
      <c r="G16" s="13">
        <v>6</v>
      </c>
      <c r="H16" s="13">
        <v>10</v>
      </c>
      <c r="I16" s="13">
        <v>60</v>
      </c>
      <c r="J16" s="14" t="s">
        <v>15</v>
      </c>
      <c r="O16" s="13">
        <v>25.89</v>
      </c>
      <c r="Q16" s="13">
        <v>90</v>
      </c>
      <c r="R16" s="51"/>
      <c r="AA16" s="13">
        <v>800</v>
      </c>
      <c r="AM16" s="13">
        <v>427</v>
      </c>
      <c r="BJ16" s="13" t="s">
        <v>85</v>
      </c>
    </row>
    <row r="17" spans="1:62" x14ac:dyDescent="0.3">
      <c r="A17" s="12" t="s">
        <v>50</v>
      </c>
      <c r="B17" s="19">
        <v>42025</v>
      </c>
      <c r="C17" s="13" t="s">
        <v>11</v>
      </c>
      <c r="D17" s="13" t="s">
        <v>12</v>
      </c>
      <c r="E17" s="13" t="s">
        <v>51</v>
      </c>
      <c r="F17" s="13" t="s">
        <v>52</v>
      </c>
      <c r="G17" s="13">
        <v>123.79</v>
      </c>
      <c r="H17" s="13">
        <v>8</v>
      </c>
      <c r="I17" s="13">
        <v>990.32</v>
      </c>
      <c r="J17" s="14" t="s">
        <v>26</v>
      </c>
      <c r="O17" s="13">
        <v>84</v>
      </c>
      <c r="Q17" s="13">
        <v>47.5</v>
      </c>
      <c r="R17" s="66" t="s">
        <v>8</v>
      </c>
      <c r="AA17" s="13">
        <v>714</v>
      </c>
      <c r="AM17" s="13">
        <v>442.05</v>
      </c>
      <c r="BJ17" s="13" t="s">
        <v>85</v>
      </c>
    </row>
    <row r="18" spans="1:62" x14ac:dyDescent="0.3">
      <c r="A18" s="12" t="s">
        <v>53</v>
      </c>
      <c r="B18" s="19">
        <v>42025</v>
      </c>
      <c r="C18" s="13" t="s">
        <v>31</v>
      </c>
      <c r="D18" s="13" t="s">
        <v>12</v>
      </c>
      <c r="E18" s="13" t="s">
        <v>17</v>
      </c>
      <c r="F18" s="13" t="s">
        <v>54</v>
      </c>
      <c r="G18" s="13">
        <v>25.89</v>
      </c>
      <c r="H18" s="13">
        <v>20</v>
      </c>
      <c r="I18" s="13">
        <v>517.79999999999995</v>
      </c>
      <c r="J18" s="14" t="s">
        <v>26</v>
      </c>
      <c r="O18" s="13">
        <v>90</v>
      </c>
      <c r="Q18" s="13">
        <v>65.599999999999994</v>
      </c>
      <c r="R18" s="13">
        <v>228</v>
      </c>
      <c r="T18" s="51"/>
      <c r="AA18" s="13">
        <v>990.32</v>
      </c>
      <c r="AM18" s="13">
        <v>450</v>
      </c>
      <c r="BJ18" s="13" t="s">
        <v>85</v>
      </c>
    </row>
    <row r="19" spans="1:62" x14ac:dyDescent="0.3">
      <c r="A19" s="12" t="s">
        <v>55</v>
      </c>
      <c r="B19" s="19">
        <v>42029</v>
      </c>
      <c r="C19" s="13" t="s">
        <v>28</v>
      </c>
      <c r="D19" s="13" t="s">
        <v>12</v>
      </c>
      <c r="E19" s="13" t="s">
        <v>13</v>
      </c>
      <c r="F19" s="13" t="s">
        <v>56</v>
      </c>
      <c r="G19" s="13">
        <v>34.799999999999997</v>
      </c>
      <c r="H19" s="13">
        <v>15</v>
      </c>
      <c r="I19" s="13">
        <v>522</v>
      </c>
      <c r="J19" s="14" t="s">
        <v>26</v>
      </c>
      <c r="L19" s="65"/>
      <c r="O19" s="13">
        <v>47.5</v>
      </c>
      <c r="Q19" s="13">
        <v>72</v>
      </c>
      <c r="R19" s="13">
        <v>420</v>
      </c>
      <c r="T19" s="51"/>
      <c r="AA19" s="13">
        <v>517.79999999999995</v>
      </c>
      <c r="AM19" s="13">
        <v>468</v>
      </c>
      <c r="BJ19" s="13" t="s">
        <v>85</v>
      </c>
    </row>
    <row r="20" spans="1:62" x14ac:dyDescent="0.3">
      <c r="A20" s="12" t="s">
        <v>57</v>
      </c>
      <c r="B20" s="19">
        <v>42029</v>
      </c>
      <c r="C20" s="13" t="s">
        <v>20</v>
      </c>
      <c r="D20" s="13" t="s">
        <v>12</v>
      </c>
      <c r="E20" s="13" t="s">
        <v>17</v>
      </c>
      <c r="F20" s="13" t="s">
        <v>54</v>
      </c>
      <c r="G20" s="13">
        <v>13.25</v>
      </c>
      <c r="H20" s="13">
        <v>30</v>
      </c>
      <c r="I20" s="13">
        <v>397.5</v>
      </c>
      <c r="J20" s="14" t="s">
        <v>26</v>
      </c>
      <c r="O20" s="13">
        <v>65.599999999999994</v>
      </c>
      <c r="Q20" s="13">
        <v>90</v>
      </c>
      <c r="R20" s="13">
        <v>155</v>
      </c>
      <c r="T20" s="51"/>
      <c r="AA20" s="13">
        <v>522</v>
      </c>
      <c r="AM20" s="13">
        <v>491.99999999999994</v>
      </c>
      <c r="BJ20" s="13" t="s">
        <v>85</v>
      </c>
    </row>
    <row r="21" spans="1:62" x14ac:dyDescent="0.3">
      <c r="A21" s="12" t="s">
        <v>58</v>
      </c>
      <c r="B21" s="19">
        <v>42033</v>
      </c>
      <c r="C21" s="13" t="s">
        <v>11</v>
      </c>
      <c r="D21" s="13" t="s">
        <v>45</v>
      </c>
      <c r="E21" s="13" t="s">
        <v>51</v>
      </c>
      <c r="F21" s="13" t="s">
        <v>59</v>
      </c>
      <c r="G21" s="13">
        <v>97</v>
      </c>
      <c r="H21" s="13">
        <v>3</v>
      </c>
      <c r="I21" s="13">
        <v>291</v>
      </c>
      <c r="J21" s="14" t="s">
        <v>26</v>
      </c>
      <c r="O21" s="13">
        <v>72</v>
      </c>
      <c r="Q21" s="13">
        <v>96</v>
      </c>
      <c r="R21" s="13">
        <v>322</v>
      </c>
      <c r="T21" s="51"/>
      <c r="AA21" s="13">
        <v>397.5</v>
      </c>
      <c r="AM21" s="13">
        <v>466.79999999999995</v>
      </c>
      <c r="BJ21" s="13" t="s">
        <v>85</v>
      </c>
    </row>
    <row r="22" spans="1:62" x14ac:dyDescent="0.3">
      <c r="A22" s="12" t="s">
        <v>60</v>
      </c>
      <c r="B22" s="19">
        <v>42033</v>
      </c>
      <c r="C22" s="13" t="s">
        <v>28</v>
      </c>
      <c r="D22" s="13" t="s">
        <v>45</v>
      </c>
      <c r="E22" s="13" t="s">
        <v>21</v>
      </c>
      <c r="F22" s="13" t="s">
        <v>61</v>
      </c>
      <c r="G22" s="13">
        <v>21.35</v>
      </c>
      <c r="H22" s="13">
        <v>30</v>
      </c>
      <c r="I22" s="13">
        <v>640.5</v>
      </c>
      <c r="J22" s="14" t="s">
        <v>26</v>
      </c>
      <c r="O22" s="13">
        <v>90</v>
      </c>
      <c r="Q22" s="13">
        <v>146.25</v>
      </c>
      <c r="R22" s="13">
        <v>527</v>
      </c>
      <c r="T22" s="51"/>
      <c r="AA22" s="13">
        <v>291</v>
      </c>
      <c r="AM22" s="13">
        <v>427</v>
      </c>
      <c r="BJ22" s="13" t="s">
        <v>85</v>
      </c>
    </row>
    <row r="23" spans="1:62" x14ac:dyDescent="0.3">
      <c r="A23" s="12" t="s">
        <v>62</v>
      </c>
      <c r="B23" s="19">
        <v>42036</v>
      </c>
      <c r="C23" s="13" t="s">
        <v>11</v>
      </c>
      <c r="D23" s="13" t="s">
        <v>12</v>
      </c>
      <c r="E23" s="13" t="s">
        <v>17</v>
      </c>
      <c r="F23" s="13" t="s">
        <v>18</v>
      </c>
      <c r="G23" s="13">
        <v>19</v>
      </c>
      <c r="H23" s="13">
        <v>5</v>
      </c>
      <c r="I23" s="13">
        <v>95</v>
      </c>
      <c r="J23" s="14" t="s">
        <v>15</v>
      </c>
      <c r="O23" s="13">
        <v>96</v>
      </c>
      <c r="Q23" s="13">
        <v>42</v>
      </c>
      <c r="R23" s="13">
        <v>405</v>
      </c>
      <c r="T23" s="51"/>
      <c r="AA23" s="13">
        <v>640.5</v>
      </c>
      <c r="AM23" s="13">
        <v>450</v>
      </c>
      <c r="BJ23" s="13" t="s">
        <v>85</v>
      </c>
    </row>
    <row r="24" spans="1:62" x14ac:dyDescent="0.3">
      <c r="A24" s="12" t="s">
        <v>63</v>
      </c>
      <c r="B24" s="19">
        <v>42036</v>
      </c>
      <c r="C24" s="13" t="s">
        <v>11</v>
      </c>
      <c r="D24" s="13" t="s">
        <v>12</v>
      </c>
      <c r="E24" s="13" t="s">
        <v>34</v>
      </c>
      <c r="F24" s="13" t="s">
        <v>64</v>
      </c>
      <c r="G24" s="13">
        <v>19.5</v>
      </c>
      <c r="H24" s="13">
        <v>10</v>
      </c>
      <c r="I24" s="13">
        <v>195</v>
      </c>
      <c r="J24" s="14" t="s">
        <v>15</v>
      </c>
      <c r="O24" s="13">
        <v>146.25</v>
      </c>
      <c r="Q24" s="13">
        <v>108</v>
      </c>
      <c r="R24" s="13">
        <v>504</v>
      </c>
      <c r="T24" s="51"/>
      <c r="AA24" s="13">
        <v>195</v>
      </c>
      <c r="AM24" s="13">
        <v>487.5</v>
      </c>
      <c r="BJ24" s="13" t="s">
        <v>85</v>
      </c>
    </row>
    <row r="25" spans="1:62" x14ac:dyDescent="0.3">
      <c r="A25" s="12" t="s">
        <v>65</v>
      </c>
      <c r="B25" s="19">
        <v>42036</v>
      </c>
      <c r="C25" s="13" t="s">
        <v>28</v>
      </c>
      <c r="D25" s="13" t="s">
        <v>12</v>
      </c>
      <c r="E25" s="13" t="s">
        <v>13</v>
      </c>
      <c r="F25" s="13" t="s">
        <v>66</v>
      </c>
      <c r="G25" s="13">
        <v>55</v>
      </c>
      <c r="H25" s="13">
        <v>42</v>
      </c>
      <c r="I25" s="13">
        <v>2310</v>
      </c>
      <c r="J25" s="14" t="s">
        <v>15</v>
      </c>
      <c r="O25" s="13">
        <v>42</v>
      </c>
      <c r="Q25" s="13">
        <v>38.6</v>
      </c>
      <c r="R25" s="13">
        <v>1020</v>
      </c>
      <c r="T25" s="51"/>
      <c r="AA25" s="13">
        <v>2310</v>
      </c>
      <c r="AM25" s="13">
        <v>421</v>
      </c>
      <c r="BJ25" s="13" t="s">
        <v>85</v>
      </c>
    </row>
    <row r="26" spans="1:62" x14ac:dyDescent="0.3">
      <c r="A26" s="12" t="s">
        <v>67</v>
      </c>
      <c r="B26" s="19">
        <v>42036</v>
      </c>
      <c r="C26" s="13" t="s">
        <v>11</v>
      </c>
      <c r="D26" s="13" t="s">
        <v>12</v>
      </c>
      <c r="E26" s="13" t="s">
        <v>34</v>
      </c>
      <c r="F26" s="13" t="s">
        <v>68</v>
      </c>
      <c r="G26" s="13">
        <v>14</v>
      </c>
      <c r="H26" s="13">
        <v>10</v>
      </c>
      <c r="I26" s="13">
        <v>140</v>
      </c>
      <c r="J26" s="14" t="s">
        <v>15</v>
      </c>
      <c r="O26" s="13">
        <v>108</v>
      </c>
      <c r="Q26" s="13">
        <v>54</v>
      </c>
      <c r="R26" s="13">
        <v>300</v>
      </c>
      <c r="T26" s="51"/>
      <c r="AA26" s="13">
        <v>210</v>
      </c>
      <c r="AM26" s="13">
        <v>491.99999999999994</v>
      </c>
      <c r="BJ26" s="13" t="s">
        <v>85</v>
      </c>
    </row>
    <row r="27" spans="1:62" x14ac:dyDescent="0.3">
      <c r="A27" s="12" t="s">
        <v>69</v>
      </c>
      <c r="B27" s="19">
        <v>42043</v>
      </c>
      <c r="C27" s="13" t="s">
        <v>31</v>
      </c>
      <c r="D27" s="13" t="s">
        <v>45</v>
      </c>
      <c r="E27" s="13" t="s">
        <v>17</v>
      </c>
      <c r="F27" s="13" t="s">
        <v>70</v>
      </c>
      <c r="G27" s="13">
        <v>14</v>
      </c>
      <c r="H27" s="13">
        <v>15</v>
      </c>
      <c r="I27" s="13">
        <v>210</v>
      </c>
      <c r="J27" s="14" t="s">
        <v>26</v>
      </c>
      <c r="O27" s="13">
        <v>38.6</v>
      </c>
      <c r="Q27" s="13">
        <v>90</v>
      </c>
      <c r="R27" s="13">
        <v>190</v>
      </c>
      <c r="T27" s="51"/>
      <c r="AA27" s="13">
        <v>540</v>
      </c>
      <c r="AM27" s="13">
        <v>480</v>
      </c>
      <c r="BJ27" s="13" t="s">
        <v>85</v>
      </c>
    </row>
    <row r="28" spans="1:62" x14ac:dyDescent="0.3">
      <c r="A28" s="12" t="s">
        <v>71</v>
      </c>
      <c r="B28" s="19">
        <v>42043</v>
      </c>
      <c r="C28" s="13" t="s">
        <v>28</v>
      </c>
      <c r="D28" s="13" t="s">
        <v>45</v>
      </c>
      <c r="E28" s="13" t="s">
        <v>17</v>
      </c>
      <c r="F28" s="13" t="s">
        <v>72</v>
      </c>
      <c r="G28" s="13">
        <v>18</v>
      </c>
      <c r="H28" s="13">
        <v>4</v>
      </c>
      <c r="I28" s="13">
        <v>72</v>
      </c>
      <c r="J28" s="14" t="s">
        <v>26</v>
      </c>
      <c r="O28" s="13">
        <v>54</v>
      </c>
      <c r="Q28" s="13">
        <v>56</v>
      </c>
      <c r="R28" s="13">
        <v>800</v>
      </c>
      <c r="S28" s="65" t="s">
        <v>8</v>
      </c>
      <c r="T28" s="51"/>
      <c r="AA28" s="13">
        <v>840</v>
      </c>
      <c r="AM28" s="13">
        <v>408</v>
      </c>
      <c r="BJ28" s="13" t="s">
        <v>85</v>
      </c>
    </row>
    <row r="29" spans="1:62" x14ac:dyDescent="0.3">
      <c r="A29" s="12" t="s">
        <v>73</v>
      </c>
      <c r="B29" s="19">
        <v>42045</v>
      </c>
      <c r="C29" s="13" t="s">
        <v>20</v>
      </c>
      <c r="D29" s="13" t="s">
        <v>12</v>
      </c>
      <c r="E29" s="13" t="s">
        <v>17</v>
      </c>
      <c r="F29" s="13" t="s">
        <v>72</v>
      </c>
      <c r="G29" s="13">
        <v>18</v>
      </c>
      <c r="H29" s="13">
        <v>30</v>
      </c>
      <c r="I29" s="13">
        <v>540</v>
      </c>
      <c r="J29" s="14" t="s">
        <v>26</v>
      </c>
      <c r="O29" s="13">
        <v>90</v>
      </c>
      <c r="Q29" s="13">
        <v>25</v>
      </c>
      <c r="R29" s="13">
        <v>714</v>
      </c>
      <c r="S29" s="13">
        <v>420</v>
      </c>
      <c r="T29" s="51"/>
      <c r="AA29" s="13">
        <v>624.6</v>
      </c>
      <c r="AM29" s="13">
        <v>468</v>
      </c>
      <c r="BJ29" s="13" t="s">
        <v>85</v>
      </c>
    </row>
    <row r="30" spans="1:62" x14ac:dyDescent="0.3">
      <c r="A30" s="12" t="s">
        <v>74</v>
      </c>
      <c r="B30" s="19">
        <v>42045</v>
      </c>
      <c r="C30" s="13" t="s">
        <v>11</v>
      </c>
      <c r="D30" s="13" t="s">
        <v>12</v>
      </c>
      <c r="E30" s="13" t="s">
        <v>34</v>
      </c>
      <c r="F30" s="13" t="s">
        <v>75</v>
      </c>
      <c r="G30" s="13">
        <v>20</v>
      </c>
      <c r="H30" s="13">
        <v>42</v>
      </c>
      <c r="I30" s="13">
        <v>840</v>
      </c>
      <c r="J30" s="14" t="s">
        <v>26</v>
      </c>
      <c r="N30" s="60"/>
      <c r="O30" s="13">
        <v>56</v>
      </c>
      <c r="Q30" s="13">
        <v>36</v>
      </c>
      <c r="R30" s="13">
        <v>990.32</v>
      </c>
      <c r="S30" s="13">
        <v>405</v>
      </c>
      <c r="T30" s="51"/>
      <c r="AA30" s="13">
        <v>720</v>
      </c>
      <c r="AM30" s="13">
        <v>408</v>
      </c>
      <c r="BJ30" s="13" t="s">
        <v>85</v>
      </c>
    </row>
    <row r="31" spans="1:62" x14ac:dyDescent="0.3">
      <c r="A31" s="12" t="s">
        <v>76</v>
      </c>
      <c r="B31" s="19">
        <v>42045</v>
      </c>
      <c r="C31" s="13" t="s">
        <v>31</v>
      </c>
      <c r="D31" s="13" t="s">
        <v>12</v>
      </c>
      <c r="E31" s="13" t="s">
        <v>34</v>
      </c>
      <c r="F31" s="13" t="s">
        <v>77</v>
      </c>
      <c r="G31" s="13">
        <v>31.23</v>
      </c>
      <c r="H31" s="13">
        <v>20</v>
      </c>
      <c r="I31" s="13">
        <v>624.6</v>
      </c>
      <c r="J31" s="14" t="s">
        <v>26</v>
      </c>
      <c r="O31" s="13">
        <v>25</v>
      </c>
      <c r="Q31" s="13">
        <v>40</v>
      </c>
      <c r="R31" s="13">
        <v>517.79999999999995</v>
      </c>
      <c r="S31" s="13">
        <v>450</v>
      </c>
      <c r="T31" s="51"/>
      <c r="AA31" s="13">
        <v>450</v>
      </c>
      <c r="AM31" s="13">
        <v>490</v>
      </c>
      <c r="BJ31" s="13" t="s">
        <v>85</v>
      </c>
    </row>
    <row r="32" spans="1:62" x14ac:dyDescent="0.3">
      <c r="A32" s="12" t="s">
        <v>78</v>
      </c>
      <c r="B32" s="19">
        <v>42045</v>
      </c>
      <c r="C32" s="13" t="s">
        <v>20</v>
      </c>
      <c r="D32" s="13" t="s">
        <v>45</v>
      </c>
      <c r="E32" s="13" t="s">
        <v>17</v>
      </c>
      <c r="F32" s="13" t="s">
        <v>79</v>
      </c>
      <c r="G32" s="13">
        <v>18</v>
      </c>
      <c r="H32" s="13">
        <v>40</v>
      </c>
      <c r="I32" s="13">
        <v>720</v>
      </c>
      <c r="J32" s="14" t="s">
        <v>15</v>
      </c>
      <c r="O32" s="13">
        <v>36</v>
      </c>
      <c r="Q32" s="13">
        <v>120</v>
      </c>
      <c r="R32" s="13">
        <v>522</v>
      </c>
      <c r="S32" s="13">
        <v>442.05</v>
      </c>
      <c r="T32" s="51"/>
      <c r="AA32" s="13">
        <v>210</v>
      </c>
      <c r="AM32" s="13">
        <v>475</v>
      </c>
      <c r="BJ32" s="13" t="s">
        <v>85</v>
      </c>
    </row>
    <row r="33" spans="1:62" x14ac:dyDescent="0.3">
      <c r="A33" s="12" t="s">
        <v>80</v>
      </c>
      <c r="B33" s="19">
        <v>42045</v>
      </c>
      <c r="C33" s="13" t="s">
        <v>20</v>
      </c>
      <c r="D33" s="13" t="s">
        <v>45</v>
      </c>
      <c r="E33" s="13" t="s">
        <v>51</v>
      </c>
      <c r="F33" s="13" t="s">
        <v>81</v>
      </c>
      <c r="G33" s="13">
        <v>9</v>
      </c>
      <c r="H33" s="13">
        <v>50</v>
      </c>
      <c r="I33" s="13">
        <v>450</v>
      </c>
      <c r="J33" s="14" t="s">
        <v>15</v>
      </c>
      <c r="O33" s="13">
        <v>40</v>
      </c>
      <c r="Q33" s="13">
        <v>75</v>
      </c>
      <c r="R33" s="13">
        <v>397.5</v>
      </c>
      <c r="S33" s="13">
        <v>498.75</v>
      </c>
      <c r="T33" s="51"/>
      <c r="AA33" s="13">
        <v>250</v>
      </c>
      <c r="AM33" s="13">
        <v>493</v>
      </c>
      <c r="BJ33" s="13" t="s">
        <v>85</v>
      </c>
    </row>
    <row r="34" spans="1:62" x14ac:dyDescent="0.3">
      <c r="A34" s="12" t="s">
        <v>82</v>
      </c>
      <c r="B34" s="19">
        <v>42045</v>
      </c>
      <c r="C34" s="13" t="s">
        <v>28</v>
      </c>
      <c r="D34" s="13" t="s">
        <v>45</v>
      </c>
      <c r="E34" s="13" t="s">
        <v>13</v>
      </c>
      <c r="F34" s="13" t="s">
        <v>14</v>
      </c>
      <c r="G34" s="13">
        <v>21</v>
      </c>
      <c r="H34" s="13">
        <v>10</v>
      </c>
      <c r="I34" s="13">
        <v>210</v>
      </c>
      <c r="J34" s="14" t="s">
        <v>15</v>
      </c>
      <c r="O34" s="13">
        <v>120</v>
      </c>
      <c r="Q34" s="13">
        <v>60</v>
      </c>
      <c r="R34" s="13">
        <v>291</v>
      </c>
      <c r="S34" s="13">
        <v>437.5</v>
      </c>
      <c r="T34" s="51"/>
      <c r="AA34" s="13">
        <v>240</v>
      </c>
      <c r="AM34" s="13">
        <v>480</v>
      </c>
      <c r="BJ34" s="13" t="s">
        <v>85</v>
      </c>
    </row>
    <row r="35" spans="1:62" x14ac:dyDescent="0.3">
      <c r="A35" s="12" t="s">
        <v>83</v>
      </c>
      <c r="B35" s="19">
        <v>42045</v>
      </c>
      <c r="C35" s="13" t="s">
        <v>11</v>
      </c>
      <c r="D35" s="13" t="s">
        <v>45</v>
      </c>
      <c r="E35" s="13" t="s">
        <v>34</v>
      </c>
      <c r="F35" s="13" t="s">
        <v>43</v>
      </c>
      <c r="G35" s="13">
        <v>12.5</v>
      </c>
      <c r="H35" s="13">
        <v>20</v>
      </c>
      <c r="I35" s="13">
        <v>250</v>
      </c>
      <c r="J35" s="14" t="s">
        <v>15</v>
      </c>
      <c r="O35" s="13">
        <v>75</v>
      </c>
      <c r="Q35" s="13">
        <v>114</v>
      </c>
      <c r="R35" s="13">
        <v>640.5</v>
      </c>
      <c r="S35" s="13">
        <v>442.05</v>
      </c>
      <c r="T35" s="51"/>
      <c r="AA35" s="13">
        <v>442.05</v>
      </c>
      <c r="AM35" s="13">
        <v>440</v>
      </c>
      <c r="BJ35" s="13" t="s">
        <v>85</v>
      </c>
    </row>
    <row r="36" spans="1:62" x14ac:dyDescent="0.3">
      <c r="A36" s="12" t="s">
        <v>84</v>
      </c>
      <c r="B36" s="19">
        <v>42046</v>
      </c>
      <c r="C36" s="13" t="s">
        <v>20</v>
      </c>
      <c r="D36" s="13" t="s">
        <v>85</v>
      </c>
      <c r="E36" s="13" t="s">
        <v>51</v>
      </c>
      <c r="F36" s="13" t="s">
        <v>81</v>
      </c>
      <c r="G36" s="13">
        <v>24</v>
      </c>
      <c r="H36" s="13">
        <v>10</v>
      </c>
      <c r="I36" s="13">
        <v>240</v>
      </c>
      <c r="J36" s="14" t="s">
        <v>26</v>
      </c>
      <c r="O36" s="13">
        <v>60</v>
      </c>
      <c r="Q36" s="13">
        <v>45</v>
      </c>
      <c r="R36" s="13">
        <v>195</v>
      </c>
      <c r="S36" s="13">
        <v>468</v>
      </c>
      <c r="T36" s="51"/>
      <c r="AA36" s="13">
        <v>498.75</v>
      </c>
      <c r="AM36" s="13">
        <v>493</v>
      </c>
      <c r="BJ36" s="13" t="s">
        <v>85</v>
      </c>
    </row>
    <row r="37" spans="1:62" x14ac:dyDescent="0.3">
      <c r="A37" s="12" t="s">
        <v>86</v>
      </c>
      <c r="B37" s="19">
        <v>42046</v>
      </c>
      <c r="C37" s="13" t="s">
        <v>11</v>
      </c>
      <c r="D37" s="13" t="s">
        <v>85</v>
      </c>
      <c r="E37" s="13" t="s">
        <v>21</v>
      </c>
      <c r="F37" s="13" t="s">
        <v>87</v>
      </c>
      <c r="G37" s="13">
        <v>21.05</v>
      </c>
      <c r="H37" s="13">
        <v>21</v>
      </c>
      <c r="I37" s="13">
        <v>442.05</v>
      </c>
      <c r="J37" s="14" t="s">
        <v>26</v>
      </c>
      <c r="O37" s="13">
        <v>114</v>
      </c>
      <c r="Q37" s="13">
        <v>25</v>
      </c>
      <c r="R37" s="13">
        <v>2310</v>
      </c>
      <c r="S37" s="13">
        <v>475</v>
      </c>
      <c r="T37" s="51"/>
      <c r="AA37" s="13">
        <v>986</v>
      </c>
      <c r="AM37" s="13">
        <v>406.25</v>
      </c>
      <c r="BJ37" s="13" t="s">
        <v>85</v>
      </c>
    </row>
    <row r="38" spans="1:62" x14ac:dyDescent="0.3">
      <c r="A38" s="12" t="s">
        <v>88</v>
      </c>
      <c r="B38" s="19">
        <v>42046</v>
      </c>
      <c r="C38" s="13" t="s">
        <v>31</v>
      </c>
      <c r="D38" s="13" t="s">
        <v>85</v>
      </c>
      <c r="E38" s="13" t="s">
        <v>21</v>
      </c>
      <c r="F38" s="13" t="s">
        <v>22</v>
      </c>
      <c r="G38" s="13">
        <v>33.25</v>
      </c>
      <c r="H38" s="13">
        <v>15</v>
      </c>
      <c r="I38" s="13">
        <v>498.75</v>
      </c>
      <c r="J38" s="14" t="s">
        <v>26</v>
      </c>
      <c r="O38" s="13">
        <v>45</v>
      </c>
      <c r="Q38" s="13">
        <v>38.6</v>
      </c>
      <c r="R38" s="13">
        <v>210</v>
      </c>
      <c r="S38" s="13">
        <v>441</v>
      </c>
      <c r="T38" s="51"/>
      <c r="AA38" s="13">
        <v>310</v>
      </c>
      <c r="AM38" s="13">
        <v>441.59999999999997</v>
      </c>
      <c r="BJ38" s="13" t="s">
        <v>85</v>
      </c>
    </row>
    <row r="39" spans="1:62" x14ac:dyDescent="0.3">
      <c r="A39" s="12" t="s">
        <v>89</v>
      </c>
      <c r="B39" s="19">
        <v>42046</v>
      </c>
      <c r="C39" s="13" t="s">
        <v>31</v>
      </c>
      <c r="D39" s="13" t="s">
        <v>85</v>
      </c>
      <c r="E39" s="13" t="s">
        <v>34</v>
      </c>
      <c r="F39" s="13" t="s">
        <v>90</v>
      </c>
      <c r="G39" s="13">
        <v>49.3</v>
      </c>
      <c r="H39" s="13">
        <v>20</v>
      </c>
      <c r="I39" s="13">
        <v>986</v>
      </c>
      <c r="J39" s="14" t="s">
        <v>26</v>
      </c>
      <c r="O39" s="13">
        <v>25</v>
      </c>
      <c r="Q39" s="13">
        <v>96.5</v>
      </c>
      <c r="R39" s="13">
        <v>540</v>
      </c>
      <c r="S39" s="13">
        <v>427</v>
      </c>
      <c r="T39" s="51"/>
      <c r="AA39" s="13">
        <v>1562.5</v>
      </c>
      <c r="AM39" s="13">
        <v>420</v>
      </c>
      <c r="BJ39" s="13" t="s">
        <v>85</v>
      </c>
    </row>
    <row r="40" spans="1:62" x14ac:dyDescent="0.3">
      <c r="A40" s="12" t="s">
        <v>91</v>
      </c>
      <c r="B40" s="19">
        <v>42047</v>
      </c>
      <c r="C40" s="13" t="s">
        <v>20</v>
      </c>
      <c r="D40" s="13" t="s">
        <v>85</v>
      </c>
      <c r="E40" s="13" t="s">
        <v>21</v>
      </c>
      <c r="F40" s="13" t="s">
        <v>22</v>
      </c>
      <c r="G40" s="13">
        <v>31</v>
      </c>
      <c r="H40" s="13">
        <v>10</v>
      </c>
      <c r="I40" s="13">
        <v>310</v>
      </c>
      <c r="J40" s="14" t="s">
        <v>26</v>
      </c>
      <c r="O40" s="13">
        <v>38.6</v>
      </c>
      <c r="Q40" s="13">
        <v>27</v>
      </c>
      <c r="R40" s="13">
        <v>840</v>
      </c>
      <c r="S40" s="13">
        <v>442.05</v>
      </c>
      <c r="T40" s="51"/>
      <c r="AA40" s="13">
        <v>523.5</v>
      </c>
      <c r="AM40" s="13">
        <v>477</v>
      </c>
      <c r="BJ40" s="13" t="s">
        <v>85</v>
      </c>
    </row>
    <row r="41" spans="1:62" x14ac:dyDescent="0.3">
      <c r="A41" s="12" t="s">
        <v>92</v>
      </c>
      <c r="B41" s="19">
        <v>42050</v>
      </c>
      <c r="C41" s="13" t="s">
        <v>28</v>
      </c>
      <c r="D41" s="13" t="s">
        <v>12</v>
      </c>
      <c r="E41" s="13" t="s">
        <v>17</v>
      </c>
      <c r="F41" s="13" t="s">
        <v>54</v>
      </c>
      <c r="G41" s="13">
        <v>62.5</v>
      </c>
      <c r="H41" s="13">
        <v>25</v>
      </c>
      <c r="I41" s="13">
        <v>1562.5</v>
      </c>
      <c r="J41" s="14" t="s">
        <v>15</v>
      </c>
      <c r="O41" s="13">
        <v>96.5</v>
      </c>
      <c r="Q41" s="13">
        <v>72</v>
      </c>
      <c r="R41" s="13">
        <v>624.6</v>
      </c>
      <c r="S41" s="13">
        <v>450</v>
      </c>
      <c r="T41" s="51"/>
      <c r="AA41" s="13">
        <v>520</v>
      </c>
      <c r="AM41" s="13">
        <v>432</v>
      </c>
      <c r="BJ41" s="13" t="s">
        <v>85</v>
      </c>
    </row>
    <row r="42" spans="1:62" x14ac:dyDescent="0.3">
      <c r="A42" s="12" t="s">
        <v>93</v>
      </c>
      <c r="B42" s="19">
        <v>42050</v>
      </c>
      <c r="C42" s="13" t="s">
        <v>11</v>
      </c>
      <c r="D42" s="13" t="s">
        <v>12</v>
      </c>
      <c r="E42" s="13" t="s">
        <v>34</v>
      </c>
      <c r="F42" s="13" t="s">
        <v>94</v>
      </c>
      <c r="G42" s="13">
        <v>17.45</v>
      </c>
      <c r="H42" s="13">
        <v>30</v>
      </c>
      <c r="I42" s="13">
        <v>523.5</v>
      </c>
      <c r="J42" s="14" t="s">
        <v>15</v>
      </c>
      <c r="O42" s="13">
        <v>27</v>
      </c>
      <c r="Q42" s="13">
        <v>9.1999999999999993</v>
      </c>
      <c r="R42" s="13">
        <v>720</v>
      </c>
      <c r="S42" s="13">
        <v>468</v>
      </c>
      <c r="T42" s="51"/>
      <c r="AA42" s="13">
        <v>437.5</v>
      </c>
      <c r="AM42" s="13">
        <v>450</v>
      </c>
      <c r="BJ42" s="13" t="s">
        <v>85</v>
      </c>
    </row>
    <row r="43" spans="1:62" x14ac:dyDescent="0.3">
      <c r="A43" s="12" t="s">
        <v>95</v>
      </c>
      <c r="B43" s="19">
        <v>42052</v>
      </c>
      <c r="C43" s="13" t="s">
        <v>31</v>
      </c>
      <c r="D43" s="13" t="s">
        <v>24</v>
      </c>
      <c r="E43" s="13" t="s">
        <v>17</v>
      </c>
      <c r="F43" s="13" t="s">
        <v>54</v>
      </c>
      <c r="G43" s="13">
        <v>15</v>
      </c>
      <c r="H43" s="13">
        <v>10</v>
      </c>
      <c r="I43" s="13">
        <v>150</v>
      </c>
      <c r="J43" s="14" t="s">
        <v>15</v>
      </c>
      <c r="O43" s="13">
        <v>72</v>
      </c>
      <c r="Q43" s="13">
        <v>39</v>
      </c>
      <c r="R43" s="13">
        <v>450</v>
      </c>
      <c r="S43" s="13">
        <v>491.99999999999994</v>
      </c>
      <c r="T43" s="51"/>
      <c r="AA43" s="13">
        <v>2170</v>
      </c>
      <c r="AM43" s="13">
        <v>420</v>
      </c>
      <c r="BJ43" s="13" t="s">
        <v>85</v>
      </c>
    </row>
    <row r="44" spans="1:62" x14ac:dyDescent="0.3">
      <c r="A44" s="12" t="s">
        <v>96</v>
      </c>
      <c r="B44" s="19">
        <v>42054</v>
      </c>
      <c r="C44" s="13" t="s">
        <v>31</v>
      </c>
      <c r="D44" s="13" t="s">
        <v>12</v>
      </c>
      <c r="E44" s="13" t="s">
        <v>21</v>
      </c>
      <c r="F44" s="13" t="s">
        <v>97</v>
      </c>
      <c r="G44" s="13">
        <v>13</v>
      </c>
      <c r="H44" s="13">
        <v>40</v>
      </c>
      <c r="I44" s="13">
        <v>520</v>
      </c>
      <c r="J44" s="14" t="s">
        <v>15</v>
      </c>
      <c r="O44" s="13">
        <v>9.1999999999999993</v>
      </c>
      <c r="Q44" s="13">
        <v>106</v>
      </c>
      <c r="R44" s="13">
        <v>210</v>
      </c>
      <c r="S44" s="13">
        <v>466.79999999999995</v>
      </c>
      <c r="T44" s="51"/>
      <c r="AA44" s="13">
        <v>380</v>
      </c>
      <c r="AM44" s="13">
        <v>420</v>
      </c>
      <c r="BJ44" s="13" t="s">
        <v>85</v>
      </c>
    </row>
    <row r="45" spans="1:62" x14ac:dyDescent="0.3">
      <c r="A45" s="12" t="s">
        <v>98</v>
      </c>
      <c r="B45" s="19">
        <v>42054</v>
      </c>
      <c r="C45" s="13" t="s">
        <v>20</v>
      </c>
      <c r="D45" s="13" t="s">
        <v>12</v>
      </c>
      <c r="E45" s="13" t="s">
        <v>13</v>
      </c>
      <c r="F45" s="13" t="s">
        <v>99</v>
      </c>
      <c r="G45" s="13">
        <v>12.5</v>
      </c>
      <c r="H45" s="13">
        <v>35</v>
      </c>
      <c r="I45" s="13">
        <v>437.5</v>
      </c>
      <c r="J45" s="14" t="s">
        <v>15</v>
      </c>
      <c r="O45" s="13">
        <v>39</v>
      </c>
      <c r="Q45" s="16">
        <v>120</v>
      </c>
      <c r="R45" s="16">
        <v>250</v>
      </c>
      <c r="S45" s="16">
        <v>427</v>
      </c>
      <c r="T45" s="51"/>
      <c r="AA45" s="13">
        <v>225</v>
      </c>
      <c r="AM45" s="13">
        <v>459.99999999999994</v>
      </c>
      <c r="BJ45" s="13" t="s">
        <v>85</v>
      </c>
    </row>
    <row r="46" spans="1:62" x14ac:dyDescent="0.3">
      <c r="A46" s="12" t="s">
        <v>100</v>
      </c>
      <c r="B46" s="19">
        <v>42054</v>
      </c>
      <c r="C46" s="13" t="s">
        <v>28</v>
      </c>
      <c r="D46" s="13" t="s">
        <v>12</v>
      </c>
      <c r="E46" s="13" t="s">
        <v>21</v>
      </c>
      <c r="F46" s="13" t="s">
        <v>22</v>
      </c>
      <c r="G46" s="13">
        <v>31</v>
      </c>
      <c r="H46" s="13">
        <v>70</v>
      </c>
      <c r="I46" s="13">
        <v>2170</v>
      </c>
      <c r="J46" s="14" t="s">
        <v>15</v>
      </c>
      <c r="N46" s="70"/>
      <c r="O46" s="13">
        <v>106</v>
      </c>
      <c r="Q46" s="51"/>
      <c r="R46" s="51"/>
      <c r="S46" s="51"/>
      <c r="T46" s="70"/>
      <c r="U46" s="70"/>
      <c r="AA46" s="13">
        <v>360</v>
      </c>
      <c r="AM46" s="13">
        <v>405</v>
      </c>
      <c r="BJ46" s="13" t="s">
        <v>85</v>
      </c>
    </row>
    <row r="47" spans="1:62" x14ac:dyDescent="0.3">
      <c r="A47" s="12" t="s">
        <v>101</v>
      </c>
      <c r="B47" s="19">
        <v>42054</v>
      </c>
      <c r="C47" s="13" t="s">
        <v>11</v>
      </c>
      <c r="D47" s="13" t="s">
        <v>85</v>
      </c>
      <c r="E47" s="13" t="s">
        <v>34</v>
      </c>
      <c r="F47" s="13" t="s">
        <v>68</v>
      </c>
      <c r="G47" s="13">
        <v>14</v>
      </c>
      <c r="H47" s="13">
        <v>5</v>
      </c>
      <c r="I47" s="13">
        <v>70</v>
      </c>
      <c r="J47" s="14" t="s">
        <v>26</v>
      </c>
      <c r="O47" s="13">
        <v>120</v>
      </c>
      <c r="Q47" s="10">
        <v>138</v>
      </c>
      <c r="R47" s="10">
        <v>442.05</v>
      </c>
      <c r="S47" s="11">
        <v>487.5</v>
      </c>
      <c r="T47" s="51"/>
      <c r="U47" s="51"/>
      <c r="AA47" s="13">
        <v>442.05</v>
      </c>
      <c r="AM47" s="13">
        <v>500</v>
      </c>
      <c r="BJ47" s="13" t="s">
        <v>85</v>
      </c>
    </row>
    <row r="48" spans="1:62" x14ac:dyDescent="0.3">
      <c r="A48" s="12" t="s">
        <v>102</v>
      </c>
      <c r="B48" s="19">
        <v>42057</v>
      </c>
      <c r="C48" s="13" t="s">
        <v>11</v>
      </c>
      <c r="D48" s="13" t="s">
        <v>85</v>
      </c>
      <c r="E48" s="13" t="s">
        <v>17</v>
      </c>
      <c r="F48" s="13" t="s">
        <v>18</v>
      </c>
      <c r="G48" s="13">
        <v>19</v>
      </c>
      <c r="H48" s="13">
        <v>20</v>
      </c>
      <c r="I48" s="13">
        <v>380</v>
      </c>
      <c r="J48" s="14" t="s">
        <v>26</v>
      </c>
      <c r="O48" s="13">
        <v>130</v>
      </c>
      <c r="Q48" s="13">
        <v>37.25</v>
      </c>
      <c r="R48" s="13">
        <v>498.75</v>
      </c>
      <c r="S48" s="14">
        <v>421</v>
      </c>
      <c r="T48" s="51"/>
      <c r="U48" s="51"/>
      <c r="AA48" s="13">
        <v>240</v>
      </c>
      <c r="AM48" s="13">
        <v>472.5</v>
      </c>
      <c r="BJ48" s="13" t="s">
        <v>85</v>
      </c>
    </row>
    <row r="49" spans="1:62" x14ac:dyDescent="0.3">
      <c r="A49" s="12" t="s">
        <v>103</v>
      </c>
      <c r="B49" s="19">
        <v>42057</v>
      </c>
      <c r="C49" s="13" t="s">
        <v>31</v>
      </c>
      <c r="D49" s="13" t="s">
        <v>85</v>
      </c>
      <c r="E49" s="13" t="s">
        <v>34</v>
      </c>
      <c r="F49" s="13" t="s">
        <v>43</v>
      </c>
      <c r="G49" s="13">
        <v>12.5</v>
      </c>
      <c r="H49" s="13">
        <v>18</v>
      </c>
      <c r="I49" s="13">
        <v>225</v>
      </c>
      <c r="J49" s="14" t="s">
        <v>26</v>
      </c>
      <c r="O49" s="13">
        <v>138</v>
      </c>
      <c r="Q49" s="13">
        <v>108</v>
      </c>
      <c r="R49" s="13">
        <v>986</v>
      </c>
      <c r="S49" s="14">
        <v>491.99999999999994</v>
      </c>
      <c r="T49" s="51"/>
      <c r="U49" s="51"/>
      <c r="AA49" s="13">
        <v>250</v>
      </c>
      <c r="AM49" s="13">
        <v>417.2</v>
      </c>
      <c r="BJ49" s="13" t="s">
        <v>85</v>
      </c>
    </row>
    <row r="50" spans="1:62" x14ac:dyDescent="0.3">
      <c r="A50" s="12" t="s">
        <v>104</v>
      </c>
      <c r="B50" s="19">
        <v>42061</v>
      </c>
      <c r="C50" s="13" t="s">
        <v>11</v>
      </c>
      <c r="D50" s="13" t="s">
        <v>24</v>
      </c>
      <c r="E50" s="13" t="s">
        <v>13</v>
      </c>
      <c r="F50" s="13" t="s">
        <v>14</v>
      </c>
      <c r="G50" s="13">
        <v>6</v>
      </c>
      <c r="H50" s="13">
        <v>5</v>
      </c>
      <c r="I50" s="13">
        <v>30</v>
      </c>
      <c r="J50" s="14" t="s">
        <v>26</v>
      </c>
      <c r="O50" s="13">
        <v>37.25</v>
      </c>
      <c r="Q50" s="13">
        <v>46.5</v>
      </c>
      <c r="R50" s="13">
        <v>310</v>
      </c>
      <c r="S50" s="13">
        <v>480</v>
      </c>
      <c r="T50" s="51"/>
      <c r="AA50" s="13">
        <v>660</v>
      </c>
      <c r="BJ50" s="13" t="s">
        <v>85</v>
      </c>
    </row>
    <row r="51" spans="1:62" x14ac:dyDescent="0.3">
      <c r="A51" s="12" t="s">
        <v>105</v>
      </c>
      <c r="B51" s="19">
        <v>42061</v>
      </c>
      <c r="C51" s="13" t="s">
        <v>28</v>
      </c>
      <c r="D51" s="13" t="s">
        <v>12</v>
      </c>
      <c r="E51" s="13" t="s">
        <v>17</v>
      </c>
      <c r="F51" s="13" t="s">
        <v>54</v>
      </c>
      <c r="G51" s="13">
        <v>15</v>
      </c>
      <c r="H51" s="13">
        <v>3</v>
      </c>
      <c r="I51" s="13">
        <v>45</v>
      </c>
      <c r="J51" s="14" t="s">
        <v>26</v>
      </c>
      <c r="O51" s="13">
        <v>108</v>
      </c>
      <c r="Q51" s="13">
        <v>73.599999999999994</v>
      </c>
      <c r="R51" s="13">
        <v>1562.5</v>
      </c>
      <c r="S51" s="13">
        <v>408</v>
      </c>
      <c r="T51" s="51"/>
      <c r="AA51" s="13">
        <v>198.75</v>
      </c>
      <c r="BJ51" s="13" t="s">
        <v>85</v>
      </c>
    </row>
    <row r="52" spans="1:62" x14ac:dyDescent="0.3">
      <c r="A52" s="12" t="s">
        <v>106</v>
      </c>
      <c r="B52" s="19">
        <v>42065</v>
      </c>
      <c r="C52" s="13" t="s">
        <v>11</v>
      </c>
      <c r="D52" s="13" t="s">
        <v>12</v>
      </c>
      <c r="E52" s="13" t="s">
        <v>17</v>
      </c>
      <c r="F52" s="13" t="s">
        <v>79</v>
      </c>
      <c r="G52" s="13">
        <v>18</v>
      </c>
      <c r="H52" s="13">
        <v>20</v>
      </c>
      <c r="I52" s="13">
        <v>360</v>
      </c>
      <c r="J52" s="14" t="s">
        <v>26</v>
      </c>
      <c r="O52" s="13">
        <v>46.5</v>
      </c>
      <c r="Q52" s="13">
        <v>140</v>
      </c>
      <c r="R52" s="13">
        <v>523.5</v>
      </c>
      <c r="S52" s="13">
        <v>468</v>
      </c>
      <c r="T52" s="51"/>
      <c r="AA52" s="13">
        <v>210</v>
      </c>
      <c r="BJ52" s="13" t="s">
        <v>85</v>
      </c>
    </row>
    <row r="53" spans="1:62" x14ac:dyDescent="0.3">
      <c r="A53" s="12" t="s">
        <v>107</v>
      </c>
      <c r="B53" s="19">
        <v>42065</v>
      </c>
      <c r="C53" s="13" t="s">
        <v>28</v>
      </c>
      <c r="D53" s="13" t="s">
        <v>12</v>
      </c>
      <c r="E53" s="13" t="s">
        <v>21</v>
      </c>
      <c r="F53" s="13" t="s">
        <v>87</v>
      </c>
      <c r="G53" s="13">
        <v>21.05</v>
      </c>
      <c r="H53" s="13">
        <v>21</v>
      </c>
      <c r="I53" s="13">
        <v>442.05</v>
      </c>
      <c r="J53" s="14" t="s">
        <v>26</v>
      </c>
      <c r="O53" s="13">
        <v>73.599999999999994</v>
      </c>
      <c r="Q53" s="13">
        <v>112.5</v>
      </c>
      <c r="R53" s="13">
        <v>520</v>
      </c>
      <c r="S53" s="13">
        <v>408</v>
      </c>
      <c r="T53" s="51"/>
      <c r="AA53" s="13">
        <v>180</v>
      </c>
      <c r="BJ53" s="13" t="s">
        <v>85</v>
      </c>
    </row>
    <row r="54" spans="1:62" x14ac:dyDescent="0.3">
      <c r="A54" s="12" t="s">
        <v>108</v>
      </c>
      <c r="B54" s="19">
        <v>42065</v>
      </c>
      <c r="C54" s="13" t="s">
        <v>31</v>
      </c>
      <c r="D54" s="13" t="s">
        <v>12</v>
      </c>
      <c r="E54" s="13" t="s">
        <v>21</v>
      </c>
      <c r="F54" s="13" t="s">
        <v>22</v>
      </c>
      <c r="G54" s="13">
        <v>6</v>
      </c>
      <c r="H54" s="13">
        <v>40</v>
      </c>
      <c r="I54" s="13">
        <v>240</v>
      </c>
      <c r="J54" s="14" t="s">
        <v>26</v>
      </c>
      <c r="O54" s="13">
        <v>140</v>
      </c>
      <c r="Q54" s="13">
        <v>107.5</v>
      </c>
      <c r="R54" s="13">
        <v>437.5</v>
      </c>
      <c r="S54" s="13">
        <v>490</v>
      </c>
      <c r="T54" s="51"/>
      <c r="AA54" s="13">
        <v>468</v>
      </c>
      <c r="BJ54" s="13" t="s">
        <v>85</v>
      </c>
    </row>
    <row r="55" spans="1:62" x14ac:dyDescent="0.3">
      <c r="A55" s="12" t="s">
        <v>109</v>
      </c>
      <c r="B55" s="19">
        <v>42065</v>
      </c>
      <c r="C55" s="13" t="s">
        <v>31</v>
      </c>
      <c r="D55" s="13" t="s">
        <v>12</v>
      </c>
      <c r="E55" s="13" t="s">
        <v>34</v>
      </c>
      <c r="F55" s="13" t="s">
        <v>43</v>
      </c>
      <c r="G55" s="13">
        <v>12.5</v>
      </c>
      <c r="H55" s="13">
        <v>20</v>
      </c>
      <c r="I55" s="13">
        <v>250</v>
      </c>
      <c r="J55" s="14" t="s">
        <v>26</v>
      </c>
      <c r="O55" s="13">
        <v>112.5</v>
      </c>
      <c r="Q55" s="13">
        <v>65</v>
      </c>
      <c r="R55" s="13">
        <v>2170</v>
      </c>
      <c r="S55" s="13">
        <v>475</v>
      </c>
      <c r="T55" s="51"/>
      <c r="AA55" s="13">
        <v>1560</v>
      </c>
      <c r="BJ55" s="13" t="s">
        <v>85</v>
      </c>
    </row>
    <row r="56" spans="1:62" x14ac:dyDescent="0.3">
      <c r="A56" s="12" t="s">
        <v>110</v>
      </c>
      <c r="B56" s="19">
        <v>42067</v>
      </c>
      <c r="C56" s="13" t="s">
        <v>20</v>
      </c>
      <c r="D56" s="13" t="s">
        <v>12</v>
      </c>
      <c r="E56" s="13" t="s">
        <v>21</v>
      </c>
      <c r="F56" s="13" t="s">
        <v>111</v>
      </c>
      <c r="G56" s="13">
        <v>22</v>
      </c>
      <c r="H56" s="13">
        <v>30</v>
      </c>
      <c r="I56" s="13">
        <v>660</v>
      </c>
      <c r="J56" s="14" t="s">
        <v>15</v>
      </c>
      <c r="L56" s="60"/>
      <c r="M56" s="60"/>
      <c r="N56" s="60"/>
      <c r="O56" s="13">
        <v>107.5</v>
      </c>
      <c r="Q56" s="13">
        <v>105.25</v>
      </c>
      <c r="R56" s="13">
        <v>380</v>
      </c>
      <c r="S56" s="13">
        <v>493</v>
      </c>
      <c r="T56" s="51"/>
      <c r="AA56" s="13">
        <v>192</v>
      </c>
      <c r="BJ56" s="13" t="s">
        <v>85</v>
      </c>
    </row>
    <row r="57" spans="1:62" x14ac:dyDescent="0.3">
      <c r="A57" s="12" t="s">
        <v>112</v>
      </c>
      <c r="B57" s="19">
        <v>42067</v>
      </c>
      <c r="C57" s="13" t="s">
        <v>20</v>
      </c>
      <c r="D57" s="13" t="s">
        <v>12</v>
      </c>
      <c r="E57" s="13" t="s">
        <v>13</v>
      </c>
      <c r="F57" s="13" t="s">
        <v>113</v>
      </c>
      <c r="G57" s="13">
        <v>2.5</v>
      </c>
      <c r="H57" s="13">
        <v>40</v>
      </c>
      <c r="I57" s="13">
        <v>100</v>
      </c>
      <c r="J57" s="14" t="s">
        <v>15</v>
      </c>
      <c r="L57" s="70"/>
      <c r="M57" s="70"/>
      <c r="N57" s="70"/>
      <c r="O57" s="13">
        <v>65</v>
      </c>
      <c r="Q57" s="13">
        <v>77.2</v>
      </c>
      <c r="R57" s="13">
        <v>225</v>
      </c>
      <c r="S57" s="13">
        <v>480</v>
      </c>
      <c r="T57" s="51"/>
      <c r="AA57" s="13">
        <v>537.5</v>
      </c>
      <c r="BJ57" s="13" t="s">
        <v>85</v>
      </c>
    </row>
    <row r="58" spans="1:62" x14ac:dyDescent="0.3">
      <c r="A58" s="12" t="s">
        <v>114</v>
      </c>
      <c r="B58" s="19">
        <v>42067</v>
      </c>
      <c r="C58" s="13" t="s">
        <v>28</v>
      </c>
      <c r="D58" s="13" t="s">
        <v>12</v>
      </c>
      <c r="E58" s="13" t="s">
        <v>21</v>
      </c>
      <c r="F58" s="13" t="s">
        <v>22</v>
      </c>
      <c r="G58" s="13">
        <v>13.25</v>
      </c>
      <c r="H58" s="13">
        <v>15</v>
      </c>
      <c r="I58" s="13">
        <v>198.75</v>
      </c>
      <c r="J58" s="14" t="s">
        <v>15</v>
      </c>
      <c r="O58" s="13">
        <v>105.25</v>
      </c>
      <c r="Q58" s="13">
        <v>120</v>
      </c>
      <c r="R58" s="13">
        <v>360</v>
      </c>
      <c r="S58" s="13">
        <v>440</v>
      </c>
      <c r="T58" s="51"/>
      <c r="AA58" s="13">
        <v>340</v>
      </c>
      <c r="BJ58" s="13" t="s">
        <v>85</v>
      </c>
    </row>
    <row r="59" spans="1:62" x14ac:dyDescent="0.3">
      <c r="A59" s="12" t="s">
        <v>115</v>
      </c>
      <c r="B59" s="19">
        <v>42067</v>
      </c>
      <c r="C59" s="13" t="s">
        <v>31</v>
      </c>
      <c r="D59" s="13" t="s">
        <v>85</v>
      </c>
      <c r="E59" s="13" t="s">
        <v>17</v>
      </c>
      <c r="F59" s="13" t="s">
        <v>70</v>
      </c>
      <c r="G59" s="13">
        <v>14</v>
      </c>
      <c r="H59" s="13">
        <v>15</v>
      </c>
      <c r="I59" s="13">
        <v>210</v>
      </c>
      <c r="J59" s="14" t="s">
        <v>15</v>
      </c>
      <c r="O59" s="13">
        <v>77.2</v>
      </c>
      <c r="Q59" s="13">
        <v>67.5</v>
      </c>
      <c r="R59" s="13">
        <v>442.05</v>
      </c>
      <c r="S59" s="13">
        <v>493</v>
      </c>
      <c r="T59" s="51"/>
      <c r="AA59" s="13">
        <v>157.5</v>
      </c>
      <c r="BJ59" s="13" t="s">
        <v>85</v>
      </c>
    </row>
    <row r="60" spans="1:62" x14ac:dyDescent="0.3">
      <c r="A60" s="12" t="s">
        <v>116</v>
      </c>
      <c r="B60" s="19">
        <v>42067</v>
      </c>
      <c r="C60" s="13" t="s">
        <v>20</v>
      </c>
      <c r="D60" s="13" t="s">
        <v>85</v>
      </c>
      <c r="E60" s="13" t="s">
        <v>17</v>
      </c>
      <c r="F60" s="13" t="s">
        <v>79</v>
      </c>
      <c r="G60" s="13">
        <v>18</v>
      </c>
      <c r="H60" s="13">
        <v>10</v>
      </c>
      <c r="I60" s="13">
        <v>180</v>
      </c>
      <c r="J60" s="14" t="s">
        <v>15</v>
      </c>
      <c r="O60" s="13">
        <v>120</v>
      </c>
      <c r="Q60" s="13">
        <v>140</v>
      </c>
      <c r="R60" s="13">
        <v>240</v>
      </c>
      <c r="S60" s="13">
        <v>406.25</v>
      </c>
      <c r="T60" s="51"/>
      <c r="AA60" s="13">
        <v>585</v>
      </c>
      <c r="BJ60" s="13" t="s">
        <v>85</v>
      </c>
    </row>
    <row r="61" spans="1:62" x14ac:dyDescent="0.3">
      <c r="A61" s="12" t="s">
        <v>117</v>
      </c>
      <c r="B61" s="19">
        <v>42067</v>
      </c>
      <c r="C61" s="13" t="s">
        <v>31</v>
      </c>
      <c r="D61" s="13" t="s">
        <v>85</v>
      </c>
      <c r="E61" s="13" t="s">
        <v>51</v>
      </c>
      <c r="F61" s="13" t="s">
        <v>118</v>
      </c>
      <c r="G61" s="13">
        <v>39</v>
      </c>
      <c r="H61" s="13">
        <v>12</v>
      </c>
      <c r="I61" s="13">
        <v>468</v>
      </c>
      <c r="J61" s="14" t="s">
        <v>15</v>
      </c>
      <c r="O61" s="13">
        <v>67.5</v>
      </c>
      <c r="Q61" s="13">
        <v>140</v>
      </c>
      <c r="R61" s="13">
        <v>250</v>
      </c>
      <c r="S61" s="13">
        <v>441.59999999999997</v>
      </c>
      <c r="T61" s="51"/>
      <c r="AA61" s="13">
        <v>390</v>
      </c>
      <c r="BJ61" s="13" t="s">
        <v>85</v>
      </c>
    </row>
    <row r="62" spans="1:62" x14ac:dyDescent="0.3">
      <c r="A62" s="12" t="s">
        <v>119</v>
      </c>
      <c r="B62" s="19">
        <v>42068</v>
      </c>
      <c r="C62" s="13" t="s">
        <v>11</v>
      </c>
      <c r="D62" s="13" t="s">
        <v>24</v>
      </c>
      <c r="E62" s="13" t="s">
        <v>13</v>
      </c>
      <c r="F62" s="13" t="s">
        <v>14</v>
      </c>
      <c r="G62" s="13">
        <v>19.5</v>
      </c>
      <c r="H62" s="13">
        <v>80</v>
      </c>
      <c r="I62" s="13">
        <v>1560</v>
      </c>
      <c r="J62" s="14" t="s">
        <v>26</v>
      </c>
      <c r="O62" s="13">
        <v>140</v>
      </c>
      <c r="Q62" s="13">
        <v>142.5</v>
      </c>
      <c r="R62" s="13">
        <v>660</v>
      </c>
      <c r="S62" s="13">
        <v>420</v>
      </c>
      <c r="T62" s="51"/>
      <c r="AA62" s="13">
        <v>475</v>
      </c>
      <c r="BJ62" s="13" t="s">
        <v>85</v>
      </c>
    </row>
    <row r="63" spans="1:62" x14ac:dyDescent="0.3">
      <c r="A63" s="12" t="s">
        <v>120</v>
      </c>
      <c r="B63" s="19">
        <v>42068</v>
      </c>
      <c r="C63" s="13" t="s">
        <v>11</v>
      </c>
      <c r="D63" s="13" t="s">
        <v>24</v>
      </c>
      <c r="E63" s="13" t="s">
        <v>13</v>
      </c>
      <c r="F63" s="13" t="s">
        <v>121</v>
      </c>
      <c r="G63" s="13">
        <v>32</v>
      </c>
      <c r="H63" s="13">
        <v>6</v>
      </c>
      <c r="I63" s="13">
        <v>192</v>
      </c>
      <c r="J63" s="14" t="s">
        <v>26</v>
      </c>
      <c r="O63" s="13">
        <v>140</v>
      </c>
      <c r="Q63" s="13">
        <v>95</v>
      </c>
      <c r="R63" s="13">
        <v>198.75</v>
      </c>
      <c r="S63" s="13">
        <v>477</v>
      </c>
      <c r="T63" s="51"/>
      <c r="AA63" s="13">
        <v>855</v>
      </c>
      <c r="BJ63" s="13" t="s">
        <v>85</v>
      </c>
    </row>
    <row r="64" spans="1:62" x14ac:dyDescent="0.3">
      <c r="A64" s="12" t="s">
        <v>122</v>
      </c>
      <c r="B64" s="19">
        <v>42068</v>
      </c>
      <c r="C64" s="13" t="s">
        <v>11</v>
      </c>
      <c r="D64" s="13" t="s">
        <v>24</v>
      </c>
      <c r="E64" s="13" t="s">
        <v>34</v>
      </c>
      <c r="F64" s="13" t="s">
        <v>94</v>
      </c>
      <c r="G64" s="13">
        <v>17.45</v>
      </c>
      <c r="H64" s="13">
        <v>6</v>
      </c>
      <c r="I64" s="13">
        <v>104.69999999999999</v>
      </c>
      <c r="J64" s="14" t="s">
        <v>26</v>
      </c>
      <c r="O64" s="13">
        <v>142.5</v>
      </c>
      <c r="Q64" s="13">
        <v>36.799999999999997</v>
      </c>
      <c r="R64" s="13">
        <v>210</v>
      </c>
      <c r="S64" s="13">
        <v>432</v>
      </c>
      <c r="T64" s="51"/>
      <c r="AA64" s="13">
        <v>378</v>
      </c>
      <c r="BJ64" s="13" t="s">
        <v>85</v>
      </c>
    </row>
    <row r="65" spans="1:62" x14ac:dyDescent="0.3">
      <c r="A65" s="12" t="s">
        <v>123</v>
      </c>
      <c r="B65" s="19">
        <v>42068</v>
      </c>
      <c r="C65" s="13" t="s">
        <v>31</v>
      </c>
      <c r="D65" s="13" t="s">
        <v>12</v>
      </c>
      <c r="E65" s="13" t="s">
        <v>13</v>
      </c>
      <c r="F65" s="13" t="s">
        <v>124</v>
      </c>
      <c r="G65" s="13">
        <v>21.5</v>
      </c>
      <c r="H65" s="13">
        <v>25</v>
      </c>
      <c r="I65" s="13">
        <v>537.5</v>
      </c>
      <c r="J65" s="14" t="s">
        <v>15</v>
      </c>
      <c r="O65" s="13">
        <v>95</v>
      </c>
      <c r="Q65" s="13">
        <v>120</v>
      </c>
      <c r="R65" s="13">
        <v>180</v>
      </c>
      <c r="S65" s="13">
        <v>450</v>
      </c>
      <c r="T65" s="51"/>
      <c r="AA65" s="13">
        <v>250</v>
      </c>
      <c r="BJ65" s="13" t="s">
        <v>85</v>
      </c>
    </row>
    <row r="66" spans="1:62" x14ac:dyDescent="0.3">
      <c r="A66" s="12" t="s">
        <v>125</v>
      </c>
      <c r="B66" s="19">
        <v>42071</v>
      </c>
      <c r="C66" s="13" t="s">
        <v>20</v>
      </c>
      <c r="D66" s="13" t="s">
        <v>85</v>
      </c>
      <c r="E66" s="13" t="s">
        <v>13</v>
      </c>
      <c r="F66" s="13" t="s">
        <v>41</v>
      </c>
      <c r="G66" s="13">
        <v>34</v>
      </c>
      <c r="H66" s="13">
        <v>10</v>
      </c>
      <c r="I66" s="13">
        <v>340</v>
      </c>
      <c r="J66" s="14" t="s">
        <v>26</v>
      </c>
      <c r="O66" s="13">
        <v>36.799999999999997</v>
      </c>
      <c r="Q66" s="13">
        <v>125</v>
      </c>
      <c r="R66" s="13">
        <v>468</v>
      </c>
      <c r="S66" s="13">
        <v>420</v>
      </c>
      <c r="T66" s="51"/>
      <c r="AA66" s="13">
        <v>280</v>
      </c>
      <c r="BJ66" s="13" t="s">
        <v>85</v>
      </c>
    </row>
    <row r="67" spans="1:62" x14ac:dyDescent="0.3">
      <c r="A67" s="12" t="s">
        <v>126</v>
      </c>
      <c r="B67" s="19">
        <v>42071</v>
      </c>
      <c r="C67" s="13" t="s">
        <v>28</v>
      </c>
      <c r="D67" s="13" t="s">
        <v>85</v>
      </c>
      <c r="E67" s="13" t="s">
        <v>17</v>
      </c>
      <c r="F67" s="13" t="s">
        <v>54</v>
      </c>
      <c r="G67" s="13">
        <v>25.89</v>
      </c>
      <c r="H67" s="13">
        <v>1</v>
      </c>
      <c r="I67" s="13">
        <v>25.89</v>
      </c>
      <c r="J67" s="14" t="s">
        <v>26</v>
      </c>
      <c r="O67" s="13">
        <v>120</v>
      </c>
      <c r="Q67" s="13">
        <v>120</v>
      </c>
      <c r="R67" s="13">
        <v>1560</v>
      </c>
      <c r="S67" s="13">
        <v>420</v>
      </c>
      <c r="T67" s="51"/>
      <c r="AA67" s="13">
        <v>364.8</v>
      </c>
      <c r="BJ67" s="13" t="s">
        <v>85</v>
      </c>
    </row>
    <row r="68" spans="1:62" x14ac:dyDescent="0.3">
      <c r="A68" s="12" t="s">
        <v>127</v>
      </c>
      <c r="B68" s="19">
        <v>42072</v>
      </c>
      <c r="C68" s="13" t="s">
        <v>31</v>
      </c>
      <c r="D68" s="13" t="s">
        <v>12</v>
      </c>
      <c r="E68" s="13" t="s">
        <v>17</v>
      </c>
      <c r="F68" s="13" t="s">
        <v>128</v>
      </c>
      <c r="G68" s="13">
        <v>4.5</v>
      </c>
      <c r="H68" s="13">
        <v>35</v>
      </c>
      <c r="I68" s="13">
        <v>157.5</v>
      </c>
      <c r="J68" s="14" t="s">
        <v>26</v>
      </c>
      <c r="O68" s="13">
        <v>125</v>
      </c>
      <c r="Q68" s="13">
        <v>12</v>
      </c>
      <c r="R68" s="13">
        <v>192</v>
      </c>
      <c r="S68" s="13">
        <v>459.99999999999994</v>
      </c>
      <c r="T68" s="51"/>
      <c r="AA68" s="13">
        <v>441</v>
      </c>
      <c r="BJ68" s="13" t="s">
        <v>85</v>
      </c>
    </row>
    <row r="69" spans="1:62" x14ac:dyDescent="0.3">
      <c r="A69" s="12" t="s">
        <v>129</v>
      </c>
      <c r="B69" s="19">
        <v>42072</v>
      </c>
      <c r="C69" s="13" t="s">
        <v>20</v>
      </c>
      <c r="D69" s="13" t="s">
        <v>12</v>
      </c>
      <c r="E69" s="13" t="s">
        <v>51</v>
      </c>
      <c r="F69" s="13" t="s">
        <v>118</v>
      </c>
      <c r="G69" s="13">
        <v>39</v>
      </c>
      <c r="H69" s="13">
        <v>15</v>
      </c>
      <c r="I69" s="13">
        <v>585</v>
      </c>
      <c r="J69" s="14" t="s">
        <v>26</v>
      </c>
      <c r="O69" s="13">
        <v>120</v>
      </c>
      <c r="Q69" s="13">
        <v>130</v>
      </c>
      <c r="R69" s="13">
        <v>537.5</v>
      </c>
      <c r="S69" s="13">
        <v>405</v>
      </c>
      <c r="T69" s="51"/>
      <c r="AA69" s="13">
        <v>180</v>
      </c>
      <c r="BJ69" s="13" t="s">
        <v>85</v>
      </c>
    </row>
    <row r="70" spans="1:62" x14ac:dyDescent="0.3">
      <c r="A70" s="12" t="s">
        <v>130</v>
      </c>
      <c r="B70" s="19">
        <v>42072</v>
      </c>
      <c r="C70" s="13" t="s">
        <v>20</v>
      </c>
      <c r="D70" s="13" t="s">
        <v>45</v>
      </c>
      <c r="E70" s="13" t="s">
        <v>34</v>
      </c>
      <c r="F70" s="13" t="s">
        <v>64</v>
      </c>
      <c r="G70" s="13">
        <v>16.25</v>
      </c>
      <c r="H70" s="13">
        <v>24</v>
      </c>
      <c r="I70" s="13">
        <v>390</v>
      </c>
      <c r="J70" s="14" t="s">
        <v>26</v>
      </c>
      <c r="O70" s="13">
        <v>12</v>
      </c>
      <c r="Q70" s="13">
        <v>36.799999999999997</v>
      </c>
      <c r="R70" s="13">
        <v>340</v>
      </c>
      <c r="S70" s="13">
        <v>500</v>
      </c>
      <c r="T70" s="51"/>
      <c r="AA70" s="13">
        <v>2120</v>
      </c>
      <c r="BJ70" s="13" t="s">
        <v>85</v>
      </c>
    </row>
    <row r="71" spans="1:62" x14ac:dyDescent="0.3">
      <c r="A71" s="12" t="s">
        <v>131</v>
      </c>
      <c r="B71" s="19">
        <v>42073</v>
      </c>
      <c r="C71" s="13" t="s">
        <v>11</v>
      </c>
      <c r="D71" s="13" t="s">
        <v>12</v>
      </c>
      <c r="E71" s="13" t="s">
        <v>13</v>
      </c>
      <c r="F71" s="13" t="s">
        <v>14</v>
      </c>
      <c r="G71" s="13">
        <v>7</v>
      </c>
      <c r="H71" s="13">
        <v>12</v>
      </c>
      <c r="I71" s="13">
        <v>84</v>
      </c>
      <c r="J71" s="14" t="s">
        <v>15</v>
      </c>
      <c r="O71" s="13">
        <v>130</v>
      </c>
      <c r="Q71" s="13">
        <v>43</v>
      </c>
      <c r="R71" s="13">
        <v>157.5</v>
      </c>
      <c r="S71" s="13">
        <v>472.5</v>
      </c>
      <c r="T71" s="51"/>
      <c r="AA71" s="13">
        <v>220</v>
      </c>
      <c r="BJ71" s="13" t="s">
        <v>85</v>
      </c>
    </row>
    <row r="72" spans="1:62" x14ac:dyDescent="0.3">
      <c r="A72" s="12" t="s">
        <v>132</v>
      </c>
      <c r="B72" s="19">
        <v>42073</v>
      </c>
      <c r="C72" s="13" t="s">
        <v>11</v>
      </c>
      <c r="D72" s="13" t="s">
        <v>12</v>
      </c>
      <c r="E72" s="13" t="s">
        <v>51</v>
      </c>
      <c r="F72" s="13" t="s">
        <v>81</v>
      </c>
      <c r="G72" s="13">
        <v>19</v>
      </c>
      <c r="H72" s="13">
        <v>25</v>
      </c>
      <c r="I72" s="13">
        <v>475</v>
      </c>
      <c r="J72" s="14" t="s">
        <v>15</v>
      </c>
      <c r="O72" s="13">
        <v>36.799999999999997</v>
      </c>
      <c r="Q72" s="13">
        <v>6</v>
      </c>
      <c r="R72" s="13">
        <v>585</v>
      </c>
      <c r="S72" s="13">
        <v>417.2</v>
      </c>
      <c r="T72" s="51"/>
      <c r="AA72" s="13">
        <v>625</v>
      </c>
      <c r="BJ72" s="13" t="s">
        <v>85</v>
      </c>
    </row>
    <row r="73" spans="1:62" x14ac:dyDescent="0.3">
      <c r="A73" s="12" t="s">
        <v>133</v>
      </c>
      <c r="B73" s="19">
        <v>42074</v>
      </c>
      <c r="C73" s="13" t="s">
        <v>20</v>
      </c>
      <c r="D73" s="13" t="s">
        <v>85</v>
      </c>
      <c r="E73" s="13" t="s">
        <v>17</v>
      </c>
      <c r="F73" s="13" t="s">
        <v>134</v>
      </c>
      <c r="G73" s="13">
        <v>18</v>
      </c>
      <c r="H73" s="13">
        <v>5</v>
      </c>
      <c r="I73" s="13">
        <v>90</v>
      </c>
      <c r="J73" s="14" t="s">
        <v>15</v>
      </c>
      <c r="O73" s="13">
        <v>43</v>
      </c>
      <c r="Q73" s="13">
        <v>60</v>
      </c>
      <c r="R73" s="13">
        <v>390</v>
      </c>
      <c r="T73" s="51"/>
      <c r="AA73" s="13">
        <v>4050</v>
      </c>
      <c r="BJ73" s="13" t="s">
        <v>85</v>
      </c>
    </row>
    <row r="74" spans="1:62" x14ac:dyDescent="0.3">
      <c r="A74" s="12" t="s">
        <v>135</v>
      </c>
      <c r="B74" s="19">
        <v>42074</v>
      </c>
      <c r="C74" s="13" t="s">
        <v>20</v>
      </c>
      <c r="D74" s="13" t="s">
        <v>85</v>
      </c>
      <c r="E74" s="13" t="s">
        <v>34</v>
      </c>
      <c r="F74" s="13" t="s">
        <v>136</v>
      </c>
      <c r="G74" s="13">
        <v>9.5</v>
      </c>
      <c r="H74" s="13">
        <v>5</v>
      </c>
      <c r="I74" s="13">
        <v>47.5</v>
      </c>
      <c r="J74" s="14" t="s">
        <v>15</v>
      </c>
      <c r="O74" s="13">
        <v>6</v>
      </c>
      <c r="Q74" s="13">
        <v>30</v>
      </c>
      <c r="R74" s="13">
        <v>475</v>
      </c>
      <c r="T74" s="51"/>
      <c r="AA74" s="13">
        <v>427</v>
      </c>
      <c r="BJ74" s="13" t="s">
        <v>85</v>
      </c>
    </row>
    <row r="75" spans="1:62" x14ac:dyDescent="0.3">
      <c r="A75" s="12" t="s">
        <v>137</v>
      </c>
      <c r="B75" s="19">
        <v>42075</v>
      </c>
      <c r="C75" s="13" t="s">
        <v>28</v>
      </c>
      <c r="D75" s="13" t="s">
        <v>45</v>
      </c>
      <c r="E75" s="13" t="s">
        <v>51</v>
      </c>
      <c r="F75" s="13" t="s">
        <v>138</v>
      </c>
      <c r="G75" s="13">
        <v>32.799999999999997</v>
      </c>
      <c r="H75" s="13">
        <v>2</v>
      </c>
      <c r="I75" s="13">
        <v>65.599999999999994</v>
      </c>
      <c r="J75" s="14" t="s">
        <v>26</v>
      </c>
      <c r="O75" s="13">
        <v>60</v>
      </c>
      <c r="Q75" s="13">
        <v>140</v>
      </c>
      <c r="R75" s="13">
        <v>855</v>
      </c>
      <c r="T75" s="51"/>
      <c r="AA75" s="13">
        <v>180</v>
      </c>
    </row>
    <row r="76" spans="1:62" x14ac:dyDescent="0.3">
      <c r="A76" s="12" t="s">
        <v>139</v>
      </c>
      <c r="B76" s="19">
        <v>42075</v>
      </c>
      <c r="C76" s="13" t="s">
        <v>11</v>
      </c>
      <c r="D76" s="13" t="s">
        <v>45</v>
      </c>
      <c r="E76" s="13" t="s">
        <v>21</v>
      </c>
      <c r="F76" s="13" t="s">
        <v>22</v>
      </c>
      <c r="G76" s="13">
        <v>28.5</v>
      </c>
      <c r="H76" s="13">
        <v>30</v>
      </c>
      <c r="I76" s="13">
        <v>855</v>
      </c>
      <c r="J76" s="14" t="s">
        <v>26</v>
      </c>
      <c r="O76" s="13">
        <v>30</v>
      </c>
      <c r="Q76" s="13">
        <v>46</v>
      </c>
      <c r="R76" s="13">
        <v>378</v>
      </c>
      <c r="T76" s="51"/>
      <c r="AA76" s="13">
        <v>174</v>
      </c>
    </row>
    <row r="77" spans="1:62" x14ac:dyDescent="0.3">
      <c r="A77" s="12" t="s">
        <v>140</v>
      </c>
      <c r="B77" s="19">
        <v>42078</v>
      </c>
      <c r="C77" s="13" t="s">
        <v>11</v>
      </c>
      <c r="D77" s="13" t="s">
        <v>12</v>
      </c>
      <c r="E77" s="13" t="s">
        <v>17</v>
      </c>
      <c r="F77" s="13" t="s">
        <v>79</v>
      </c>
      <c r="G77" s="13">
        <v>18</v>
      </c>
      <c r="H77" s="13">
        <v>21</v>
      </c>
      <c r="I77" s="13">
        <v>378</v>
      </c>
      <c r="J77" s="14" t="s">
        <v>26</v>
      </c>
      <c r="O77" s="13">
        <v>140</v>
      </c>
      <c r="Q77" s="13">
        <v>45</v>
      </c>
      <c r="R77" s="13">
        <v>250</v>
      </c>
      <c r="T77" s="51"/>
      <c r="AA77" s="13">
        <v>155</v>
      </c>
    </row>
    <row r="78" spans="1:62" x14ac:dyDescent="0.3">
      <c r="A78" s="12" t="s">
        <v>141</v>
      </c>
      <c r="B78" s="19">
        <v>42078</v>
      </c>
      <c r="C78" s="13" t="s">
        <v>31</v>
      </c>
      <c r="D78" s="13" t="s">
        <v>12</v>
      </c>
      <c r="E78" s="13" t="s">
        <v>34</v>
      </c>
      <c r="F78" s="13" t="s">
        <v>64</v>
      </c>
      <c r="G78" s="13">
        <v>9</v>
      </c>
      <c r="H78" s="13">
        <v>8</v>
      </c>
      <c r="I78" s="13">
        <v>72</v>
      </c>
      <c r="J78" s="14" t="s">
        <v>26</v>
      </c>
      <c r="O78" s="13">
        <v>46</v>
      </c>
      <c r="Q78" s="13">
        <v>108</v>
      </c>
      <c r="R78" s="13">
        <v>280</v>
      </c>
      <c r="T78" s="51"/>
      <c r="AA78" s="13">
        <v>1080</v>
      </c>
    </row>
    <row r="79" spans="1:62" x14ac:dyDescent="0.3">
      <c r="A79" s="12" t="s">
        <v>142</v>
      </c>
      <c r="B79" s="19">
        <v>42078</v>
      </c>
      <c r="C79" s="13" t="s">
        <v>31</v>
      </c>
      <c r="D79" s="13" t="s">
        <v>12</v>
      </c>
      <c r="E79" s="13" t="s">
        <v>51</v>
      </c>
      <c r="F79" s="13" t="s">
        <v>81</v>
      </c>
      <c r="G79" s="13">
        <v>62.5</v>
      </c>
      <c r="H79" s="13">
        <v>4</v>
      </c>
      <c r="I79" s="13">
        <v>250</v>
      </c>
      <c r="J79" s="14" t="s">
        <v>26</v>
      </c>
      <c r="O79" s="13">
        <v>45</v>
      </c>
      <c r="Q79" s="13">
        <v>57</v>
      </c>
      <c r="R79" s="13">
        <v>364.8</v>
      </c>
      <c r="T79" s="51"/>
      <c r="AA79" s="13">
        <v>280</v>
      </c>
    </row>
    <row r="80" spans="1:62" x14ac:dyDescent="0.3">
      <c r="A80" s="12" t="s">
        <v>143</v>
      </c>
      <c r="B80" s="19">
        <v>42079</v>
      </c>
      <c r="C80" s="13" t="s">
        <v>11</v>
      </c>
      <c r="D80" s="13" t="s">
        <v>24</v>
      </c>
      <c r="E80" s="13" t="s">
        <v>17</v>
      </c>
      <c r="F80" s="13" t="s">
        <v>144</v>
      </c>
      <c r="G80" s="13">
        <v>14</v>
      </c>
      <c r="H80" s="13">
        <v>20</v>
      </c>
      <c r="I80" s="13">
        <v>280</v>
      </c>
      <c r="J80" s="14" t="s">
        <v>26</v>
      </c>
      <c r="O80" s="13">
        <v>108</v>
      </c>
      <c r="Q80" s="13">
        <v>90</v>
      </c>
      <c r="R80" s="13">
        <v>441</v>
      </c>
      <c r="T80" s="51"/>
      <c r="AA80" s="13">
        <v>15810</v>
      </c>
    </row>
    <row r="81" spans="1:27" x14ac:dyDescent="0.3">
      <c r="A81" s="12" t="s">
        <v>145</v>
      </c>
      <c r="B81" s="19">
        <v>42079</v>
      </c>
      <c r="C81" s="13" t="s">
        <v>28</v>
      </c>
      <c r="D81" s="13" t="s">
        <v>24</v>
      </c>
      <c r="E81" s="13" t="s">
        <v>13</v>
      </c>
      <c r="F81" s="13" t="s">
        <v>14</v>
      </c>
      <c r="G81" s="13">
        <v>45.6</v>
      </c>
      <c r="H81" s="13">
        <v>8</v>
      </c>
      <c r="I81" s="13">
        <v>364.8</v>
      </c>
      <c r="J81" s="14" t="s">
        <v>26</v>
      </c>
      <c r="O81" s="13">
        <v>57</v>
      </c>
      <c r="Q81" s="13">
        <v>42</v>
      </c>
      <c r="R81" s="13">
        <v>180</v>
      </c>
      <c r="T81" s="51"/>
      <c r="AA81" s="13">
        <v>180</v>
      </c>
    </row>
    <row r="82" spans="1:27" x14ac:dyDescent="0.3">
      <c r="A82" s="12" t="s">
        <v>146</v>
      </c>
      <c r="B82" s="19">
        <v>42080</v>
      </c>
      <c r="C82" s="13" t="s">
        <v>11</v>
      </c>
      <c r="D82" s="13" t="s">
        <v>45</v>
      </c>
      <c r="E82" s="13" t="s">
        <v>21</v>
      </c>
      <c r="F82" s="13" t="s">
        <v>22</v>
      </c>
      <c r="G82" s="13">
        <v>21</v>
      </c>
      <c r="H82" s="13">
        <v>21</v>
      </c>
      <c r="I82" s="13">
        <v>441</v>
      </c>
      <c r="J82" s="14" t="s">
        <v>26</v>
      </c>
      <c r="O82" s="13">
        <v>90</v>
      </c>
      <c r="Q82" s="13">
        <v>96.5</v>
      </c>
      <c r="R82" s="13">
        <v>2120</v>
      </c>
      <c r="T82" s="51"/>
      <c r="AA82" s="13">
        <v>195</v>
      </c>
    </row>
    <row r="83" spans="1:27" x14ac:dyDescent="0.3">
      <c r="A83" s="12" t="s">
        <v>147</v>
      </c>
      <c r="B83" s="19">
        <v>42080</v>
      </c>
      <c r="C83" s="13" t="s">
        <v>31</v>
      </c>
      <c r="D83" s="13" t="s">
        <v>45</v>
      </c>
      <c r="E83" s="13" t="s">
        <v>21</v>
      </c>
      <c r="F83" s="13" t="s">
        <v>22</v>
      </c>
      <c r="G83" s="13">
        <v>6</v>
      </c>
      <c r="H83" s="13">
        <v>15</v>
      </c>
      <c r="I83" s="13">
        <v>90</v>
      </c>
      <c r="J83" s="14" t="s">
        <v>26</v>
      </c>
      <c r="O83" s="13">
        <v>42</v>
      </c>
      <c r="Q83" s="13">
        <v>54</v>
      </c>
      <c r="R83" s="13">
        <v>220</v>
      </c>
      <c r="T83" s="51"/>
      <c r="AA83" s="13">
        <v>630</v>
      </c>
    </row>
    <row r="84" spans="1:27" x14ac:dyDescent="0.3">
      <c r="A84" s="12" t="s">
        <v>148</v>
      </c>
      <c r="B84" s="19">
        <v>42080</v>
      </c>
      <c r="C84" s="13" t="s">
        <v>31</v>
      </c>
      <c r="D84" s="13" t="s">
        <v>45</v>
      </c>
      <c r="E84" s="13" t="s">
        <v>51</v>
      </c>
      <c r="F84" s="13" t="s">
        <v>81</v>
      </c>
      <c r="G84" s="13">
        <v>12</v>
      </c>
      <c r="H84" s="13">
        <v>15</v>
      </c>
      <c r="I84" s="13">
        <v>180</v>
      </c>
      <c r="J84" s="14" t="s">
        <v>26</v>
      </c>
      <c r="O84" s="13">
        <v>96.5</v>
      </c>
      <c r="Q84" s="13">
        <v>57.900000000000006</v>
      </c>
      <c r="R84" s="13">
        <v>625</v>
      </c>
      <c r="T84" s="51"/>
      <c r="AA84" s="13">
        <v>1215</v>
      </c>
    </row>
    <row r="85" spans="1:27" x14ac:dyDescent="0.3">
      <c r="A85" s="12" t="s">
        <v>149</v>
      </c>
      <c r="B85" s="19">
        <v>42082</v>
      </c>
      <c r="C85" s="13" t="s">
        <v>31</v>
      </c>
      <c r="D85" s="13" t="s">
        <v>85</v>
      </c>
      <c r="E85" s="13" t="s">
        <v>51</v>
      </c>
      <c r="F85" s="13" t="s">
        <v>81</v>
      </c>
      <c r="G85" s="13">
        <v>24</v>
      </c>
      <c r="H85" s="13">
        <v>4</v>
      </c>
      <c r="I85" s="13">
        <v>96</v>
      </c>
      <c r="J85" s="14" t="s">
        <v>26</v>
      </c>
      <c r="O85" s="13">
        <v>54</v>
      </c>
      <c r="Q85" s="13">
        <v>105</v>
      </c>
      <c r="R85" s="13">
        <v>4050</v>
      </c>
      <c r="T85" s="51"/>
      <c r="AA85" s="13">
        <v>1000</v>
      </c>
    </row>
    <row r="86" spans="1:27" x14ac:dyDescent="0.3">
      <c r="A86" s="12" t="s">
        <v>150</v>
      </c>
      <c r="B86" s="19">
        <v>42082</v>
      </c>
      <c r="C86" s="13" t="s">
        <v>11</v>
      </c>
      <c r="D86" s="13" t="s">
        <v>85</v>
      </c>
      <c r="E86" s="13" t="s">
        <v>34</v>
      </c>
      <c r="F86" s="13" t="s">
        <v>64</v>
      </c>
      <c r="G86" s="13">
        <v>53</v>
      </c>
      <c r="H86" s="13">
        <v>40</v>
      </c>
      <c r="I86" s="13">
        <v>2120</v>
      </c>
      <c r="J86" s="14" t="s">
        <v>26</v>
      </c>
      <c r="O86" s="13">
        <v>57.900000000000006</v>
      </c>
      <c r="Q86" s="13">
        <v>34.799999999999997</v>
      </c>
      <c r="R86" s="13">
        <v>427</v>
      </c>
      <c r="T86" s="51"/>
      <c r="AA86" s="13">
        <v>315</v>
      </c>
    </row>
    <row r="87" spans="1:27" x14ac:dyDescent="0.3">
      <c r="A87" s="12" t="s">
        <v>151</v>
      </c>
      <c r="B87" s="19">
        <v>42082</v>
      </c>
      <c r="C87" s="13" t="s">
        <v>31</v>
      </c>
      <c r="D87" s="13" t="s">
        <v>85</v>
      </c>
      <c r="E87" s="13" t="s">
        <v>34</v>
      </c>
      <c r="F87" s="13" t="s">
        <v>64</v>
      </c>
      <c r="G87" s="13">
        <v>16.25</v>
      </c>
      <c r="H87" s="13">
        <v>9</v>
      </c>
      <c r="I87" s="13">
        <v>146.25</v>
      </c>
      <c r="J87" s="14" t="s">
        <v>26</v>
      </c>
      <c r="O87" s="13">
        <v>105</v>
      </c>
      <c r="Q87" s="13">
        <v>37.5</v>
      </c>
      <c r="R87" s="13">
        <v>180</v>
      </c>
      <c r="T87" s="51"/>
      <c r="AA87" s="13">
        <v>1800</v>
      </c>
    </row>
    <row r="88" spans="1:27" x14ac:dyDescent="0.3">
      <c r="A88" s="12" t="s">
        <v>152</v>
      </c>
      <c r="B88" s="19">
        <v>42082</v>
      </c>
      <c r="C88" s="13" t="s">
        <v>28</v>
      </c>
      <c r="D88" s="13" t="s">
        <v>45</v>
      </c>
      <c r="E88" s="13" t="s">
        <v>13</v>
      </c>
      <c r="F88" s="13" t="s">
        <v>66</v>
      </c>
      <c r="G88" s="13">
        <v>55</v>
      </c>
      <c r="H88" s="13">
        <v>4</v>
      </c>
      <c r="I88" s="13">
        <v>220</v>
      </c>
      <c r="J88" s="14" t="s">
        <v>26</v>
      </c>
      <c r="O88" s="13">
        <v>34.799999999999997</v>
      </c>
      <c r="Q88" s="13">
        <v>48</v>
      </c>
      <c r="R88" s="13">
        <v>174</v>
      </c>
      <c r="T88" s="51"/>
      <c r="AA88" s="13">
        <v>276</v>
      </c>
    </row>
    <row r="89" spans="1:27" x14ac:dyDescent="0.3">
      <c r="A89" s="12" t="s">
        <v>153</v>
      </c>
      <c r="B89" s="19">
        <v>42085</v>
      </c>
      <c r="C89" s="13" t="s">
        <v>11</v>
      </c>
      <c r="D89" s="13" t="s">
        <v>45</v>
      </c>
      <c r="E89" s="13" t="s">
        <v>13</v>
      </c>
      <c r="F89" s="13" t="s">
        <v>99</v>
      </c>
      <c r="G89" s="13">
        <v>12.5</v>
      </c>
      <c r="H89" s="13">
        <v>50</v>
      </c>
      <c r="I89" s="13">
        <v>625</v>
      </c>
      <c r="J89" s="14" t="s">
        <v>26</v>
      </c>
      <c r="O89" s="13">
        <v>37.5</v>
      </c>
      <c r="Q89" s="13">
        <v>120</v>
      </c>
      <c r="R89" s="13">
        <v>155</v>
      </c>
      <c r="T89" s="51"/>
      <c r="AA89" s="13">
        <v>696</v>
      </c>
    </row>
    <row r="90" spans="1:27" x14ac:dyDescent="0.3">
      <c r="A90" s="12" t="s">
        <v>154</v>
      </c>
      <c r="B90" s="19">
        <v>42085</v>
      </c>
      <c r="C90" s="13" t="s">
        <v>11</v>
      </c>
      <c r="D90" s="13" t="s">
        <v>45</v>
      </c>
      <c r="E90" s="13" t="s">
        <v>34</v>
      </c>
      <c r="F90" s="13" t="s">
        <v>35</v>
      </c>
      <c r="G90" s="13">
        <v>81</v>
      </c>
      <c r="H90" s="13">
        <v>50</v>
      </c>
      <c r="I90" s="13">
        <v>4050</v>
      </c>
      <c r="J90" s="14" t="s">
        <v>26</v>
      </c>
      <c r="O90" s="13">
        <v>48</v>
      </c>
      <c r="Q90" s="13">
        <v>92</v>
      </c>
      <c r="R90" s="13">
        <v>1080</v>
      </c>
      <c r="T90" s="51"/>
      <c r="AA90" s="13">
        <v>306</v>
      </c>
    </row>
    <row r="91" spans="1:27" x14ac:dyDescent="0.3">
      <c r="A91" s="12" t="s">
        <v>155</v>
      </c>
      <c r="B91" s="19">
        <v>42087</v>
      </c>
      <c r="C91" s="13" t="s">
        <v>20</v>
      </c>
      <c r="D91" s="13" t="s">
        <v>24</v>
      </c>
      <c r="E91" s="13" t="s">
        <v>21</v>
      </c>
      <c r="F91" s="13" t="s">
        <v>61</v>
      </c>
      <c r="G91" s="13">
        <v>21.35</v>
      </c>
      <c r="H91" s="13">
        <v>20</v>
      </c>
      <c r="I91" s="13">
        <v>427</v>
      </c>
      <c r="J91" s="14" t="s">
        <v>26</v>
      </c>
      <c r="O91" s="13">
        <v>120</v>
      </c>
      <c r="Q91" s="13">
        <v>60</v>
      </c>
      <c r="R91" s="13">
        <v>280</v>
      </c>
      <c r="T91" s="51"/>
      <c r="AA91" s="13">
        <v>342</v>
      </c>
    </row>
    <row r="92" spans="1:27" x14ac:dyDescent="0.3">
      <c r="A92" s="12" t="s">
        <v>156</v>
      </c>
      <c r="B92" s="19">
        <v>42087</v>
      </c>
      <c r="C92" s="13" t="s">
        <v>11</v>
      </c>
      <c r="D92" s="13" t="s">
        <v>24</v>
      </c>
      <c r="E92" s="13" t="s">
        <v>51</v>
      </c>
      <c r="F92" s="13" t="s">
        <v>81</v>
      </c>
      <c r="G92" s="13">
        <v>30</v>
      </c>
      <c r="H92" s="13">
        <v>6</v>
      </c>
      <c r="I92" s="13">
        <v>180</v>
      </c>
      <c r="J92" s="14" t="s">
        <v>26</v>
      </c>
      <c r="O92" s="13">
        <v>92</v>
      </c>
      <c r="Q92" s="13">
        <v>45</v>
      </c>
      <c r="R92" s="13">
        <v>15810</v>
      </c>
      <c r="T92" s="51"/>
      <c r="AA92" s="13">
        <v>190</v>
      </c>
    </row>
    <row r="93" spans="1:27" x14ac:dyDescent="0.3">
      <c r="A93" s="12" t="s">
        <v>157</v>
      </c>
      <c r="B93" s="19">
        <v>42087</v>
      </c>
      <c r="C93" s="13" t="s">
        <v>20</v>
      </c>
      <c r="D93" s="13" t="s">
        <v>24</v>
      </c>
      <c r="E93" s="13" t="s">
        <v>13</v>
      </c>
      <c r="F93" s="13" t="s">
        <v>56</v>
      </c>
      <c r="G93" s="13">
        <v>34.799999999999997</v>
      </c>
      <c r="H93" s="13">
        <v>5</v>
      </c>
      <c r="I93" s="13">
        <v>174</v>
      </c>
      <c r="J93" s="14" t="s">
        <v>26</v>
      </c>
      <c r="O93" s="13">
        <v>60</v>
      </c>
      <c r="Q93" s="13">
        <v>117</v>
      </c>
      <c r="R93" s="13">
        <v>180</v>
      </c>
      <c r="T93" s="51"/>
      <c r="AA93" s="13">
        <v>187.5</v>
      </c>
    </row>
    <row r="94" spans="1:27" x14ac:dyDescent="0.3">
      <c r="A94" s="12" t="s">
        <v>158</v>
      </c>
      <c r="B94" s="19">
        <v>42087</v>
      </c>
      <c r="C94" s="13" t="s">
        <v>11</v>
      </c>
      <c r="D94" s="13" t="s">
        <v>12</v>
      </c>
      <c r="E94" s="13" t="s">
        <v>17</v>
      </c>
      <c r="F94" s="13" t="s">
        <v>25</v>
      </c>
      <c r="G94" s="13">
        <v>7.75</v>
      </c>
      <c r="H94" s="13">
        <v>20</v>
      </c>
      <c r="I94" s="13">
        <v>155</v>
      </c>
      <c r="J94" s="14" t="s">
        <v>26</v>
      </c>
      <c r="O94" s="13">
        <v>45</v>
      </c>
      <c r="Q94" s="13">
        <v>142.5</v>
      </c>
      <c r="R94" s="13">
        <v>195</v>
      </c>
      <c r="T94" s="51"/>
      <c r="AA94" s="13">
        <v>304</v>
      </c>
    </row>
    <row r="95" spans="1:27" x14ac:dyDescent="0.3">
      <c r="A95" s="12" t="s">
        <v>159</v>
      </c>
      <c r="B95" s="19">
        <v>42088</v>
      </c>
      <c r="C95" s="13" t="s">
        <v>11</v>
      </c>
      <c r="D95" s="13" t="s">
        <v>24</v>
      </c>
      <c r="E95" s="13" t="s">
        <v>17</v>
      </c>
      <c r="F95" s="13" t="s">
        <v>134</v>
      </c>
      <c r="G95" s="13">
        <v>18</v>
      </c>
      <c r="H95" s="13">
        <v>60</v>
      </c>
      <c r="I95" s="13">
        <v>1080</v>
      </c>
      <c r="J95" s="14" t="s">
        <v>15</v>
      </c>
      <c r="O95" s="13">
        <v>117</v>
      </c>
      <c r="Q95" s="13">
        <v>90</v>
      </c>
      <c r="R95" s="13">
        <v>630</v>
      </c>
      <c r="T95" s="51"/>
      <c r="AA95" s="13">
        <v>1080</v>
      </c>
    </row>
    <row r="96" spans="1:27" x14ac:dyDescent="0.3">
      <c r="A96" s="12" t="s">
        <v>160</v>
      </c>
      <c r="B96" s="19">
        <v>42088</v>
      </c>
      <c r="C96" s="13" t="s">
        <v>20</v>
      </c>
      <c r="D96" s="13" t="s">
        <v>12</v>
      </c>
      <c r="E96" s="13" t="s">
        <v>21</v>
      </c>
      <c r="F96" s="13" t="s">
        <v>22</v>
      </c>
      <c r="G96" s="13">
        <v>7</v>
      </c>
      <c r="H96" s="13">
        <v>6</v>
      </c>
      <c r="I96" s="13">
        <v>42</v>
      </c>
      <c r="J96" s="14" t="s">
        <v>15</v>
      </c>
      <c r="O96" s="13">
        <v>142.5</v>
      </c>
      <c r="Q96" s="13">
        <v>46</v>
      </c>
      <c r="R96" s="13">
        <v>1215</v>
      </c>
      <c r="T96" s="51"/>
      <c r="AA96" s="13">
        <v>322</v>
      </c>
    </row>
    <row r="97" spans="1:27" x14ac:dyDescent="0.3">
      <c r="A97" s="12" t="s">
        <v>161</v>
      </c>
      <c r="B97" s="19">
        <v>42092</v>
      </c>
      <c r="C97" s="13" t="s">
        <v>11</v>
      </c>
      <c r="D97" s="13" t="s">
        <v>12</v>
      </c>
      <c r="E97" s="13" t="s">
        <v>51</v>
      </c>
      <c r="F97" s="13" t="s">
        <v>81</v>
      </c>
      <c r="G97" s="13">
        <v>12</v>
      </c>
      <c r="H97" s="13">
        <v>9</v>
      </c>
      <c r="I97" s="13">
        <v>108</v>
      </c>
      <c r="J97" s="14" t="s">
        <v>26</v>
      </c>
      <c r="O97" s="13">
        <v>90</v>
      </c>
      <c r="Q97" s="13">
        <v>67.5</v>
      </c>
      <c r="R97" s="13">
        <v>1000</v>
      </c>
      <c r="T97" s="51"/>
      <c r="AA97" s="13">
        <v>1380</v>
      </c>
    </row>
    <row r="98" spans="1:27" x14ac:dyDescent="0.3">
      <c r="A98" s="12" t="s">
        <v>162</v>
      </c>
      <c r="B98" s="19">
        <v>42093</v>
      </c>
      <c r="C98" s="13" t="s">
        <v>11</v>
      </c>
      <c r="D98" s="13" t="s">
        <v>85</v>
      </c>
      <c r="E98" s="13" t="s">
        <v>21</v>
      </c>
      <c r="F98" s="13" t="s">
        <v>22</v>
      </c>
      <c r="G98" s="13">
        <v>7</v>
      </c>
      <c r="H98" s="13">
        <v>40</v>
      </c>
      <c r="I98" s="13">
        <v>280</v>
      </c>
      <c r="J98" s="14" t="s">
        <v>15</v>
      </c>
      <c r="O98" s="13">
        <v>46</v>
      </c>
      <c r="Q98" s="13">
        <v>51.78</v>
      </c>
      <c r="R98" s="13">
        <v>315</v>
      </c>
      <c r="T98" s="51"/>
      <c r="AA98" s="13">
        <v>442.05</v>
      </c>
    </row>
    <row r="99" spans="1:27" x14ac:dyDescent="0.3">
      <c r="A99" s="12" t="s">
        <v>163</v>
      </c>
      <c r="B99" s="19">
        <v>42096</v>
      </c>
      <c r="C99" s="13" t="s">
        <v>28</v>
      </c>
      <c r="D99" s="13" t="s">
        <v>85</v>
      </c>
      <c r="E99" s="13" t="s">
        <v>17</v>
      </c>
      <c r="F99" s="13" t="s">
        <v>32</v>
      </c>
      <c r="G99" s="13">
        <v>263.5</v>
      </c>
      <c r="H99" s="13">
        <v>60</v>
      </c>
      <c r="I99" s="13">
        <v>15810</v>
      </c>
      <c r="J99" s="14" t="s">
        <v>26</v>
      </c>
      <c r="O99" s="13">
        <v>67.5</v>
      </c>
      <c r="Q99" s="13">
        <v>45</v>
      </c>
      <c r="R99" s="13">
        <v>1800</v>
      </c>
      <c r="T99" s="51"/>
      <c r="AA99" s="13">
        <v>1075</v>
      </c>
    </row>
    <row r="100" spans="1:27" x14ac:dyDescent="0.3">
      <c r="A100" s="12" t="s">
        <v>164</v>
      </c>
      <c r="B100" s="19">
        <v>42099</v>
      </c>
      <c r="C100" s="13" t="s">
        <v>28</v>
      </c>
      <c r="D100" s="13" t="s">
        <v>24</v>
      </c>
      <c r="E100" s="13" t="s">
        <v>17</v>
      </c>
      <c r="F100" s="13" t="s">
        <v>134</v>
      </c>
      <c r="G100" s="13">
        <v>18</v>
      </c>
      <c r="H100" s="13">
        <v>10</v>
      </c>
      <c r="I100" s="13">
        <v>180</v>
      </c>
      <c r="J100" s="14" t="s">
        <v>26</v>
      </c>
      <c r="O100" s="13">
        <v>51.78</v>
      </c>
      <c r="Q100" s="13">
        <v>142.5</v>
      </c>
      <c r="R100" s="13">
        <v>276</v>
      </c>
      <c r="T100" s="51"/>
      <c r="AA100" s="13">
        <v>374.76</v>
      </c>
    </row>
    <row r="101" spans="1:27" x14ac:dyDescent="0.3">
      <c r="A101" s="12" t="s">
        <v>165</v>
      </c>
      <c r="B101" s="19">
        <v>42099</v>
      </c>
      <c r="C101" s="13" t="s">
        <v>20</v>
      </c>
      <c r="D101" s="13" t="s">
        <v>24</v>
      </c>
      <c r="E101" s="13" t="s">
        <v>21</v>
      </c>
      <c r="F101" s="13" t="s">
        <v>97</v>
      </c>
      <c r="G101" s="13">
        <v>13</v>
      </c>
      <c r="H101" s="13">
        <v>15</v>
      </c>
      <c r="I101" s="13">
        <v>195</v>
      </c>
      <c r="J101" s="14" t="s">
        <v>26</v>
      </c>
      <c r="O101" s="13">
        <v>45</v>
      </c>
      <c r="Q101" s="13">
        <v>132</v>
      </c>
      <c r="R101" s="13">
        <v>696</v>
      </c>
      <c r="T101" s="51"/>
      <c r="AA101" s="13">
        <v>291.75</v>
      </c>
    </row>
    <row r="102" spans="1:27" x14ac:dyDescent="0.3">
      <c r="A102" s="12" t="s">
        <v>166</v>
      </c>
      <c r="B102" s="19">
        <v>42099</v>
      </c>
      <c r="C102" s="13" t="s">
        <v>11</v>
      </c>
      <c r="D102" s="13" t="s">
        <v>24</v>
      </c>
      <c r="E102" s="13" t="s">
        <v>13</v>
      </c>
      <c r="F102" s="13" t="s">
        <v>14</v>
      </c>
      <c r="G102" s="13">
        <v>21</v>
      </c>
      <c r="H102" s="13">
        <v>30</v>
      </c>
      <c r="I102" s="13">
        <v>630</v>
      </c>
      <c r="J102" s="14" t="s">
        <v>26</v>
      </c>
      <c r="O102" s="13">
        <v>142.5</v>
      </c>
      <c r="Q102" s="13">
        <v>50</v>
      </c>
      <c r="R102" s="13">
        <v>306</v>
      </c>
      <c r="T102" s="51"/>
      <c r="AA102" s="13">
        <v>152</v>
      </c>
    </row>
    <row r="103" spans="1:27" x14ac:dyDescent="0.3">
      <c r="A103" s="12" t="s">
        <v>167</v>
      </c>
      <c r="B103" s="19">
        <v>42099</v>
      </c>
      <c r="C103" s="13" t="s">
        <v>20</v>
      </c>
      <c r="D103" s="13" t="s">
        <v>24</v>
      </c>
      <c r="E103" s="13" t="s">
        <v>34</v>
      </c>
      <c r="F103" s="13" t="s">
        <v>35</v>
      </c>
      <c r="G103" s="13">
        <v>81</v>
      </c>
      <c r="H103" s="13">
        <v>15</v>
      </c>
      <c r="I103" s="13">
        <v>1215</v>
      </c>
      <c r="J103" s="14" t="s">
        <v>26</v>
      </c>
      <c r="O103" s="13">
        <v>132</v>
      </c>
      <c r="Q103" s="13">
        <v>144</v>
      </c>
      <c r="R103" s="13">
        <v>342</v>
      </c>
      <c r="T103" s="51"/>
      <c r="AA103" s="13">
        <v>450</v>
      </c>
    </row>
    <row r="104" spans="1:27" x14ac:dyDescent="0.3">
      <c r="A104" s="12" t="s">
        <v>168</v>
      </c>
      <c r="B104" s="19">
        <v>42100</v>
      </c>
      <c r="C104" s="13" t="s">
        <v>28</v>
      </c>
      <c r="D104" s="13" t="s">
        <v>12</v>
      </c>
      <c r="E104" s="13" t="s">
        <v>21</v>
      </c>
      <c r="F104" s="13" t="s">
        <v>39</v>
      </c>
      <c r="G104" s="13">
        <v>25</v>
      </c>
      <c r="H104" s="13">
        <v>40</v>
      </c>
      <c r="I104" s="13">
        <v>1000</v>
      </c>
      <c r="J104" s="14" t="s">
        <v>15</v>
      </c>
      <c r="O104" s="13">
        <v>50</v>
      </c>
      <c r="Q104" s="13">
        <v>28</v>
      </c>
      <c r="R104" s="13">
        <v>190</v>
      </c>
      <c r="T104" s="51"/>
      <c r="AA104" s="13">
        <v>640.5</v>
      </c>
    </row>
    <row r="105" spans="1:27" x14ac:dyDescent="0.3">
      <c r="A105" s="12" t="s">
        <v>169</v>
      </c>
      <c r="B105" s="19">
        <v>42100</v>
      </c>
      <c r="C105" s="13" t="s">
        <v>11</v>
      </c>
      <c r="D105" s="13" t="s">
        <v>12</v>
      </c>
      <c r="E105" s="13" t="s">
        <v>13</v>
      </c>
      <c r="F105" s="13" t="s">
        <v>14</v>
      </c>
      <c r="G105" s="13">
        <v>21</v>
      </c>
      <c r="H105" s="13">
        <v>15</v>
      </c>
      <c r="I105" s="13">
        <v>315</v>
      </c>
      <c r="J105" s="14" t="s">
        <v>15</v>
      </c>
      <c r="O105" s="13">
        <v>144</v>
      </c>
      <c r="Q105" s="13">
        <v>115.80000000000001</v>
      </c>
      <c r="R105" s="13">
        <v>187.5</v>
      </c>
      <c r="T105" s="51"/>
      <c r="AA105" s="13">
        <v>1380</v>
      </c>
    </row>
    <row r="106" spans="1:27" x14ac:dyDescent="0.3">
      <c r="A106" s="12" t="s">
        <v>170</v>
      </c>
      <c r="B106" s="19">
        <v>42100</v>
      </c>
      <c r="C106" s="13" t="s">
        <v>11</v>
      </c>
      <c r="D106" s="13" t="s">
        <v>12</v>
      </c>
      <c r="E106" s="13" t="s">
        <v>34</v>
      </c>
      <c r="F106" s="13" t="s">
        <v>64</v>
      </c>
      <c r="G106" s="13">
        <v>9.65</v>
      </c>
      <c r="H106" s="13">
        <v>4</v>
      </c>
      <c r="I106" s="13">
        <v>38.6</v>
      </c>
      <c r="J106" s="14" t="s">
        <v>15</v>
      </c>
      <c r="O106" s="13">
        <v>28</v>
      </c>
      <c r="Q106" s="13">
        <v>105</v>
      </c>
      <c r="R106" s="13">
        <v>304</v>
      </c>
      <c r="T106" s="51"/>
      <c r="AA106" s="13">
        <v>285</v>
      </c>
    </row>
    <row r="107" spans="1:27" x14ac:dyDescent="0.3">
      <c r="A107" s="12" t="s">
        <v>171</v>
      </c>
      <c r="B107" s="19">
        <v>42100</v>
      </c>
      <c r="C107" s="13" t="s">
        <v>11</v>
      </c>
      <c r="D107" s="13" t="s">
        <v>45</v>
      </c>
      <c r="E107" s="13" t="s">
        <v>13</v>
      </c>
      <c r="F107" s="13" t="s">
        <v>14</v>
      </c>
      <c r="G107" s="13">
        <v>30</v>
      </c>
      <c r="H107" s="13">
        <v>60</v>
      </c>
      <c r="I107" s="13">
        <v>1800</v>
      </c>
      <c r="J107" s="14" t="s">
        <v>15</v>
      </c>
      <c r="O107" s="13">
        <v>115.80000000000001</v>
      </c>
      <c r="Q107" s="13">
        <v>110.39999999999999</v>
      </c>
      <c r="R107" s="13">
        <v>1080</v>
      </c>
      <c r="T107" s="51"/>
      <c r="AA107" s="13">
        <v>280</v>
      </c>
    </row>
    <row r="108" spans="1:27" x14ac:dyDescent="0.3">
      <c r="A108" s="12" t="s">
        <v>172</v>
      </c>
      <c r="B108" s="19">
        <v>42100</v>
      </c>
      <c r="C108" s="13" t="s">
        <v>28</v>
      </c>
      <c r="D108" s="13" t="s">
        <v>45</v>
      </c>
      <c r="E108" s="13" t="s">
        <v>17</v>
      </c>
      <c r="F108" s="13" t="s">
        <v>29</v>
      </c>
      <c r="G108" s="13">
        <v>46</v>
      </c>
      <c r="H108" s="13">
        <v>6</v>
      </c>
      <c r="I108" s="13">
        <v>276</v>
      </c>
      <c r="J108" s="14" t="s">
        <v>15</v>
      </c>
      <c r="O108" s="13">
        <v>105</v>
      </c>
      <c r="Q108" s="13">
        <v>144</v>
      </c>
      <c r="R108" s="13">
        <v>322</v>
      </c>
      <c r="T108" s="51"/>
      <c r="AA108" s="13">
        <v>840</v>
      </c>
    </row>
    <row r="109" spans="1:27" x14ac:dyDescent="0.3">
      <c r="A109" s="12" t="s">
        <v>173</v>
      </c>
      <c r="B109" s="19">
        <v>42100</v>
      </c>
      <c r="C109" s="13" t="s">
        <v>20</v>
      </c>
      <c r="D109" s="13" t="s">
        <v>45</v>
      </c>
      <c r="E109" s="13" t="s">
        <v>13</v>
      </c>
      <c r="F109" s="13" t="s">
        <v>56</v>
      </c>
      <c r="G109" s="13">
        <v>34.799999999999997</v>
      </c>
      <c r="H109" s="13">
        <v>20</v>
      </c>
      <c r="I109" s="13">
        <v>696</v>
      </c>
      <c r="J109" s="14" t="s">
        <v>15</v>
      </c>
      <c r="O109" s="13">
        <v>110.39999999999999</v>
      </c>
      <c r="Q109" s="13">
        <v>108</v>
      </c>
      <c r="R109" s="13">
        <v>1380</v>
      </c>
      <c r="T109" s="51"/>
      <c r="AA109" s="13">
        <v>1200</v>
      </c>
    </row>
    <row r="110" spans="1:27" x14ac:dyDescent="0.3">
      <c r="A110" s="12" t="s">
        <v>174</v>
      </c>
      <c r="B110" s="19">
        <v>42108</v>
      </c>
      <c r="C110" s="13" t="s">
        <v>31</v>
      </c>
      <c r="D110" s="13" t="s">
        <v>85</v>
      </c>
      <c r="E110" s="13" t="s">
        <v>17</v>
      </c>
      <c r="F110" s="13" t="s">
        <v>128</v>
      </c>
      <c r="G110" s="13">
        <v>4.5</v>
      </c>
      <c r="H110" s="13">
        <v>12</v>
      </c>
      <c r="I110" s="13">
        <v>54</v>
      </c>
      <c r="J110" s="14" t="s">
        <v>15</v>
      </c>
      <c r="O110" s="13">
        <v>144</v>
      </c>
      <c r="Q110" s="13">
        <v>84</v>
      </c>
      <c r="R110" s="13">
        <v>442.05</v>
      </c>
      <c r="T110" s="51"/>
      <c r="AA110" s="13">
        <v>1700</v>
      </c>
    </row>
    <row r="111" spans="1:27" x14ac:dyDescent="0.3">
      <c r="A111" s="12" t="s">
        <v>175</v>
      </c>
      <c r="B111" s="19">
        <v>42108</v>
      </c>
      <c r="C111" s="13" t="s">
        <v>20</v>
      </c>
      <c r="D111" s="13" t="s">
        <v>85</v>
      </c>
      <c r="E111" s="13" t="s">
        <v>13</v>
      </c>
      <c r="F111" s="13" t="s">
        <v>41</v>
      </c>
      <c r="G111" s="13">
        <v>34</v>
      </c>
      <c r="H111" s="13">
        <v>9</v>
      </c>
      <c r="I111" s="13">
        <v>306</v>
      </c>
      <c r="J111" s="14" t="s">
        <v>15</v>
      </c>
      <c r="O111" s="13">
        <v>108</v>
      </c>
      <c r="Q111" s="13">
        <v>12.5</v>
      </c>
      <c r="R111" s="13">
        <v>1075</v>
      </c>
      <c r="T111" s="51"/>
      <c r="AA111" s="13">
        <v>468</v>
      </c>
    </row>
    <row r="112" spans="1:27" x14ac:dyDescent="0.3">
      <c r="A112" s="12" t="s">
        <v>176</v>
      </c>
      <c r="B112" s="19">
        <v>42108</v>
      </c>
      <c r="C112" s="13" t="s">
        <v>31</v>
      </c>
      <c r="D112" s="13" t="s">
        <v>85</v>
      </c>
      <c r="E112" s="13" t="s">
        <v>13</v>
      </c>
      <c r="F112" s="13" t="s">
        <v>14</v>
      </c>
      <c r="G112" s="13">
        <v>19</v>
      </c>
      <c r="H112" s="13">
        <v>18</v>
      </c>
      <c r="I112" s="13">
        <v>342</v>
      </c>
      <c r="J112" s="14" t="s">
        <v>15</v>
      </c>
      <c r="O112" s="13">
        <v>84</v>
      </c>
      <c r="Q112" s="13">
        <v>125</v>
      </c>
      <c r="R112" s="13">
        <v>374.76</v>
      </c>
      <c r="T112" s="51"/>
      <c r="AA112" s="13">
        <v>1190</v>
      </c>
    </row>
    <row r="113" spans="1:27" x14ac:dyDescent="0.3">
      <c r="A113" s="12" t="s">
        <v>177</v>
      </c>
      <c r="B113" s="19">
        <v>42109</v>
      </c>
      <c r="C113" s="13" t="s">
        <v>20</v>
      </c>
      <c r="D113" s="13" t="s">
        <v>85</v>
      </c>
      <c r="E113" s="13" t="s">
        <v>17</v>
      </c>
      <c r="F113" s="13" t="s">
        <v>54</v>
      </c>
      <c r="G113" s="13">
        <v>9</v>
      </c>
      <c r="H113" s="13">
        <v>10</v>
      </c>
      <c r="I113" s="13">
        <v>90</v>
      </c>
      <c r="J113" s="14" t="s">
        <v>15</v>
      </c>
      <c r="O113" s="13">
        <v>12.5</v>
      </c>
      <c r="Q113" s="13">
        <v>90</v>
      </c>
      <c r="R113" s="13">
        <v>291.75</v>
      </c>
      <c r="T113" s="51"/>
      <c r="AA113" s="13">
        <v>180</v>
      </c>
    </row>
    <row r="114" spans="1:27" x14ac:dyDescent="0.3">
      <c r="A114" s="12" t="s">
        <v>178</v>
      </c>
      <c r="B114" s="19">
        <v>42109</v>
      </c>
      <c r="C114" s="13" t="s">
        <v>31</v>
      </c>
      <c r="D114" s="13" t="s">
        <v>85</v>
      </c>
      <c r="E114" s="13" t="s">
        <v>34</v>
      </c>
      <c r="F114" s="13" t="s">
        <v>64</v>
      </c>
      <c r="G114" s="13">
        <v>14</v>
      </c>
      <c r="H114" s="13">
        <v>4</v>
      </c>
      <c r="I114" s="13">
        <v>56</v>
      </c>
      <c r="J114" s="14" t="s">
        <v>15</v>
      </c>
      <c r="O114" s="13">
        <v>125</v>
      </c>
      <c r="Q114" s="13">
        <v>44.7</v>
      </c>
      <c r="R114" s="13">
        <v>152</v>
      </c>
      <c r="T114" s="51"/>
      <c r="AA114" s="13">
        <v>1656</v>
      </c>
    </row>
    <row r="115" spans="1:27" x14ac:dyDescent="0.3">
      <c r="A115" s="12" t="s">
        <v>179</v>
      </c>
      <c r="B115" s="19">
        <v>42109</v>
      </c>
      <c r="C115" s="13" t="s">
        <v>20</v>
      </c>
      <c r="D115" s="13" t="s">
        <v>85</v>
      </c>
      <c r="E115" s="13" t="s">
        <v>13</v>
      </c>
      <c r="F115" s="13" t="s">
        <v>14</v>
      </c>
      <c r="G115" s="13">
        <v>9.5</v>
      </c>
      <c r="H115" s="13">
        <v>20</v>
      </c>
      <c r="I115" s="13">
        <v>190</v>
      </c>
      <c r="J115" s="14" t="s">
        <v>15</v>
      </c>
      <c r="O115" s="13">
        <v>90</v>
      </c>
      <c r="Q115" s="13">
        <v>56</v>
      </c>
      <c r="R115" s="13">
        <v>450</v>
      </c>
      <c r="T115" s="51"/>
      <c r="AA115" s="13">
        <v>364</v>
      </c>
    </row>
    <row r="116" spans="1:27" x14ac:dyDescent="0.3">
      <c r="A116" s="12" t="s">
        <v>180</v>
      </c>
      <c r="B116" s="19">
        <v>42109</v>
      </c>
      <c r="C116" s="13" t="s">
        <v>28</v>
      </c>
      <c r="D116" s="13" t="s">
        <v>85</v>
      </c>
      <c r="E116" s="13" t="s">
        <v>34</v>
      </c>
      <c r="F116" s="13" t="s">
        <v>43</v>
      </c>
      <c r="G116" s="13">
        <v>12.5</v>
      </c>
      <c r="H116" s="13">
        <v>2</v>
      </c>
      <c r="I116" s="13">
        <v>25</v>
      </c>
      <c r="J116" s="14" t="s">
        <v>15</v>
      </c>
      <c r="O116" s="13">
        <v>44.7</v>
      </c>
      <c r="Q116" s="13">
        <v>135.1</v>
      </c>
      <c r="R116" s="13">
        <v>640.5</v>
      </c>
      <c r="T116" s="51"/>
      <c r="AA116" s="13">
        <v>364.8</v>
      </c>
    </row>
    <row r="117" spans="1:27" x14ac:dyDescent="0.3">
      <c r="A117" s="12" t="s">
        <v>181</v>
      </c>
      <c r="B117" s="19">
        <v>42110</v>
      </c>
      <c r="C117" s="13" t="s">
        <v>20</v>
      </c>
      <c r="D117" s="13" t="s">
        <v>45</v>
      </c>
      <c r="E117" s="13" t="s">
        <v>13</v>
      </c>
      <c r="F117" s="13" t="s">
        <v>99</v>
      </c>
      <c r="G117" s="13">
        <v>12.5</v>
      </c>
      <c r="H117" s="13">
        <v>15</v>
      </c>
      <c r="I117" s="13">
        <v>187.5</v>
      </c>
      <c r="J117" s="14" t="s">
        <v>26</v>
      </c>
      <c r="O117" s="13">
        <v>56</v>
      </c>
      <c r="Q117" s="13">
        <v>98.6</v>
      </c>
      <c r="R117" s="13">
        <v>1380</v>
      </c>
      <c r="T117" s="51"/>
      <c r="AA117" s="13">
        <v>190</v>
      </c>
    </row>
    <row r="118" spans="1:27" x14ac:dyDescent="0.3">
      <c r="A118" s="12" t="s">
        <v>182</v>
      </c>
      <c r="B118" s="19">
        <v>42110</v>
      </c>
      <c r="C118" s="13" t="s">
        <v>20</v>
      </c>
      <c r="D118" s="13" t="s">
        <v>45</v>
      </c>
      <c r="E118" s="13" t="s">
        <v>21</v>
      </c>
      <c r="F118" s="13" t="s">
        <v>22</v>
      </c>
      <c r="G118" s="13">
        <v>19</v>
      </c>
      <c r="H118" s="13">
        <v>16</v>
      </c>
      <c r="I118" s="13">
        <v>304</v>
      </c>
      <c r="J118" s="14" t="s">
        <v>26</v>
      </c>
      <c r="O118" s="13">
        <v>135.1</v>
      </c>
      <c r="Q118" s="13">
        <v>52.15</v>
      </c>
      <c r="R118" s="13">
        <v>285</v>
      </c>
      <c r="T118" s="51"/>
      <c r="AA118" s="13">
        <v>1940</v>
      </c>
    </row>
    <row r="119" spans="1:27" x14ac:dyDescent="0.3">
      <c r="A119" s="12" t="s">
        <v>183</v>
      </c>
      <c r="B119" s="19">
        <v>42113</v>
      </c>
      <c r="C119" s="13" t="s">
        <v>20</v>
      </c>
      <c r="D119" s="13" t="s">
        <v>24</v>
      </c>
      <c r="E119" s="13" t="s">
        <v>21</v>
      </c>
      <c r="F119" s="13" t="s">
        <v>22</v>
      </c>
      <c r="G119" s="13">
        <v>12</v>
      </c>
      <c r="H119" s="13">
        <v>3</v>
      </c>
      <c r="I119" s="13">
        <v>36</v>
      </c>
      <c r="J119" s="14" t="s">
        <v>26</v>
      </c>
      <c r="O119" s="13">
        <v>98.6</v>
      </c>
      <c r="Q119" s="13">
        <v>80</v>
      </c>
      <c r="R119" s="13">
        <v>280</v>
      </c>
      <c r="T119" s="51"/>
      <c r="AA119" s="13">
        <v>193.5</v>
      </c>
    </row>
    <row r="120" spans="1:27" x14ac:dyDescent="0.3">
      <c r="A120" s="12" t="s">
        <v>184</v>
      </c>
      <c r="B120" s="19">
        <v>42113</v>
      </c>
      <c r="C120" s="13" t="s">
        <v>31</v>
      </c>
      <c r="D120" s="13" t="s">
        <v>24</v>
      </c>
      <c r="E120" s="13" t="s">
        <v>34</v>
      </c>
      <c r="F120" s="13" t="s">
        <v>75</v>
      </c>
      <c r="G120" s="13">
        <v>20</v>
      </c>
      <c r="H120" s="13">
        <v>2</v>
      </c>
      <c r="I120" s="13">
        <v>40</v>
      </c>
      <c r="J120" s="14" t="s">
        <v>26</v>
      </c>
      <c r="O120" s="13">
        <v>52.15</v>
      </c>
      <c r="Q120" s="13">
        <v>36</v>
      </c>
      <c r="R120" s="13">
        <v>840</v>
      </c>
      <c r="T120" s="51"/>
      <c r="AA120" s="13">
        <v>371</v>
      </c>
    </row>
    <row r="121" spans="1:27" x14ac:dyDescent="0.3">
      <c r="A121" s="12" t="s">
        <v>185</v>
      </c>
      <c r="B121" s="19">
        <v>42114</v>
      </c>
      <c r="C121" s="13" t="s">
        <v>11</v>
      </c>
      <c r="D121" s="13" t="s">
        <v>12</v>
      </c>
      <c r="E121" s="13" t="s">
        <v>13</v>
      </c>
      <c r="F121" s="13" t="s">
        <v>186</v>
      </c>
      <c r="G121" s="13">
        <v>36</v>
      </c>
      <c r="H121" s="13">
        <v>30</v>
      </c>
      <c r="I121" s="13">
        <v>1080</v>
      </c>
      <c r="J121" s="14" t="s">
        <v>26</v>
      </c>
      <c r="O121" s="13">
        <v>80</v>
      </c>
      <c r="Q121" s="13">
        <v>43</v>
      </c>
      <c r="R121" s="13">
        <v>1200</v>
      </c>
      <c r="T121" s="51"/>
      <c r="AA121" s="13">
        <v>936.9</v>
      </c>
    </row>
    <row r="122" spans="1:27" x14ac:dyDescent="0.3">
      <c r="A122" s="12" t="s">
        <v>187</v>
      </c>
      <c r="B122" s="19">
        <v>42114</v>
      </c>
      <c r="C122" s="13" t="s">
        <v>20</v>
      </c>
      <c r="D122" s="13" t="s">
        <v>12</v>
      </c>
      <c r="E122" s="13" t="s">
        <v>34</v>
      </c>
      <c r="F122" s="13" t="s">
        <v>188</v>
      </c>
      <c r="G122" s="13">
        <v>9.1999999999999993</v>
      </c>
      <c r="H122" s="13">
        <v>35</v>
      </c>
      <c r="I122" s="13">
        <v>322</v>
      </c>
      <c r="J122" s="14" t="s">
        <v>26</v>
      </c>
      <c r="O122" s="13">
        <v>36</v>
      </c>
      <c r="Q122" s="13">
        <v>60</v>
      </c>
      <c r="R122" s="13">
        <v>1700</v>
      </c>
      <c r="T122" s="51"/>
      <c r="AA122" s="13">
        <v>187.38</v>
      </c>
    </row>
    <row r="123" spans="1:27" x14ac:dyDescent="0.3">
      <c r="A123" s="12" t="s">
        <v>189</v>
      </c>
      <c r="B123" s="19">
        <v>42114</v>
      </c>
      <c r="C123" s="13" t="s">
        <v>28</v>
      </c>
      <c r="D123" s="13" t="s">
        <v>45</v>
      </c>
      <c r="E123" s="13" t="s">
        <v>17</v>
      </c>
      <c r="F123" s="13" t="s">
        <v>29</v>
      </c>
      <c r="G123" s="13">
        <v>46</v>
      </c>
      <c r="H123" s="13">
        <v>30</v>
      </c>
      <c r="I123" s="13">
        <v>1380</v>
      </c>
      <c r="J123" s="14" t="s">
        <v>26</v>
      </c>
      <c r="O123" s="13">
        <v>43</v>
      </c>
      <c r="Q123" s="13">
        <v>120</v>
      </c>
      <c r="R123" s="13">
        <v>468</v>
      </c>
      <c r="T123" s="51"/>
      <c r="AA123" s="13">
        <v>550</v>
      </c>
    </row>
    <row r="124" spans="1:27" x14ac:dyDescent="0.3">
      <c r="A124" s="12" t="s">
        <v>190</v>
      </c>
      <c r="B124" s="19">
        <v>42114</v>
      </c>
      <c r="C124" s="13" t="s">
        <v>11</v>
      </c>
      <c r="D124" s="13" t="s">
        <v>45</v>
      </c>
      <c r="E124" s="13" t="s">
        <v>13</v>
      </c>
      <c r="F124" s="13" t="s">
        <v>14</v>
      </c>
      <c r="G124" s="13">
        <v>30</v>
      </c>
      <c r="H124" s="13">
        <v>4</v>
      </c>
      <c r="I124" s="13">
        <v>120</v>
      </c>
      <c r="J124" s="14" t="s">
        <v>26</v>
      </c>
      <c r="O124" s="13">
        <v>60</v>
      </c>
      <c r="Q124" s="13">
        <v>92</v>
      </c>
      <c r="R124" s="13">
        <v>1190</v>
      </c>
      <c r="T124" s="51"/>
      <c r="AA124" s="13">
        <v>510</v>
      </c>
    </row>
    <row r="125" spans="1:27" x14ac:dyDescent="0.3">
      <c r="A125" s="12" t="s">
        <v>191</v>
      </c>
      <c r="B125" s="19">
        <v>42115</v>
      </c>
      <c r="C125" s="13" t="s">
        <v>28</v>
      </c>
      <c r="D125" s="13" t="s">
        <v>45</v>
      </c>
      <c r="E125" s="13" t="s">
        <v>21</v>
      </c>
      <c r="F125" s="13" t="s">
        <v>87</v>
      </c>
      <c r="G125" s="13">
        <v>21.05</v>
      </c>
      <c r="H125" s="13">
        <v>21</v>
      </c>
      <c r="I125" s="13">
        <v>442.05</v>
      </c>
      <c r="J125" s="14" t="s">
        <v>15</v>
      </c>
      <c r="O125" s="13">
        <v>120</v>
      </c>
      <c r="Q125" s="13">
        <v>45</v>
      </c>
      <c r="R125" s="13">
        <v>180</v>
      </c>
      <c r="T125" s="51"/>
      <c r="AA125" s="13">
        <v>336</v>
      </c>
    </row>
    <row r="126" spans="1:27" x14ac:dyDescent="0.3">
      <c r="A126" s="12" t="s">
        <v>192</v>
      </c>
      <c r="B126" s="19">
        <v>42115</v>
      </c>
      <c r="C126" s="13" t="s">
        <v>11</v>
      </c>
      <c r="D126" s="13" t="s">
        <v>45</v>
      </c>
      <c r="E126" s="13" t="s">
        <v>13</v>
      </c>
      <c r="F126" s="13" t="s">
        <v>124</v>
      </c>
      <c r="G126" s="13">
        <v>21.5</v>
      </c>
      <c r="H126" s="13">
        <v>50</v>
      </c>
      <c r="I126" s="13">
        <v>1075</v>
      </c>
      <c r="J126" s="14" t="s">
        <v>15</v>
      </c>
      <c r="O126" s="13">
        <v>92</v>
      </c>
      <c r="Q126" s="13">
        <v>37.5</v>
      </c>
      <c r="R126" s="13">
        <v>1656</v>
      </c>
      <c r="T126" s="51"/>
      <c r="AA126" s="13">
        <v>250</v>
      </c>
    </row>
    <row r="127" spans="1:27" x14ac:dyDescent="0.3">
      <c r="A127" s="12" t="s">
        <v>193</v>
      </c>
      <c r="B127" s="19">
        <v>42115</v>
      </c>
      <c r="C127" s="13" t="s">
        <v>31</v>
      </c>
      <c r="D127" s="13" t="s">
        <v>45</v>
      </c>
      <c r="E127" s="13" t="s">
        <v>13</v>
      </c>
      <c r="F127" s="13" t="s">
        <v>113</v>
      </c>
      <c r="G127" s="13">
        <v>2.5</v>
      </c>
      <c r="H127" s="13">
        <v>30</v>
      </c>
      <c r="I127" s="13">
        <v>75</v>
      </c>
      <c r="J127" s="14" t="s">
        <v>15</v>
      </c>
      <c r="O127" s="13">
        <v>45</v>
      </c>
      <c r="Q127" s="13">
        <v>48</v>
      </c>
      <c r="R127" s="13">
        <v>364</v>
      </c>
      <c r="T127" s="51"/>
      <c r="AA127" s="13">
        <v>187.38</v>
      </c>
    </row>
    <row r="128" spans="1:27" x14ac:dyDescent="0.3">
      <c r="A128" s="12" t="s">
        <v>194</v>
      </c>
      <c r="B128" s="19">
        <v>42115</v>
      </c>
      <c r="C128" s="13" t="s">
        <v>31</v>
      </c>
      <c r="D128" s="13" t="s">
        <v>45</v>
      </c>
      <c r="E128" s="13" t="s">
        <v>34</v>
      </c>
      <c r="F128" s="13" t="s">
        <v>77</v>
      </c>
      <c r="G128" s="13">
        <v>31.23</v>
      </c>
      <c r="H128" s="13">
        <v>12</v>
      </c>
      <c r="I128" s="13">
        <v>374.76</v>
      </c>
      <c r="J128" s="14" t="s">
        <v>15</v>
      </c>
      <c r="O128" s="13">
        <v>37.5</v>
      </c>
      <c r="Q128" s="13">
        <v>120</v>
      </c>
      <c r="R128" s="13">
        <v>364.8</v>
      </c>
      <c r="T128" s="51"/>
      <c r="AA128" s="13">
        <v>510</v>
      </c>
    </row>
    <row r="129" spans="1:27" x14ac:dyDescent="0.3">
      <c r="A129" s="12" t="s">
        <v>195</v>
      </c>
      <c r="B129" s="19">
        <v>42121</v>
      </c>
      <c r="C129" s="13" t="s">
        <v>31</v>
      </c>
      <c r="D129" s="13" t="s">
        <v>85</v>
      </c>
      <c r="E129" s="13" t="s">
        <v>17</v>
      </c>
      <c r="F129" s="13" t="s">
        <v>54</v>
      </c>
      <c r="G129" s="13">
        <v>15</v>
      </c>
      <c r="H129" s="13">
        <v>4</v>
      </c>
      <c r="I129" s="13">
        <v>60</v>
      </c>
      <c r="J129" s="14" t="s">
        <v>15</v>
      </c>
      <c r="O129" s="13">
        <v>48</v>
      </c>
      <c r="Q129" s="13">
        <v>28</v>
      </c>
      <c r="R129" s="13">
        <v>190</v>
      </c>
      <c r="T129" s="51"/>
      <c r="AA129" s="13">
        <v>325.5</v>
      </c>
    </row>
    <row r="130" spans="1:27" x14ac:dyDescent="0.3">
      <c r="A130" s="12" t="s">
        <v>196</v>
      </c>
      <c r="B130" s="19">
        <v>42122</v>
      </c>
      <c r="C130" s="13" t="s">
        <v>28</v>
      </c>
      <c r="D130" s="13" t="s">
        <v>12</v>
      </c>
      <c r="E130" s="13" t="s">
        <v>21</v>
      </c>
      <c r="F130" s="13" t="s">
        <v>197</v>
      </c>
      <c r="G130" s="13">
        <v>19.45</v>
      </c>
      <c r="H130" s="13">
        <v>15</v>
      </c>
      <c r="I130" s="13">
        <v>291.75</v>
      </c>
      <c r="J130" s="14" t="s">
        <v>15</v>
      </c>
      <c r="O130" s="13">
        <v>120</v>
      </c>
      <c r="Q130" s="13">
        <v>50</v>
      </c>
      <c r="R130" s="13">
        <v>1940</v>
      </c>
      <c r="T130" s="51"/>
      <c r="AA130" s="13">
        <v>180</v>
      </c>
    </row>
    <row r="131" spans="1:27" x14ac:dyDescent="0.3">
      <c r="A131" s="12" t="s">
        <v>198</v>
      </c>
      <c r="B131" s="19">
        <v>42122</v>
      </c>
      <c r="C131" s="13" t="s">
        <v>20</v>
      </c>
      <c r="D131" s="13" t="s">
        <v>12</v>
      </c>
      <c r="E131" s="13" t="s">
        <v>21</v>
      </c>
      <c r="F131" s="13" t="s">
        <v>22</v>
      </c>
      <c r="G131" s="13">
        <v>28.5</v>
      </c>
      <c r="H131" s="13">
        <v>4</v>
      </c>
      <c r="I131" s="13">
        <v>114</v>
      </c>
      <c r="J131" s="14" t="s">
        <v>15</v>
      </c>
      <c r="O131" s="13">
        <v>28</v>
      </c>
      <c r="Q131" s="13">
        <v>98.6</v>
      </c>
      <c r="R131" s="13">
        <v>193.5</v>
      </c>
      <c r="T131" s="51"/>
      <c r="AA131" s="13">
        <v>315.75</v>
      </c>
    </row>
    <row r="132" spans="1:27" x14ac:dyDescent="0.3">
      <c r="A132" s="12" t="s">
        <v>199</v>
      </c>
      <c r="B132" s="19">
        <v>42124</v>
      </c>
      <c r="C132" s="13" t="s">
        <v>31</v>
      </c>
      <c r="D132" s="13" t="s">
        <v>12</v>
      </c>
      <c r="E132" s="13" t="s">
        <v>13</v>
      </c>
      <c r="F132" s="13" t="s">
        <v>200</v>
      </c>
      <c r="G132" s="13">
        <v>38</v>
      </c>
      <c r="H132" s="13">
        <v>4</v>
      </c>
      <c r="I132" s="13">
        <v>152</v>
      </c>
      <c r="J132" s="14" t="s">
        <v>15</v>
      </c>
      <c r="O132" s="13">
        <v>50</v>
      </c>
      <c r="R132" s="13">
        <v>371</v>
      </c>
      <c r="T132" s="51"/>
      <c r="AA132" s="13">
        <v>1855</v>
      </c>
    </row>
    <row r="133" spans="1:27" x14ac:dyDescent="0.3">
      <c r="A133" s="12" t="s">
        <v>201</v>
      </c>
      <c r="B133" s="19">
        <v>42124</v>
      </c>
      <c r="C133" s="13" t="s">
        <v>28</v>
      </c>
      <c r="D133" s="13" t="s">
        <v>45</v>
      </c>
      <c r="E133" s="13" t="s">
        <v>17</v>
      </c>
      <c r="F133" s="13" t="s">
        <v>79</v>
      </c>
      <c r="G133" s="13">
        <v>18</v>
      </c>
      <c r="H133" s="13">
        <v>25</v>
      </c>
      <c r="I133" s="13">
        <v>450</v>
      </c>
      <c r="J133" s="14" t="s">
        <v>26</v>
      </c>
      <c r="O133" s="13">
        <v>98.6</v>
      </c>
      <c r="R133" s="13">
        <v>936.9</v>
      </c>
      <c r="T133" s="51"/>
      <c r="AA133" s="13">
        <v>800</v>
      </c>
    </row>
    <row r="134" spans="1:27" x14ac:dyDescent="0.3">
      <c r="A134" s="12" t="s">
        <v>202</v>
      </c>
      <c r="B134" s="19">
        <v>42124</v>
      </c>
      <c r="C134" s="13" t="s">
        <v>31</v>
      </c>
      <c r="D134" s="13" t="s">
        <v>45</v>
      </c>
      <c r="E134" s="13" t="s">
        <v>21</v>
      </c>
      <c r="F134" s="13" t="s">
        <v>61</v>
      </c>
      <c r="G134" s="13">
        <v>21.35</v>
      </c>
      <c r="H134" s="13">
        <v>30</v>
      </c>
      <c r="I134" s="13">
        <v>640.5</v>
      </c>
      <c r="J134" s="14" t="s">
        <v>26</v>
      </c>
      <c r="O134" s="51"/>
      <c r="R134" s="13">
        <v>187.38</v>
      </c>
      <c r="T134" s="51"/>
      <c r="AA134" s="13">
        <v>756</v>
      </c>
    </row>
    <row r="135" spans="1:27" x14ac:dyDescent="0.3">
      <c r="A135" s="12" t="s">
        <v>203</v>
      </c>
      <c r="B135" s="19">
        <v>42127</v>
      </c>
      <c r="C135" s="13" t="s">
        <v>11</v>
      </c>
      <c r="D135" s="13" t="s">
        <v>12</v>
      </c>
      <c r="E135" s="13" t="s">
        <v>17</v>
      </c>
      <c r="F135" s="13" t="s">
        <v>29</v>
      </c>
      <c r="G135" s="13">
        <v>46</v>
      </c>
      <c r="H135" s="13">
        <v>30</v>
      </c>
      <c r="I135" s="13">
        <v>1380</v>
      </c>
      <c r="J135" s="14" t="s">
        <v>15</v>
      </c>
      <c r="O135" s="51"/>
      <c r="R135" s="13">
        <v>550</v>
      </c>
      <c r="T135" s="51"/>
      <c r="AA135" s="13">
        <v>250</v>
      </c>
    </row>
    <row r="136" spans="1:27" x14ac:dyDescent="0.3">
      <c r="A136" s="12" t="s">
        <v>204</v>
      </c>
      <c r="B136" s="19">
        <v>42127</v>
      </c>
      <c r="C136" s="13" t="s">
        <v>11</v>
      </c>
      <c r="D136" s="13" t="s">
        <v>12</v>
      </c>
      <c r="E136" s="13" t="s">
        <v>21</v>
      </c>
      <c r="F136" s="13" t="s">
        <v>22</v>
      </c>
      <c r="G136" s="13">
        <v>28.5</v>
      </c>
      <c r="H136" s="13">
        <v>10</v>
      </c>
      <c r="I136" s="13">
        <v>285</v>
      </c>
      <c r="J136" s="14" t="s">
        <v>15</v>
      </c>
      <c r="O136" s="51"/>
      <c r="R136" s="13">
        <v>510</v>
      </c>
      <c r="T136" s="51"/>
      <c r="AA136" s="13">
        <v>491.99999999999994</v>
      </c>
    </row>
    <row r="137" spans="1:27" x14ac:dyDescent="0.3">
      <c r="A137" s="12" t="s">
        <v>205</v>
      </c>
      <c r="B137" s="19">
        <v>42128</v>
      </c>
      <c r="C137" s="13" t="s">
        <v>11</v>
      </c>
      <c r="D137" s="13" t="s">
        <v>24</v>
      </c>
      <c r="E137" s="13" t="s">
        <v>17</v>
      </c>
      <c r="F137" s="13" t="s">
        <v>70</v>
      </c>
      <c r="G137" s="13">
        <v>14</v>
      </c>
      <c r="H137" s="13">
        <v>20</v>
      </c>
      <c r="I137" s="13">
        <v>280</v>
      </c>
      <c r="J137" s="14" t="s">
        <v>15</v>
      </c>
      <c r="O137" s="51"/>
      <c r="R137" s="13">
        <v>336</v>
      </c>
      <c r="T137" s="51"/>
      <c r="AA137" s="13">
        <v>156</v>
      </c>
    </row>
    <row r="138" spans="1:27" x14ac:dyDescent="0.3">
      <c r="A138" s="12" t="s">
        <v>206</v>
      </c>
      <c r="B138" s="19">
        <v>42128</v>
      </c>
      <c r="C138" s="13" t="s">
        <v>31</v>
      </c>
      <c r="D138" s="13" t="s">
        <v>45</v>
      </c>
      <c r="E138" s="13" t="s">
        <v>51</v>
      </c>
      <c r="F138" s="13" t="s">
        <v>81</v>
      </c>
      <c r="G138" s="13">
        <v>24</v>
      </c>
      <c r="H138" s="13">
        <v>35</v>
      </c>
      <c r="I138" s="13">
        <v>840</v>
      </c>
      <c r="J138" s="14" t="s">
        <v>26</v>
      </c>
      <c r="O138" s="51"/>
      <c r="R138" s="13">
        <v>250</v>
      </c>
      <c r="T138" s="51"/>
      <c r="AA138" s="13">
        <v>360</v>
      </c>
    </row>
    <row r="139" spans="1:27" x14ac:dyDescent="0.3">
      <c r="A139" s="12" t="s">
        <v>207</v>
      </c>
      <c r="B139" s="19">
        <v>42128</v>
      </c>
      <c r="C139" s="13" t="s">
        <v>20</v>
      </c>
      <c r="D139" s="13" t="s">
        <v>45</v>
      </c>
      <c r="E139" s="13" t="s">
        <v>21</v>
      </c>
      <c r="F139" s="13" t="s">
        <v>22</v>
      </c>
      <c r="G139" s="13">
        <v>30</v>
      </c>
      <c r="H139" s="13">
        <v>40</v>
      </c>
      <c r="I139" s="13">
        <v>1200</v>
      </c>
      <c r="J139" s="14" t="s">
        <v>26</v>
      </c>
      <c r="O139" s="51"/>
      <c r="R139" s="13">
        <v>187.38</v>
      </c>
      <c r="T139" s="51"/>
      <c r="AA139" s="13">
        <v>200</v>
      </c>
    </row>
    <row r="140" spans="1:27" x14ac:dyDescent="0.3">
      <c r="A140" s="12" t="s">
        <v>208</v>
      </c>
      <c r="B140" s="19">
        <v>42128</v>
      </c>
      <c r="C140" s="13" t="s">
        <v>20</v>
      </c>
      <c r="D140" s="13" t="s">
        <v>45</v>
      </c>
      <c r="E140" s="13" t="s">
        <v>13</v>
      </c>
      <c r="F140" s="13" t="s">
        <v>41</v>
      </c>
      <c r="G140" s="13">
        <v>34</v>
      </c>
      <c r="H140" s="13">
        <v>50</v>
      </c>
      <c r="I140" s="13">
        <v>1700</v>
      </c>
      <c r="J140" s="14" t="s">
        <v>26</v>
      </c>
      <c r="O140" s="51"/>
      <c r="R140" s="13">
        <v>510</v>
      </c>
      <c r="T140" s="51"/>
      <c r="AA140" s="13">
        <v>155.34</v>
      </c>
    </row>
    <row r="141" spans="1:27" x14ac:dyDescent="0.3">
      <c r="A141" s="12" t="s">
        <v>209</v>
      </c>
      <c r="B141" s="19">
        <v>42129</v>
      </c>
      <c r="C141" s="13" t="s">
        <v>11</v>
      </c>
      <c r="D141" s="13" t="s">
        <v>12</v>
      </c>
      <c r="E141" s="13" t="s">
        <v>51</v>
      </c>
      <c r="F141" s="13" t="s">
        <v>118</v>
      </c>
      <c r="G141" s="13">
        <v>39</v>
      </c>
      <c r="H141" s="13">
        <v>12</v>
      </c>
      <c r="I141" s="13">
        <v>468</v>
      </c>
      <c r="J141" s="14" t="s">
        <v>26</v>
      </c>
      <c r="O141" s="51"/>
      <c r="R141" s="13">
        <v>325.5</v>
      </c>
      <c r="T141" s="51"/>
      <c r="AA141" s="13">
        <v>180</v>
      </c>
    </row>
    <row r="142" spans="1:27" x14ac:dyDescent="0.3">
      <c r="A142" s="12" t="s">
        <v>210</v>
      </c>
      <c r="B142" s="19">
        <v>42129</v>
      </c>
      <c r="C142" s="13" t="s">
        <v>20</v>
      </c>
      <c r="D142" s="13" t="s">
        <v>12</v>
      </c>
      <c r="E142" s="13" t="s">
        <v>13</v>
      </c>
      <c r="F142" s="13" t="s">
        <v>41</v>
      </c>
      <c r="G142" s="13">
        <v>34</v>
      </c>
      <c r="H142" s="13">
        <v>35</v>
      </c>
      <c r="I142" s="13">
        <v>1190</v>
      </c>
      <c r="J142" s="14" t="s">
        <v>26</v>
      </c>
      <c r="O142" s="51"/>
      <c r="R142" s="13">
        <v>180</v>
      </c>
      <c r="T142" s="51"/>
      <c r="AA142" s="13">
        <v>280</v>
      </c>
    </row>
    <row r="143" spans="1:27" x14ac:dyDescent="0.3">
      <c r="A143" s="12" t="s">
        <v>211</v>
      </c>
      <c r="B143" s="19">
        <v>42129</v>
      </c>
      <c r="C143" s="13" t="s">
        <v>11</v>
      </c>
      <c r="D143" s="13" t="s">
        <v>12</v>
      </c>
      <c r="E143" s="13" t="s">
        <v>51</v>
      </c>
      <c r="F143" s="13" t="s">
        <v>81</v>
      </c>
      <c r="G143" s="13">
        <v>6</v>
      </c>
      <c r="H143" s="13">
        <v>30</v>
      </c>
      <c r="I143" s="13">
        <v>180</v>
      </c>
      <c r="J143" s="14" t="s">
        <v>26</v>
      </c>
      <c r="O143" s="51"/>
      <c r="R143" s="13">
        <v>315.75</v>
      </c>
      <c r="T143" s="51"/>
      <c r="AA143" s="13">
        <v>698</v>
      </c>
    </row>
    <row r="144" spans="1:27" x14ac:dyDescent="0.3">
      <c r="A144" s="12" t="s">
        <v>212</v>
      </c>
      <c r="B144" s="19">
        <v>42129</v>
      </c>
      <c r="C144" s="13" t="s">
        <v>11</v>
      </c>
      <c r="D144" s="13" t="s">
        <v>45</v>
      </c>
      <c r="E144" s="13" t="s">
        <v>17</v>
      </c>
      <c r="F144" s="13" t="s">
        <v>54</v>
      </c>
      <c r="G144" s="13">
        <v>15</v>
      </c>
      <c r="H144" s="13">
        <v>3</v>
      </c>
      <c r="I144" s="13">
        <v>45</v>
      </c>
      <c r="J144" s="14" t="s">
        <v>26</v>
      </c>
      <c r="O144" s="51"/>
      <c r="R144" s="13">
        <v>1855</v>
      </c>
      <c r="T144" s="51"/>
      <c r="AA144" s="13">
        <v>300</v>
      </c>
    </row>
    <row r="145" spans="1:27" x14ac:dyDescent="0.3">
      <c r="A145" s="12" t="s">
        <v>213</v>
      </c>
      <c r="B145" s="19">
        <v>42134</v>
      </c>
      <c r="C145" s="13" t="s">
        <v>20</v>
      </c>
      <c r="D145" s="13" t="s">
        <v>12</v>
      </c>
      <c r="E145" s="13" t="s">
        <v>17</v>
      </c>
      <c r="F145" s="13" t="s">
        <v>29</v>
      </c>
      <c r="G145" s="13">
        <v>46</v>
      </c>
      <c r="H145" s="13">
        <v>36</v>
      </c>
      <c r="I145" s="13">
        <v>1656</v>
      </c>
      <c r="J145" s="14" t="s">
        <v>26</v>
      </c>
      <c r="O145" s="51"/>
      <c r="R145" s="13">
        <v>800</v>
      </c>
      <c r="T145" s="51"/>
      <c r="AA145" s="13">
        <v>299.25</v>
      </c>
    </row>
    <row r="146" spans="1:27" x14ac:dyDescent="0.3">
      <c r="A146" s="12" t="s">
        <v>214</v>
      </c>
      <c r="B146" s="19">
        <v>42134</v>
      </c>
      <c r="C146" s="13" t="s">
        <v>20</v>
      </c>
      <c r="D146" s="13" t="s">
        <v>12</v>
      </c>
      <c r="E146" s="13" t="s">
        <v>21</v>
      </c>
      <c r="F146" s="13" t="s">
        <v>97</v>
      </c>
      <c r="G146" s="13">
        <v>13</v>
      </c>
      <c r="H146" s="13">
        <v>28</v>
      </c>
      <c r="I146" s="13">
        <v>364</v>
      </c>
      <c r="J146" s="14" t="s">
        <v>26</v>
      </c>
      <c r="O146" s="51"/>
      <c r="R146" s="13">
        <v>756</v>
      </c>
      <c r="T146" s="51"/>
      <c r="AA146" s="13">
        <v>466.79999999999995</v>
      </c>
    </row>
    <row r="147" spans="1:27" x14ac:dyDescent="0.3">
      <c r="A147" s="12" t="s">
        <v>215</v>
      </c>
      <c r="B147" s="19">
        <v>42134</v>
      </c>
      <c r="C147" s="13" t="s">
        <v>11</v>
      </c>
      <c r="D147" s="13" t="s">
        <v>12</v>
      </c>
      <c r="E147" s="13" t="s">
        <v>51</v>
      </c>
      <c r="F147" s="13" t="s">
        <v>81</v>
      </c>
      <c r="G147" s="13">
        <v>45.6</v>
      </c>
      <c r="H147" s="13">
        <v>8</v>
      </c>
      <c r="I147" s="13">
        <v>364.8</v>
      </c>
      <c r="J147" s="14" t="s">
        <v>26</v>
      </c>
      <c r="O147" s="51"/>
      <c r="R147" s="13">
        <v>250</v>
      </c>
      <c r="T147" s="51"/>
      <c r="AA147" s="13">
        <v>1856.8500000000001</v>
      </c>
    </row>
    <row r="148" spans="1:27" x14ac:dyDescent="0.3">
      <c r="A148" s="12" t="s">
        <v>216</v>
      </c>
      <c r="B148" s="19">
        <v>42189</v>
      </c>
      <c r="C148" s="13" t="s">
        <v>31</v>
      </c>
      <c r="D148" s="13" t="s">
        <v>24</v>
      </c>
      <c r="E148" s="13" t="s">
        <v>13</v>
      </c>
      <c r="F148" s="13" t="s">
        <v>113</v>
      </c>
      <c r="G148" s="13">
        <v>2.5</v>
      </c>
      <c r="H148" s="13">
        <v>10</v>
      </c>
      <c r="I148" s="13">
        <v>25</v>
      </c>
      <c r="J148" s="14" t="s">
        <v>15</v>
      </c>
      <c r="O148" s="51"/>
      <c r="R148" s="13">
        <v>491.99999999999994</v>
      </c>
      <c r="T148" s="51"/>
      <c r="AA148" s="13">
        <v>427</v>
      </c>
    </row>
    <row r="149" spans="1:27" x14ac:dyDescent="0.3">
      <c r="A149" s="12" t="s">
        <v>210</v>
      </c>
      <c r="B149" s="19">
        <v>42215</v>
      </c>
      <c r="C149" s="13" t="s">
        <v>20</v>
      </c>
      <c r="D149" s="13" t="s">
        <v>12</v>
      </c>
      <c r="E149" s="13" t="s">
        <v>17</v>
      </c>
      <c r="F149" s="13" t="s">
        <v>18</v>
      </c>
      <c r="G149" s="13">
        <v>19</v>
      </c>
      <c r="H149" s="13">
        <v>10</v>
      </c>
      <c r="I149" s="13">
        <v>190</v>
      </c>
      <c r="J149" s="14" t="s">
        <v>15</v>
      </c>
      <c r="O149" s="51"/>
      <c r="R149" s="13">
        <v>156</v>
      </c>
      <c r="T149" s="51"/>
      <c r="AA149" s="13">
        <v>300</v>
      </c>
    </row>
    <row r="150" spans="1:27" x14ac:dyDescent="0.3">
      <c r="A150" s="12" t="s">
        <v>217</v>
      </c>
      <c r="B150" s="19">
        <v>42212</v>
      </c>
      <c r="C150" s="13" t="s">
        <v>11</v>
      </c>
      <c r="D150" s="13" t="s">
        <v>12</v>
      </c>
      <c r="E150" s="13" t="s">
        <v>51</v>
      </c>
      <c r="F150" s="13" t="s">
        <v>59</v>
      </c>
      <c r="G150" s="13">
        <v>97</v>
      </c>
      <c r="H150" s="13">
        <v>20</v>
      </c>
      <c r="I150" s="13">
        <v>1940</v>
      </c>
      <c r="J150" s="14" t="s">
        <v>15</v>
      </c>
      <c r="O150" s="51"/>
      <c r="R150" s="13">
        <v>360</v>
      </c>
      <c r="T150" s="51"/>
      <c r="AA150" s="13">
        <v>1620</v>
      </c>
    </row>
    <row r="151" spans="1:27" x14ac:dyDescent="0.3">
      <c r="A151" s="12" t="s">
        <v>218</v>
      </c>
      <c r="B151" s="19">
        <v>42220</v>
      </c>
      <c r="C151" s="13" t="s">
        <v>31</v>
      </c>
      <c r="D151" s="13" t="s">
        <v>12</v>
      </c>
      <c r="E151" s="13" t="s">
        <v>34</v>
      </c>
      <c r="F151" s="13" t="s">
        <v>64</v>
      </c>
      <c r="G151" s="13">
        <v>9.65</v>
      </c>
      <c r="H151" s="13">
        <v>4</v>
      </c>
      <c r="I151" s="13">
        <v>38.6</v>
      </c>
      <c r="J151" s="14" t="s">
        <v>26</v>
      </c>
      <c r="O151" s="51"/>
      <c r="R151" s="13">
        <v>200</v>
      </c>
      <c r="T151" s="51"/>
      <c r="AA151" s="13">
        <v>300</v>
      </c>
    </row>
    <row r="152" spans="1:27" x14ac:dyDescent="0.3">
      <c r="A152" s="12" t="s">
        <v>219</v>
      </c>
      <c r="B152" s="19">
        <v>42210</v>
      </c>
      <c r="C152" s="13" t="s">
        <v>11</v>
      </c>
      <c r="D152" s="13" t="s">
        <v>12</v>
      </c>
      <c r="E152" s="13" t="s">
        <v>13</v>
      </c>
      <c r="F152" s="13" t="s">
        <v>124</v>
      </c>
      <c r="G152" s="13">
        <v>21.5</v>
      </c>
      <c r="H152" s="13">
        <v>9</v>
      </c>
      <c r="I152" s="13">
        <v>193.5</v>
      </c>
      <c r="J152" s="14" t="s">
        <v>15</v>
      </c>
      <c r="O152" s="51"/>
      <c r="R152" s="13">
        <v>155.34</v>
      </c>
      <c r="T152" s="51"/>
      <c r="AA152" s="13">
        <v>631.5</v>
      </c>
    </row>
    <row r="153" spans="1:27" x14ac:dyDescent="0.3">
      <c r="A153" s="12" t="s">
        <v>220</v>
      </c>
      <c r="B153" s="19">
        <v>42215</v>
      </c>
      <c r="C153" s="13" t="s">
        <v>28</v>
      </c>
      <c r="D153" s="13" t="s">
        <v>24</v>
      </c>
      <c r="E153" s="13" t="s">
        <v>34</v>
      </c>
      <c r="F153" s="13" t="s">
        <v>64</v>
      </c>
      <c r="G153" s="13">
        <v>53</v>
      </c>
      <c r="H153" s="13">
        <v>7</v>
      </c>
      <c r="I153" s="13">
        <v>371</v>
      </c>
      <c r="J153" s="14" t="s">
        <v>26</v>
      </c>
      <c r="O153" s="51"/>
      <c r="R153" s="13">
        <v>180</v>
      </c>
      <c r="T153" s="51"/>
      <c r="AA153" s="13">
        <v>736</v>
      </c>
    </row>
    <row r="154" spans="1:27" x14ac:dyDescent="0.3">
      <c r="A154" s="12" t="s">
        <v>221</v>
      </c>
      <c r="B154" s="19">
        <v>42217</v>
      </c>
      <c r="C154" s="13" t="s">
        <v>20</v>
      </c>
      <c r="D154" s="13" t="s">
        <v>12</v>
      </c>
      <c r="E154" s="13" t="s">
        <v>34</v>
      </c>
      <c r="F154" s="13" t="s">
        <v>77</v>
      </c>
      <c r="G154" s="13">
        <v>31.23</v>
      </c>
      <c r="H154" s="13">
        <v>30</v>
      </c>
      <c r="I154" s="13">
        <v>936.9</v>
      </c>
      <c r="J154" s="14" t="s">
        <v>26</v>
      </c>
      <c r="O154" s="51"/>
      <c r="R154" s="13">
        <v>280</v>
      </c>
      <c r="T154" s="51"/>
      <c r="AA154" s="13">
        <v>187.5</v>
      </c>
    </row>
    <row r="155" spans="1:27" x14ac:dyDescent="0.3">
      <c r="A155" s="12" t="s">
        <v>222</v>
      </c>
      <c r="B155" s="19">
        <v>42208</v>
      </c>
      <c r="C155" s="13" t="s">
        <v>11</v>
      </c>
      <c r="D155" s="13" t="s">
        <v>24</v>
      </c>
      <c r="E155" s="13" t="s">
        <v>34</v>
      </c>
      <c r="F155" s="13" t="s">
        <v>77</v>
      </c>
      <c r="G155" s="13">
        <v>31.23</v>
      </c>
      <c r="H155" s="13">
        <v>6</v>
      </c>
      <c r="I155" s="13">
        <v>187.38</v>
      </c>
      <c r="J155" s="14" t="s">
        <v>26</v>
      </c>
      <c r="O155" s="51"/>
      <c r="R155" s="13">
        <v>698</v>
      </c>
      <c r="T155" s="51"/>
      <c r="AA155" s="13">
        <v>328</v>
      </c>
    </row>
    <row r="156" spans="1:27" x14ac:dyDescent="0.3">
      <c r="A156" s="12" t="s">
        <v>223</v>
      </c>
      <c r="B156" s="19">
        <v>42194</v>
      </c>
      <c r="C156" s="13" t="s">
        <v>28</v>
      </c>
      <c r="D156" s="13" t="s">
        <v>45</v>
      </c>
      <c r="E156" s="13" t="s">
        <v>21</v>
      </c>
      <c r="F156" s="13" t="s">
        <v>111</v>
      </c>
      <c r="G156" s="13">
        <v>22</v>
      </c>
      <c r="H156" s="13">
        <v>25</v>
      </c>
      <c r="I156" s="13">
        <v>550</v>
      </c>
      <c r="J156" s="14" t="s">
        <v>15</v>
      </c>
      <c r="O156" s="51"/>
      <c r="R156" s="13">
        <v>300</v>
      </c>
      <c r="T156" s="51"/>
      <c r="AA156" s="13">
        <v>258.89999999999998</v>
      </c>
    </row>
    <row r="157" spans="1:27" x14ac:dyDescent="0.3">
      <c r="A157" s="12" t="s">
        <v>224</v>
      </c>
      <c r="B157" s="19">
        <v>42195</v>
      </c>
      <c r="C157" s="13" t="s">
        <v>28</v>
      </c>
      <c r="D157" s="13" t="s">
        <v>12</v>
      </c>
      <c r="E157" s="13" t="s">
        <v>13</v>
      </c>
      <c r="F157" s="13" t="s">
        <v>41</v>
      </c>
      <c r="G157" s="13">
        <v>34</v>
      </c>
      <c r="H157" s="13">
        <v>15</v>
      </c>
      <c r="I157" s="13">
        <v>510</v>
      </c>
      <c r="J157" s="14" t="s">
        <v>26</v>
      </c>
      <c r="O157" s="51"/>
      <c r="R157" s="13">
        <v>299.25</v>
      </c>
      <c r="T157" s="51"/>
      <c r="AA157" s="13">
        <v>450</v>
      </c>
    </row>
    <row r="158" spans="1:27" x14ac:dyDescent="0.3">
      <c r="A158" s="12" t="s">
        <v>225</v>
      </c>
      <c r="B158" s="19">
        <v>42208</v>
      </c>
      <c r="C158" s="13" t="s">
        <v>11</v>
      </c>
      <c r="D158" s="13" t="s">
        <v>45</v>
      </c>
      <c r="E158" s="13" t="s">
        <v>34</v>
      </c>
      <c r="F158" s="13" t="s">
        <v>64</v>
      </c>
      <c r="G158" s="13">
        <v>12</v>
      </c>
      <c r="H158" s="13">
        <v>28</v>
      </c>
      <c r="I158" s="13">
        <v>336</v>
      </c>
      <c r="J158" s="14" t="s">
        <v>26</v>
      </c>
      <c r="O158" s="51"/>
      <c r="R158" s="13">
        <v>466.79999999999995</v>
      </c>
      <c r="T158" s="51"/>
      <c r="AA158" s="13">
        <v>196</v>
      </c>
    </row>
    <row r="159" spans="1:27" x14ac:dyDescent="0.3">
      <c r="A159" s="12" t="s">
        <v>226</v>
      </c>
      <c r="B159" s="19">
        <v>42216</v>
      </c>
      <c r="C159" s="13" t="s">
        <v>28</v>
      </c>
      <c r="D159" s="13" t="s">
        <v>12</v>
      </c>
      <c r="E159" s="13" t="s">
        <v>13</v>
      </c>
      <c r="F159" s="13" t="s">
        <v>14</v>
      </c>
      <c r="G159" s="13">
        <v>62.5</v>
      </c>
      <c r="H159" s="13">
        <v>4</v>
      </c>
      <c r="I159" s="13">
        <v>250</v>
      </c>
      <c r="J159" s="14" t="s">
        <v>26</v>
      </c>
      <c r="O159" s="51"/>
      <c r="R159" s="13">
        <v>1856.8500000000001</v>
      </c>
      <c r="T159" s="51"/>
      <c r="AA159" s="13">
        <v>193</v>
      </c>
    </row>
    <row r="160" spans="1:27" x14ac:dyDescent="0.3">
      <c r="A160" s="12" t="s">
        <v>227</v>
      </c>
      <c r="B160" s="19">
        <v>42193</v>
      </c>
      <c r="C160" s="13" t="s">
        <v>11</v>
      </c>
      <c r="D160" s="13" t="s">
        <v>12</v>
      </c>
      <c r="E160" s="13" t="s">
        <v>34</v>
      </c>
      <c r="F160" s="13" t="s">
        <v>77</v>
      </c>
      <c r="G160" s="13">
        <v>31.23</v>
      </c>
      <c r="H160" s="13">
        <v>6</v>
      </c>
      <c r="I160" s="13">
        <v>187.38</v>
      </c>
      <c r="J160" s="14" t="s">
        <v>15</v>
      </c>
      <c r="O160" s="51"/>
      <c r="R160" s="13">
        <v>427</v>
      </c>
      <c r="T160" s="51"/>
      <c r="AA160" s="13">
        <v>180</v>
      </c>
    </row>
    <row r="161" spans="1:27" x14ac:dyDescent="0.3">
      <c r="A161" s="12" t="s">
        <v>228</v>
      </c>
      <c r="B161" s="19">
        <v>42199</v>
      </c>
      <c r="C161" s="13" t="s">
        <v>31</v>
      </c>
      <c r="D161" s="13" t="s">
        <v>45</v>
      </c>
      <c r="E161" s="13" t="s">
        <v>13</v>
      </c>
      <c r="F161" s="13" t="s">
        <v>41</v>
      </c>
      <c r="G161" s="13">
        <v>34</v>
      </c>
      <c r="H161" s="13">
        <v>15</v>
      </c>
      <c r="I161" s="13">
        <v>510</v>
      </c>
      <c r="J161" s="14" t="s">
        <v>26</v>
      </c>
      <c r="O161" s="51"/>
      <c r="R161" s="13">
        <v>300</v>
      </c>
      <c r="T161" s="51"/>
      <c r="AA161" s="13">
        <v>387.5</v>
      </c>
    </row>
    <row r="162" spans="1:27" x14ac:dyDescent="0.3">
      <c r="A162" s="12" t="s">
        <v>229</v>
      </c>
      <c r="B162" s="19">
        <v>42200</v>
      </c>
      <c r="C162" s="13" t="s">
        <v>11</v>
      </c>
      <c r="D162" s="13" t="s">
        <v>12</v>
      </c>
      <c r="E162" s="13" t="s">
        <v>17</v>
      </c>
      <c r="F162" s="13" t="s">
        <v>25</v>
      </c>
      <c r="G162" s="13">
        <v>7.75</v>
      </c>
      <c r="H162" s="13">
        <v>42</v>
      </c>
      <c r="I162" s="13">
        <v>325.5</v>
      </c>
      <c r="J162" s="14" t="s">
        <v>15</v>
      </c>
      <c r="O162" s="51"/>
      <c r="R162" s="13">
        <v>1620</v>
      </c>
      <c r="T162" s="51"/>
      <c r="AA162" s="13">
        <v>528</v>
      </c>
    </row>
    <row r="163" spans="1:27" x14ac:dyDescent="0.3">
      <c r="A163" s="12" t="s">
        <v>230</v>
      </c>
      <c r="B163" s="19">
        <v>42193</v>
      </c>
      <c r="C163" s="13" t="s">
        <v>11</v>
      </c>
      <c r="D163" s="13" t="s">
        <v>12</v>
      </c>
      <c r="E163" s="13" t="s">
        <v>17</v>
      </c>
      <c r="F163" s="13" t="s">
        <v>79</v>
      </c>
      <c r="G163" s="13">
        <v>18</v>
      </c>
      <c r="H163" s="13">
        <v>10</v>
      </c>
      <c r="I163" s="13">
        <v>180</v>
      </c>
      <c r="J163" s="14" t="s">
        <v>15</v>
      </c>
      <c r="O163" s="51"/>
      <c r="R163" s="13">
        <v>300</v>
      </c>
      <c r="T163" s="51"/>
      <c r="AA163" s="13">
        <v>312</v>
      </c>
    </row>
    <row r="164" spans="1:27" x14ac:dyDescent="0.3">
      <c r="A164" s="12" t="s">
        <v>231</v>
      </c>
      <c r="B164" s="19">
        <v>42191</v>
      </c>
      <c r="C164" s="13" t="s">
        <v>20</v>
      </c>
      <c r="D164" s="13" t="s">
        <v>24</v>
      </c>
      <c r="E164" s="13" t="s">
        <v>21</v>
      </c>
      <c r="F164" s="13" t="s">
        <v>87</v>
      </c>
      <c r="G164" s="13">
        <v>21.05</v>
      </c>
      <c r="H164" s="13">
        <v>15</v>
      </c>
      <c r="I164" s="13">
        <v>315.75</v>
      </c>
      <c r="J164" s="14" t="s">
        <v>26</v>
      </c>
      <c r="O164" s="51"/>
      <c r="R164" s="13">
        <v>631.5</v>
      </c>
      <c r="T164" s="51"/>
      <c r="AA164" s="13">
        <v>900</v>
      </c>
    </row>
    <row r="165" spans="1:27" x14ac:dyDescent="0.3">
      <c r="A165" s="12" t="s">
        <v>232</v>
      </c>
      <c r="B165" s="19">
        <v>42191</v>
      </c>
      <c r="C165" s="13" t="s">
        <v>20</v>
      </c>
      <c r="D165" s="13" t="s">
        <v>12</v>
      </c>
      <c r="E165" s="13" t="s">
        <v>17</v>
      </c>
      <c r="F165" s="13" t="s">
        <v>54</v>
      </c>
      <c r="G165" s="13">
        <v>53</v>
      </c>
      <c r="H165" s="13">
        <v>35</v>
      </c>
      <c r="I165" s="13">
        <v>1855</v>
      </c>
      <c r="J165" s="14" t="s">
        <v>26</v>
      </c>
      <c r="O165" s="51"/>
      <c r="R165" s="13">
        <v>736</v>
      </c>
      <c r="T165" s="51"/>
      <c r="AA165" s="13">
        <v>487.5</v>
      </c>
    </row>
    <row r="166" spans="1:27" x14ac:dyDescent="0.3">
      <c r="A166" s="12" t="s">
        <v>233</v>
      </c>
      <c r="B166" s="19">
        <v>42191</v>
      </c>
      <c r="C166" s="13" t="s">
        <v>11</v>
      </c>
      <c r="D166" s="13" t="s">
        <v>12</v>
      </c>
      <c r="E166" s="13" t="s">
        <v>34</v>
      </c>
      <c r="F166" s="13" t="s">
        <v>64</v>
      </c>
      <c r="G166" s="13">
        <v>9.65</v>
      </c>
      <c r="H166" s="13">
        <v>10</v>
      </c>
      <c r="I166" s="13">
        <v>96.5</v>
      </c>
      <c r="J166" s="14" t="s">
        <v>26</v>
      </c>
      <c r="O166" s="51"/>
      <c r="R166" s="13">
        <v>187.5</v>
      </c>
      <c r="T166" s="51"/>
      <c r="AA166" s="13">
        <v>2720</v>
      </c>
    </row>
    <row r="167" spans="1:27" x14ac:dyDescent="0.3">
      <c r="A167" s="12" t="s">
        <v>234</v>
      </c>
      <c r="B167" s="19">
        <v>42193</v>
      </c>
      <c r="C167" s="13" t="s">
        <v>31</v>
      </c>
      <c r="D167" s="13" t="s">
        <v>24</v>
      </c>
      <c r="E167" s="13" t="s">
        <v>34</v>
      </c>
      <c r="F167" s="13" t="s">
        <v>75</v>
      </c>
      <c r="G167" s="13">
        <v>20</v>
      </c>
      <c r="H167" s="13">
        <v>40</v>
      </c>
      <c r="I167" s="13">
        <v>800</v>
      </c>
      <c r="J167" s="14" t="s">
        <v>26</v>
      </c>
      <c r="O167" s="51"/>
      <c r="R167" s="13">
        <v>328</v>
      </c>
      <c r="T167" s="51"/>
      <c r="AA167" s="13">
        <v>875</v>
      </c>
    </row>
    <row r="168" spans="1:27" x14ac:dyDescent="0.3">
      <c r="A168" s="12" t="s">
        <v>235</v>
      </c>
      <c r="B168" s="19">
        <v>42193</v>
      </c>
      <c r="C168" s="13" t="s">
        <v>28</v>
      </c>
      <c r="D168" s="13" t="s">
        <v>12</v>
      </c>
      <c r="E168" s="13" t="s">
        <v>17</v>
      </c>
      <c r="F168" s="13" t="s">
        <v>37</v>
      </c>
      <c r="G168" s="13">
        <v>18</v>
      </c>
      <c r="H168" s="13">
        <v>42</v>
      </c>
      <c r="I168" s="13">
        <v>756</v>
      </c>
      <c r="J168" s="14" t="s">
        <v>26</v>
      </c>
      <c r="O168" s="51"/>
      <c r="R168" s="13">
        <v>258.89999999999998</v>
      </c>
      <c r="T168" s="51"/>
      <c r="AA168" s="13">
        <v>977.19999999999993</v>
      </c>
    </row>
    <row r="169" spans="1:27" x14ac:dyDescent="0.3">
      <c r="A169" s="12" t="s">
        <v>236</v>
      </c>
      <c r="B169" s="19">
        <v>42193</v>
      </c>
      <c r="C169" s="13" t="s">
        <v>31</v>
      </c>
      <c r="D169" s="13" t="s">
        <v>12</v>
      </c>
      <c r="E169" s="13" t="s">
        <v>13</v>
      </c>
      <c r="F169" s="13" t="s">
        <v>99</v>
      </c>
      <c r="G169" s="13">
        <v>12.5</v>
      </c>
      <c r="H169" s="13">
        <v>20</v>
      </c>
      <c r="I169" s="13">
        <v>250</v>
      </c>
      <c r="J169" s="14" t="s">
        <v>26</v>
      </c>
      <c r="O169" s="51"/>
      <c r="R169" s="13">
        <v>450</v>
      </c>
      <c r="T169" s="51"/>
      <c r="AA169" s="13">
        <v>1080</v>
      </c>
    </row>
    <row r="170" spans="1:27" x14ac:dyDescent="0.3">
      <c r="A170" s="12" t="s">
        <v>237</v>
      </c>
      <c r="B170" s="19">
        <v>42198</v>
      </c>
      <c r="C170" s="13" t="s">
        <v>11</v>
      </c>
      <c r="D170" s="13" t="s">
        <v>12</v>
      </c>
      <c r="E170" s="13" t="s">
        <v>51</v>
      </c>
      <c r="F170" s="13" t="s">
        <v>138</v>
      </c>
      <c r="G170" s="13">
        <v>32.799999999999997</v>
      </c>
      <c r="H170" s="13">
        <v>15</v>
      </c>
      <c r="I170" s="13">
        <v>491.99999999999994</v>
      </c>
      <c r="J170" s="14" t="s">
        <v>26</v>
      </c>
      <c r="O170" s="51"/>
      <c r="R170" s="13">
        <v>196</v>
      </c>
      <c r="T170" s="51"/>
      <c r="AA170" s="13">
        <v>10540</v>
      </c>
    </row>
    <row r="171" spans="1:27" x14ac:dyDescent="0.3">
      <c r="A171" s="12" t="s">
        <v>238</v>
      </c>
      <c r="B171" s="19">
        <v>42198</v>
      </c>
      <c r="C171" s="13" t="s">
        <v>20</v>
      </c>
      <c r="D171" s="13" t="s">
        <v>12</v>
      </c>
      <c r="E171" s="13" t="s">
        <v>21</v>
      </c>
      <c r="F171" s="13" t="s">
        <v>97</v>
      </c>
      <c r="G171" s="13">
        <v>13</v>
      </c>
      <c r="H171" s="13">
        <v>12</v>
      </c>
      <c r="I171" s="13">
        <v>156</v>
      </c>
      <c r="J171" s="14" t="s">
        <v>26</v>
      </c>
      <c r="O171" s="51"/>
      <c r="R171" s="13">
        <v>193</v>
      </c>
      <c r="T171" s="51"/>
      <c r="AA171" s="13">
        <v>2380</v>
      </c>
    </row>
    <row r="172" spans="1:27" x14ac:dyDescent="0.3">
      <c r="A172" s="12" t="s">
        <v>239</v>
      </c>
      <c r="B172" s="19">
        <v>42202</v>
      </c>
      <c r="C172" s="13" t="s">
        <v>28</v>
      </c>
      <c r="D172" s="13" t="s">
        <v>12</v>
      </c>
      <c r="E172" s="13" t="s">
        <v>17</v>
      </c>
      <c r="F172" s="13" t="s">
        <v>72</v>
      </c>
      <c r="G172" s="13">
        <v>18</v>
      </c>
      <c r="H172" s="13">
        <v>20</v>
      </c>
      <c r="I172" s="13">
        <v>360</v>
      </c>
      <c r="J172" s="14" t="s">
        <v>26</v>
      </c>
      <c r="O172" s="51"/>
      <c r="R172" s="13">
        <v>180</v>
      </c>
      <c r="T172" s="51"/>
      <c r="AA172" s="13">
        <v>1461.6</v>
      </c>
    </row>
    <row r="173" spans="1:27" x14ac:dyDescent="0.3">
      <c r="A173" s="12" t="s">
        <v>240</v>
      </c>
      <c r="B173" s="19">
        <v>42202</v>
      </c>
      <c r="C173" s="13" t="s">
        <v>28</v>
      </c>
      <c r="D173" s="13" t="s">
        <v>12</v>
      </c>
      <c r="E173" s="13" t="s">
        <v>34</v>
      </c>
      <c r="F173" s="13" t="s">
        <v>241</v>
      </c>
      <c r="G173" s="13">
        <v>10</v>
      </c>
      <c r="H173" s="13">
        <v>20</v>
      </c>
      <c r="I173" s="13">
        <v>200</v>
      </c>
      <c r="J173" s="14" t="s">
        <v>26</v>
      </c>
      <c r="O173" s="51"/>
      <c r="R173" s="13">
        <v>387.5</v>
      </c>
      <c r="T173" s="51"/>
      <c r="AA173" s="13">
        <v>972</v>
      </c>
    </row>
    <row r="174" spans="1:27" x14ac:dyDescent="0.3">
      <c r="A174" s="12" t="s">
        <v>242</v>
      </c>
      <c r="B174" s="19">
        <v>42228</v>
      </c>
      <c r="C174" s="13" t="s">
        <v>31</v>
      </c>
      <c r="D174" s="13" t="s">
        <v>85</v>
      </c>
      <c r="E174" s="13" t="s">
        <v>17</v>
      </c>
      <c r="F174" s="13" t="s">
        <v>128</v>
      </c>
      <c r="G174" s="13">
        <v>4.5</v>
      </c>
      <c r="H174" s="13">
        <v>6</v>
      </c>
      <c r="I174" s="13">
        <v>27</v>
      </c>
      <c r="J174" s="14" t="s">
        <v>15</v>
      </c>
      <c r="O174" s="51"/>
      <c r="R174" s="13">
        <v>528</v>
      </c>
      <c r="T174" s="51"/>
      <c r="AA174" s="13">
        <v>360</v>
      </c>
    </row>
    <row r="175" spans="1:27" x14ac:dyDescent="0.3">
      <c r="A175" s="12" t="s">
        <v>243</v>
      </c>
      <c r="B175" s="19">
        <v>42228</v>
      </c>
      <c r="C175" s="13" t="s">
        <v>31</v>
      </c>
      <c r="D175" s="13" t="s">
        <v>85</v>
      </c>
      <c r="E175" s="13" t="s">
        <v>17</v>
      </c>
      <c r="F175" s="13" t="s">
        <v>72</v>
      </c>
      <c r="G175" s="13">
        <v>18</v>
      </c>
      <c r="H175" s="13">
        <v>4</v>
      </c>
      <c r="I175" s="13">
        <v>72</v>
      </c>
      <c r="J175" s="14" t="s">
        <v>15</v>
      </c>
      <c r="O175" s="51"/>
      <c r="R175" s="13">
        <v>312</v>
      </c>
      <c r="T175" s="51"/>
      <c r="AA175" s="13">
        <v>912</v>
      </c>
    </row>
    <row r="176" spans="1:27" x14ac:dyDescent="0.3">
      <c r="A176" s="12" t="s">
        <v>244</v>
      </c>
      <c r="B176" s="19">
        <v>42228</v>
      </c>
      <c r="C176" s="13" t="s">
        <v>28</v>
      </c>
      <c r="D176" s="13" t="s">
        <v>85</v>
      </c>
      <c r="E176" s="13" t="s">
        <v>34</v>
      </c>
      <c r="F176" s="13" t="s">
        <v>188</v>
      </c>
      <c r="G176" s="13">
        <v>9.1999999999999993</v>
      </c>
      <c r="H176" s="13">
        <v>1</v>
      </c>
      <c r="I176" s="13">
        <v>9.1999999999999993</v>
      </c>
      <c r="J176" s="14" t="s">
        <v>15</v>
      </c>
      <c r="O176" s="51"/>
      <c r="R176" s="13">
        <v>900</v>
      </c>
      <c r="T176" s="51"/>
      <c r="AA176" s="13">
        <v>421</v>
      </c>
    </row>
    <row r="177" spans="1:27" x14ac:dyDescent="0.3">
      <c r="A177" s="12" t="s">
        <v>245</v>
      </c>
      <c r="B177" s="19">
        <v>42229</v>
      </c>
      <c r="C177" s="13" t="s">
        <v>28</v>
      </c>
      <c r="D177" s="13" t="s">
        <v>85</v>
      </c>
      <c r="E177" s="13" t="s">
        <v>13</v>
      </c>
      <c r="F177" s="13" t="s">
        <v>14</v>
      </c>
      <c r="G177" s="13">
        <v>19.5</v>
      </c>
      <c r="H177" s="13">
        <v>2</v>
      </c>
      <c r="I177" s="13">
        <v>39</v>
      </c>
      <c r="J177" s="14" t="s">
        <v>15</v>
      </c>
      <c r="O177" s="51"/>
      <c r="R177" s="13">
        <v>487.5</v>
      </c>
      <c r="T177" s="51"/>
      <c r="AA177" s="13">
        <v>702.4</v>
      </c>
    </row>
    <row r="178" spans="1:27" x14ac:dyDescent="0.3">
      <c r="A178" s="12" t="s">
        <v>246</v>
      </c>
      <c r="B178" s="19">
        <v>42229</v>
      </c>
      <c r="C178" s="13" t="s">
        <v>20</v>
      </c>
      <c r="D178" s="13" t="s">
        <v>85</v>
      </c>
      <c r="E178" s="13" t="s">
        <v>51</v>
      </c>
      <c r="F178" s="13" t="s">
        <v>81</v>
      </c>
      <c r="G178" s="13">
        <v>25.89</v>
      </c>
      <c r="H178" s="13">
        <v>6</v>
      </c>
      <c r="I178" s="13">
        <v>155.34</v>
      </c>
      <c r="J178" s="14" t="s">
        <v>15</v>
      </c>
      <c r="O178" s="51"/>
      <c r="R178" s="13">
        <v>2720</v>
      </c>
      <c r="T178" s="51"/>
      <c r="AA178" s="13">
        <v>760</v>
      </c>
    </row>
    <row r="179" spans="1:27" x14ac:dyDescent="0.3">
      <c r="A179" s="12" t="s">
        <v>247</v>
      </c>
      <c r="B179" s="19">
        <v>42236</v>
      </c>
      <c r="C179" s="13" t="s">
        <v>20</v>
      </c>
      <c r="D179" s="13" t="s">
        <v>24</v>
      </c>
      <c r="E179" s="13" t="s">
        <v>13</v>
      </c>
      <c r="F179" s="13" t="s">
        <v>14</v>
      </c>
      <c r="G179" s="13">
        <v>12</v>
      </c>
      <c r="H179" s="13">
        <v>15</v>
      </c>
      <c r="I179" s="13">
        <v>180</v>
      </c>
      <c r="J179" s="14" t="s">
        <v>26</v>
      </c>
      <c r="O179" s="51"/>
      <c r="R179" s="13">
        <v>875</v>
      </c>
      <c r="T179" s="51"/>
      <c r="AA179" s="13">
        <v>243.75</v>
      </c>
    </row>
    <row r="180" spans="1:27" x14ac:dyDescent="0.3">
      <c r="A180" s="12" t="s">
        <v>248</v>
      </c>
      <c r="B180" s="19">
        <v>42236</v>
      </c>
      <c r="C180" s="13" t="s">
        <v>31</v>
      </c>
      <c r="D180" s="13" t="s">
        <v>12</v>
      </c>
      <c r="E180" s="13" t="s">
        <v>17</v>
      </c>
      <c r="F180" s="13" t="s">
        <v>144</v>
      </c>
      <c r="G180" s="13">
        <v>14</v>
      </c>
      <c r="H180" s="13">
        <v>20</v>
      </c>
      <c r="I180" s="13">
        <v>280</v>
      </c>
      <c r="J180" s="14" t="s">
        <v>26</v>
      </c>
      <c r="O180" s="51"/>
      <c r="R180" s="13">
        <v>977.19999999999993</v>
      </c>
      <c r="T180" s="51"/>
      <c r="AA180" s="13">
        <v>1312</v>
      </c>
    </row>
    <row r="181" spans="1:27" x14ac:dyDescent="0.3">
      <c r="A181" s="12" t="s">
        <v>249</v>
      </c>
      <c r="B181" s="19">
        <v>42236</v>
      </c>
      <c r="C181" s="13" t="s">
        <v>28</v>
      </c>
      <c r="D181" s="13" t="s">
        <v>12</v>
      </c>
      <c r="E181" s="13" t="s">
        <v>34</v>
      </c>
      <c r="F181" s="13" t="s">
        <v>94</v>
      </c>
      <c r="G181" s="13">
        <v>17.45</v>
      </c>
      <c r="H181" s="13">
        <v>40</v>
      </c>
      <c r="I181" s="13">
        <v>698</v>
      </c>
      <c r="J181" s="14" t="s">
        <v>26</v>
      </c>
      <c r="O181" s="51"/>
      <c r="R181" s="13">
        <v>1080</v>
      </c>
      <c r="T181" s="51"/>
      <c r="AA181" s="13">
        <v>630</v>
      </c>
    </row>
    <row r="182" spans="1:27" x14ac:dyDescent="0.3">
      <c r="A182" s="12" t="s">
        <v>250</v>
      </c>
      <c r="B182" s="19">
        <v>42240</v>
      </c>
      <c r="C182" s="13" t="s">
        <v>28</v>
      </c>
      <c r="D182" s="13" t="s">
        <v>45</v>
      </c>
      <c r="E182" s="13" t="s">
        <v>21</v>
      </c>
      <c r="F182" s="13" t="s">
        <v>251</v>
      </c>
      <c r="G182" s="13">
        <v>10</v>
      </c>
      <c r="H182" s="13">
        <v>30</v>
      </c>
      <c r="I182" s="13">
        <v>300</v>
      </c>
      <c r="J182" s="14" t="s">
        <v>26</v>
      </c>
      <c r="O182" s="51"/>
      <c r="R182" s="13">
        <v>10540</v>
      </c>
      <c r="T182" s="51"/>
      <c r="AA182" s="13">
        <v>2599.59</v>
      </c>
    </row>
    <row r="183" spans="1:27" x14ac:dyDescent="0.3">
      <c r="A183" s="12" t="s">
        <v>252</v>
      </c>
      <c r="B183" s="19">
        <v>42240</v>
      </c>
      <c r="C183" s="13" t="s">
        <v>28</v>
      </c>
      <c r="D183" s="13" t="s">
        <v>45</v>
      </c>
      <c r="E183" s="13" t="s">
        <v>34</v>
      </c>
      <c r="F183" s="13" t="s">
        <v>64</v>
      </c>
      <c r="G183" s="13">
        <v>33.25</v>
      </c>
      <c r="H183" s="13">
        <v>9</v>
      </c>
      <c r="I183" s="13">
        <v>299.25</v>
      </c>
      <c r="J183" s="14" t="s">
        <v>26</v>
      </c>
      <c r="O183" s="51"/>
      <c r="R183" s="13">
        <v>2380</v>
      </c>
      <c r="T183" s="51"/>
      <c r="AA183" s="13">
        <v>600</v>
      </c>
    </row>
    <row r="184" spans="1:27" x14ac:dyDescent="0.3">
      <c r="A184" s="12" t="s">
        <v>253</v>
      </c>
      <c r="B184" s="19">
        <v>42241</v>
      </c>
      <c r="C184" s="13" t="s">
        <v>28</v>
      </c>
      <c r="D184" s="13" t="s">
        <v>12</v>
      </c>
      <c r="E184" s="13" t="s">
        <v>21</v>
      </c>
      <c r="F184" s="13" t="s">
        <v>197</v>
      </c>
      <c r="G184" s="13">
        <v>19.45</v>
      </c>
      <c r="H184" s="13">
        <v>24</v>
      </c>
      <c r="I184" s="13">
        <v>466.79999999999995</v>
      </c>
      <c r="J184" s="14" t="s">
        <v>26</v>
      </c>
      <c r="O184" s="51"/>
      <c r="R184" s="13">
        <v>1461.6</v>
      </c>
      <c r="T184" s="51"/>
      <c r="AA184" s="13">
        <v>1915.2</v>
      </c>
    </row>
    <row r="185" spans="1:27" x14ac:dyDescent="0.3">
      <c r="A185" s="12" t="s">
        <v>254</v>
      </c>
      <c r="B185" s="19">
        <v>42241</v>
      </c>
      <c r="C185" s="13" t="s">
        <v>20</v>
      </c>
      <c r="D185" s="13" t="s">
        <v>12</v>
      </c>
      <c r="E185" s="13" t="s">
        <v>21</v>
      </c>
      <c r="F185" s="13" t="s">
        <v>22</v>
      </c>
      <c r="G185" s="13">
        <v>53</v>
      </c>
      <c r="H185" s="13">
        <v>2</v>
      </c>
      <c r="I185" s="13">
        <v>106</v>
      </c>
      <c r="J185" s="14" t="s">
        <v>26</v>
      </c>
      <c r="O185" s="51"/>
      <c r="R185" s="13">
        <v>972</v>
      </c>
      <c r="T185" s="51"/>
      <c r="AA185" s="13">
        <v>300</v>
      </c>
    </row>
    <row r="186" spans="1:27" x14ac:dyDescent="0.3">
      <c r="A186" s="12" t="s">
        <v>255</v>
      </c>
      <c r="B186" s="19">
        <v>42241</v>
      </c>
      <c r="C186" s="13" t="s">
        <v>28</v>
      </c>
      <c r="D186" s="13" t="s">
        <v>12</v>
      </c>
      <c r="E186" s="13" t="s">
        <v>17</v>
      </c>
      <c r="F186" s="13" t="s">
        <v>54</v>
      </c>
      <c r="G186" s="13">
        <v>6</v>
      </c>
      <c r="H186" s="13">
        <v>20</v>
      </c>
      <c r="I186" s="13">
        <v>120</v>
      </c>
      <c r="J186" s="14" t="s">
        <v>26</v>
      </c>
      <c r="O186" s="51"/>
      <c r="R186" s="13">
        <v>360</v>
      </c>
      <c r="T186" s="51"/>
      <c r="AA186" s="13">
        <v>279</v>
      </c>
    </row>
    <row r="187" spans="1:27" x14ac:dyDescent="0.3">
      <c r="A187" s="12" t="s">
        <v>256</v>
      </c>
      <c r="B187" s="19">
        <v>42241</v>
      </c>
      <c r="C187" s="13" t="s">
        <v>28</v>
      </c>
      <c r="D187" s="13" t="s">
        <v>12</v>
      </c>
      <c r="E187" s="13" t="s">
        <v>51</v>
      </c>
      <c r="F187" s="13" t="s">
        <v>52</v>
      </c>
      <c r="G187" s="13">
        <v>123.79</v>
      </c>
      <c r="H187" s="13">
        <v>15</v>
      </c>
      <c r="I187" s="13">
        <v>1856.8500000000001</v>
      </c>
      <c r="J187" s="14" t="s">
        <v>15</v>
      </c>
      <c r="O187" s="51"/>
      <c r="R187" s="13">
        <v>912</v>
      </c>
      <c r="T187" s="51"/>
      <c r="AA187" s="13">
        <v>165.6</v>
      </c>
    </row>
    <row r="188" spans="1:27" x14ac:dyDescent="0.3">
      <c r="A188" s="12" t="s">
        <v>257</v>
      </c>
      <c r="B188" s="19">
        <v>42241</v>
      </c>
      <c r="C188" s="13" t="s">
        <v>28</v>
      </c>
      <c r="D188" s="13" t="s">
        <v>12</v>
      </c>
      <c r="E188" s="13" t="s">
        <v>21</v>
      </c>
      <c r="F188" s="13" t="s">
        <v>61</v>
      </c>
      <c r="G188" s="13">
        <v>21.35</v>
      </c>
      <c r="H188" s="13">
        <v>20</v>
      </c>
      <c r="I188" s="13">
        <v>427</v>
      </c>
      <c r="J188" s="14" t="s">
        <v>15</v>
      </c>
      <c r="O188" s="51"/>
      <c r="R188" s="13">
        <v>421</v>
      </c>
      <c r="T188" s="51"/>
      <c r="AA188" s="13">
        <v>300</v>
      </c>
    </row>
    <row r="189" spans="1:27" x14ac:dyDescent="0.3">
      <c r="A189" s="12" t="s">
        <v>258</v>
      </c>
      <c r="B189" s="19">
        <v>42241</v>
      </c>
      <c r="C189" s="13" t="s">
        <v>28</v>
      </c>
      <c r="D189" s="13" t="s">
        <v>12</v>
      </c>
      <c r="E189" s="13" t="s">
        <v>21</v>
      </c>
      <c r="F189" s="13" t="s">
        <v>97</v>
      </c>
      <c r="G189" s="13">
        <v>13</v>
      </c>
      <c r="H189" s="13">
        <v>10</v>
      </c>
      <c r="I189" s="13">
        <v>130</v>
      </c>
      <c r="J189" s="14" t="s">
        <v>15</v>
      </c>
      <c r="O189" s="51"/>
      <c r="R189" s="13">
        <v>702.4</v>
      </c>
      <c r="T189" s="51"/>
      <c r="AA189" s="13">
        <v>491.99999999999994</v>
      </c>
    </row>
    <row r="190" spans="1:27" x14ac:dyDescent="0.3">
      <c r="A190" s="12" t="s">
        <v>259</v>
      </c>
      <c r="B190" s="19">
        <v>42241</v>
      </c>
      <c r="C190" s="13" t="s">
        <v>28</v>
      </c>
      <c r="D190" s="13" t="s">
        <v>12</v>
      </c>
      <c r="E190" s="13" t="s">
        <v>34</v>
      </c>
      <c r="F190" s="13" t="s">
        <v>75</v>
      </c>
      <c r="G190" s="13">
        <v>20</v>
      </c>
      <c r="H190" s="13">
        <v>15</v>
      </c>
      <c r="I190" s="13">
        <v>300</v>
      </c>
      <c r="J190" s="14" t="s">
        <v>15</v>
      </c>
      <c r="O190" s="51"/>
      <c r="R190" s="13">
        <v>760</v>
      </c>
      <c r="T190" s="51"/>
      <c r="AA190" s="13">
        <v>936.9</v>
      </c>
    </row>
    <row r="191" spans="1:27" x14ac:dyDescent="0.3">
      <c r="A191" s="12" t="s">
        <v>260</v>
      </c>
      <c r="B191" s="19">
        <v>42242</v>
      </c>
      <c r="C191" s="13" t="s">
        <v>31</v>
      </c>
      <c r="D191" s="13" t="s">
        <v>12</v>
      </c>
      <c r="E191" s="13" t="s">
        <v>34</v>
      </c>
      <c r="F191" s="13" t="s">
        <v>35</v>
      </c>
      <c r="G191" s="13">
        <v>81</v>
      </c>
      <c r="H191" s="13">
        <v>20</v>
      </c>
      <c r="I191" s="13">
        <v>1620</v>
      </c>
      <c r="J191" s="14" t="s">
        <v>26</v>
      </c>
      <c r="O191" s="51"/>
      <c r="R191" s="13">
        <v>243.75</v>
      </c>
      <c r="T191" s="51"/>
      <c r="AA191" s="13">
        <v>1100</v>
      </c>
    </row>
    <row r="192" spans="1:27" x14ac:dyDescent="0.3">
      <c r="A192" s="12" t="s">
        <v>261</v>
      </c>
      <c r="B192" s="19">
        <v>42251</v>
      </c>
      <c r="C192" s="13" t="s">
        <v>28</v>
      </c>
      <c r="D192" s="13" t="s">
        <v>12</v>
      </c>
      <c r="E192" s="13" t="s">
        <v>17</v>
      </c>
      <c r="F192" s="13" t="s">
        <v>54</v>
      </c>
      <c r="G192" s="13">
        <v>15</v>
      </c>
      <c r="H192" s="13">
        <v>20</v>
      </c>
      <c r="I192" s="13">
        <v>300</v>
      </c>
      <c r="J192" s="14" t="s">
        <v>26</v>
      </c>
      <c r="O192" s="51"/>
      <c r="R192" s="13">
        <v>1312</v>
      </c>
      <c r="T192" s="51"/>
      <c r="AA192" s="13">
        <v>175</v>
      </c>
    </row>
    <row r="193" spans="1:27" x14ac:dyDescent="0.3">
      <c r="A193" s="12" t="s">
        <v>262</v>
      </c>
      <c r="B193" s="19">
        <v>42251</v>
      </c>
      <c r="C193" s="13" t="s">
        <v>20</v>
      </c>
      <c r="D193" s="13" t="s">
        <v>12</v>
      </c>
      <c r="E193" s="13" t="s">
        <v>34</v>
      </c>
      <c r="F193" s="13" t="s">
        <v>188</v>
      </c>
      <c r="G193" s="13">
        <v>9.1999999999999993</v>
      </c>
      <c r="H193" s="13">
        <v>15</v>
      </c>
      <c r="I193" s="13">
        <v>138</v>
      </c>
      <c r="J193" s="14" t="s">
        <v>26</v>
      </c>
      <c r="O193" s="51"/>
      <c r="R193" s="13">
        <v>630</v>
      </c>
      <c r="T193" s="51"/>
      <c r="AA193" s="13">
        <v>232.75</v>
      </c>
    </row>
    <row r="194" spans="1:27" x14ac:dyDescent="0.3">
      <c r="A194" s="12" t="s">
        <v>263</v>
      </c>
      <c r="B194" s="19">
        <v>42256</v>
      </c>
      <c r="C194" s="13" t="s">
        <v>11</v>
      </c>
      <c r="D194" s="13" t="s">
        <v>85</v>
      </c>
      <c r="E194" s="13" t="s">
        <v>21</v>
      </c>
      <c r="F194" s="13" t="s">
        <v>87</v>
      </c>
      <c r="G194" s="13">
        <v>21.05</v>
      </c>
      <c r="H194" s="13">
        <v>30</v>
      </c>
      <c r="I194" s="13">
        <v>631.5</v>
      </c>
      <c r="J194" s="14" t="s">
        <v>26</v>
      </c>
      <c r="O194" s="51"/>
      <c r="R194" s="13">
        <v>2599.59</v>
      </c>
      <c r="T194" s="51"/>
      <c r="AA194" s="13">
        <v>190</v>
      </c>
    </row>
    <row r="195" spans="1:27" x14ac:dyDescent="0.3">
      <c r="A195" s="12" t="s">
        <v>264</v>
      </c>
      <c r="B195" s="19">
        <v>42256</v>
      </c>
      <c r="C195" s="13" t="s">
        <v>11</v>
      </c>
      <c r="D195" s="13" t="s">
        <v>85</v>
      </c>
      <c r="E195" s="13" t="s">
        <v>34</v>
      </c>
      <c r="F195" s="13" t="s">
        <v>64</v>
      </c>
      <c r="G195" s="13">
        <v>18.399999999999999</v>
      </c>
      <c r="H195" s="13">
        <v>40</v>
      </c>
      <c r="I195" s="13">
        <v>736</v>
      </c>
      <c r="J195" s="14" t="s">
        <v>26</v>
      </c>
      <c r="O195" s="51"/>
      <c r="R195" s="13">
        <v>600</v>
      </c>
      <c r="T195" s="51"/>
      <c r="AA195" s="13">
        <v>190</v>
      </c>
    </row>
    <row r="196" spans="1:27" x14ac:dyDescent="0.3">
      <c r="A196" s="12" t="s">
        <v>265</v>
      </c>
      <c r="B196" s="19">
        <v>42256</v>
      </c>
      <c r="C196" s="13" t="s">
        <v>31</v>
      </c>
      <c r="D196" s="13" t="s">
        <v>85</v>
      </c>
      <c r="E196" s="13" t="s">
        <v>34</v>
      </c>
      <c r="F196" s="13" t="s">
        <v>43</v>
      </c>
      <c r="G196" s="13">
        <v>12.5</v>
      </c>
      <c r="H196" s="13">
        <v>15</v>
      </c>
      <c r="I196" s="13">
        <v>187.5</v>
      </c>
      <c r="J196" s="14" t="s">
        <v>26</v>
      </c>
      <c r="O196" s="51"/>
      <c r="R196" s="13">
        <v>1915.2</v>
      </c>
      <c r="T196" s="51"/>
      <c r="AA196" s="13">
        <v>252</v>
      </c>
    </row>
    <row r="197" spans="1:27" x14ac:dyDescent="0.3">
      <c r="A197" s="12" t="s">
        <v>266</v>
      </c>
      <c r="B197" s="19">
        <v>42261</v>
      </c>
      <c r="C197" s="13" t="s">
        <v>20</v>
      </c>
      <c r="D197" s="13" t="s">
        <v>85</v>
      </c>
      <c r="E197" s="13" t="s">
        <v>51</v>
      </c>
      <c r="F197" s="13" t="s">
        <v>138</v>
      </c>
      <c r="G197" s="13">
        <v>32.799999999999997</v>
      </c>
      <c r="H197" s="13">
        <v>10</v>
      </c>
      <c r="I197" s="13">
        <v>328</v>
      </c>
      <c r="J197" s="14" t="s">
        <v>26</v>
      </c>
      <c r="O197" s="51"/>
      <c r="R197" s="13">
        <v>300</v>
      </c>
      <c r="T197" s="51"/>
      <c r="AA197" s="13">
        <v>348</v>
      </c>
    </row>
    <row r="198" spans="1:27" x14ac:dyDescent="0.3">
      <c r="A198" s="12" t="s">
        <v>267</v>
      </c>
      <c r="B198" s="19">
        <v>42261</v>
      </c>
      <c r="C198" s="13" t="s">
        <v>31</v>
      </c>
      <c r="D198" s="13" t="s">
        <v>85</v>
      </c>
      <c r="E198" s="13" t="s">
        <v>51</v>
      </c>
      <c r="F198" s="13" t="s">
        <v>268</v>
      </c>
      <c r="G198" s="13">
        <v>7.45</v>
      </c>
      <c r="H198" s="13">
        <v>5</v>
      </c>
      <c r="I198" s="13">
        <v>37.25</v>
      </c>
      <c r="J198" s="14" t="s">
        <v>26</v>
      </c>
      <c r="O198" s="51"/>
      <c r="R198" s="13">
        <v>279</v>
      </c>
      <c r="T198" s="51"/>
      <c r="AA198" s="13">
        <v>736.75</v>
      </c>
    </row>
    <row r="199" spans="1:27" x14ac:dyDescent="0.3">
      <c r="A199" s="12" t="s">
        <v>269</v>
      </c>
      <c r="B199" s="19">
        <v>42261</v>
      </c>
      <c r="C199" s="13" t="s">
        <v>20</v>
      </c>
      <c r="D199" s="13" t="s">
        <v>85</v>
      </c>
      <c r="E199" s="13" t="s">
        <v>21</v>
      </c>
      <c r="F199" s="13" t="s">
        <v>22</v>
      </c>
      <c r="G199" s="13">
        <v>25.89</v>
      </c>
      <c r="H199" s="13">
        <v>10</v>
      </c>
      <c r="I199" s="13">
        <v>258.89999999999998</v>
      </c>
      <c r="J199" s="14" t="s">
        <v>26</v>
      </c>
      <c r="O199" s="51"/>
      <c r="R199" s="13">
        <v>165.6</v>
      </c>
      <c r="T199" s="51"/>
      <c r="AA199" s="13">
        <v>368</v>
      </c>
    </row>
    <row r="200" spans="1:27" x14ac:dyDescent="0.3">
      <c r="A200" s="12" t="s">
        <v>270</v>
      </c>
      <c r="B200" s="19">
        <v>42271</v>
      </c>
      <c r="C200" s="13" t="s">
        <v>11</v>
      </c>
      <c r="D200" s="13" t="s">
        <v>45</v>
      </c>
      <c r="E200" s="13" t="s">
        <v>17</v>
      </c>
      <c r="F200" s="13" t="s">
        <v>54</v>
      </c>
      <c r="G200" s="13">
        <v>15</v>
      </c>
      <c r="H200" s="13">
        <v>30</v>
      </c>
      <c r="I200" s="13">
        <v>450</v>
      </c>
      <c r="J200" s="14" t="s">
        <v>26</v>
      </c>
      <c r="O200" s="51"/>
      <c r="R200" s="13">
        <v>300</v>
      </c>
      <c r="T200" s="51"/>
      <c r="AA200" s="13">
        <v>368</v>
      </c>
    </row>
    <row r="201" spans="1:27" x14ac:dyDescent="0.3">
      <c r="A201" s="12" t="s">
        <v>271</v>
      </c>
      <c r="B201" s="19">
        <v>42271</v>
      </c>
      <c r="C201" s="13" t="s">
        <v>20</v>
      </c>
      <c r="D201" s="13" t="s">
        <v>45</v>
      </c>
      <c r="E201" s="13" t="s">
        <v>17</v>
      </c>
      <c r="F201" s="13" t="s">
        <v>144</v>
      </c>
      <c r="G201" s="13">
        <v>14</v>
      </c>
      <c r="H201" s="13">
        <v>14</v>
      </c>
      <c r="I201" s="13">
        <v>196</v>
      </c>
      <c r="J201" s="14" t="s">
        <v>26</v>
      </c>
      <c r="O201" s="51"/>
      <c r="R201" s="13">
        <v>491.99999999999994</v>
      </c>
      <c r="T201" s="51"/>
      <c r="AA201" s="13">
        <v>375</v>
      </c>
    </row>
    <row r="202" spans="1:27" x14ac:dyDescent="0.3">
      <c r="A202" s="12" t="s">
        <v>272</v>
      </c>
      <c r="B202" s="19">
        <v>42276</v>
      </c>
      <c r="C202" s="13" t="s">
        <v>31</v>
      </c>
      <c r="D202" s="13" t="s">
        <v>45</v>
      </c>
      <c r="E202" s="13" t="s">
        <v>17</v>
      </c>
      <c r="F202" s="13" t="s">
        <v>134</v>
      </c>
      <c r="G202" s="13">
        <v>18</v>
      </c>
      <c r="H202" s="13">
        <v>6</v>
      </c>
      <c r="I202" s="13">
        <v>108</v>
      </c>
      <c r="J202" s="14" t="s">
        <v>26</v>
      </c>
      <c r="O202" s="51"/>
      <c r="R202" s="13">
        <v>936.9</v>
      </c>
      <c r="T202" s="51"/>
      <c r="AA202" s="13">
        <v>191.25</v>
      </c>
    </row>
    <row r="203" spans="1:27" x14ac:dyDescent="0.3">
      <c r="A203" s="12" t="s">
        <v>273</v>
      </c>
      <c r="B203" s="19">
        <v>42276</v>
      </c>
      <c r="C203" s="13" t="s">
        <v>11</v>
      </c>
      <c r="D203" s="13" t="s">
        <v>45</v>
      </c>
      <c r="E203" s="13" t="s">
        <v>34</v>
      </c>
      <c r="F203" s="13" t="s">
        <v>64</v>
      </c>
      <c r="G203" s="13">
        <v>9.65</v>
      </c>
      <c r="H203" s="13">
        <v>20</v>
      </c>
      <c r="I203" s="13">
        <v>193</v>
      </c>
      <c r="J203" s="14" t="s">
        <v>26</v>
      </c>
      <c r="O203" s="51"/>
      <c r="R203" s="13">
        <v>1100</v>
      </c>
      <c r="T203" s="51"/>
      <c r="AA203" s="13">
        <v>189</v>
      </c>
    </row>
    <row r="204" spans="1:27" x14ac:dyDescent="0.3">
      <c r="A204" s="12" t="s">
        <v>274</v>
      </c>
      <c r="B204" s="19">
        <v>42278</v>
      </c>
      <c r="C204" s="13" t="s">
        <v>31</v>
      </c>
      <c r="D204" s="13" t="s">
        <v>45</v>
      </c>
      <c r="E204" s="13" t="s">
        <v>17</v>
      </c>
      <c r="F204" s="13" t="s">
        <v>72</v>
      </c>
      <c r="G204" s="13">
        <v>18</v>
      </c>
      <c r="H204" s="13">
        <v>10</v>
      </c>
      <c r="I204" s="13">
        <v>180</v>
      </c>
      <c r="J204" s="14" t="s">
        <v>26</v>
      </c>
      <c r="O204" s="51"/>
      <c r="R204" s="13">
        <v>175</v>
      </c>
      <c r="T204" s="51"/>
      <c r="AA204" s="13">
        <v>210</v>
      </c>
    </row>
    <row r="205" spans="1:27" x14ac:dyDescent="0.3">
      <c r="A205" s="12" t="s">
        <v>275</v>
      </c>
      <c r="B205" s="19">
        <v>42285</v>
      </c>
      <c r="C205" s="13" t="s">
        <v>11</v>
      </c>
      <c r="D205" s="13" t="s">
        <v>85</v>
      </c>
      <c r="E205" s="13" t="s">
        <v>17</v>
      </c>
      <c r="F205" s="13" t="s">
        <v>25</v>
      </c>
      <c r="G205" s="13">
        <v>7.75</v>
      </c>
      <c r="H205" s="13">
        <v>50</v>
      </c>
      <c r="I205" s="13">
        <v>387.5</v>
      </c>
      <c r="J205" s="14" t="s">
        <v>26</v>
      </c>
      <c r="O205" s="51"/>
      <c r="R205" s="13">
        <v>232.75</v>
      </c>
      <c r="T205" s="51"/>
      <c r="AA205" s="13">
        <v>900</v>
      </c>
    </row>
    <row r="206" spans="1:27" x14ac:dyDescent="0.3">
      <c r="A206" s="12" t="s">
        <v>276</v>
      </c>
      <c r="B206" s="19">
        <v>42285</v>
      </c>
      <c r="C206" s="13" t="s">
        <v>11</v>
      </c>
      <c r="D206" s="13" t="s">
        <v>85</v>
      </c>
      <c r="E206" s="13" t="s">
        <v>21</v>
      </c>
      <c r="F206" s="13" t="s">
        <v>111</v>
      </c>
      <c r="G206" s="13">
        <v>22</v>
      </c>
      <c r="H206" s="13">
        <v>24</v>
      </c>
      <c r="I206" s="13">
        <v>528</v>
      </c>
      <c r="J206" s="14" t="s">
        <v>26</v>
      </c>
      <c r="O206" s="51"/>
      <c r="R206" s="13">
        <v>190</v>
      </c>
      <c r="T206" s="51"/>
      <c r="AA206" s="13">
        <v>760</v>
      </c>
    </row>
    <row r="207" spans="1:27" x14ac:dyDescent="0.3">
      <c r="A207" s="12" t="s">
        <v>277</v>
      </c>
      <c r="B207" s="19">
        <v>42285</v>
      </c>
      <c r="C207" s="13" t="s">
        <v>11</v>
      </c>
      <c r="D207" s="13" t="s">
        <v>85</v>
      </c>
      <c r="E207" s="13" t="s">
        <v>51</v>
      </c>
      <c r="F207" s="13" t="s">
        <v>81</v>
      </c>
      <c r="G207" s="13">
        <v>19.5</v>
      </c>
      <c r="H207" s="13">
        <v>16</v>
      </c>
      <c r="I207" s="13">
        <v>312</v>
      </c>
      <c r="J207" s="14" t="s">
        <v>26</v>
      </c>
      <c r="O207" s="51"/>
      <c r="R207" s="13">
        <v>190</v>
      </c>
      <c r="T207" s="51"/>
      <c r="AA207" s="13">
        <v>360</v>
      </c>
    </row>
    <row r="208" spans="1:27" x14ac:dyDescent="0.3">
      <c r="A208" s="12" t="s">
        <v>278</v>
      </c>
      <c r="B208" s="19">
        <v>42312</v>
      </c>
      <c r="C208" s="13" t="s">
        <v>11</v>
      </c>
      <c r="D208" s="13" t="s">
        <v>12</v>
      </c>
      <c r="E208" s="13" t="s">
        <v>17</v>
      </c>
      <c r="F208" s="13" t="s">
        <v>37</v>
      </c>
      <c r="G208" s="13">
        <v>18</v>
      </c>
      <c r="H208" s="13">
        <v>50</v>
      </c>
      <c r="I208" s="13">
        <v>900</v>
      </c>
      <c r="J208" s="14" t="s">
        <v>26</v>
      </c>
      <c r="O208" s="51"/>
      <c r="R208" s="13">
        <v>252</v>
      </c>
      <c r="T208" s="51"/>
      <c r="AA208" s="13">
        <v>954</v>
      </c>
    </row>
    <row r="209" spans="1:27" x14ac:dyDescent="0.3">
      <c r="A209" s="12" t="s">
        <v>279</v>
      </c>
      <c r="B209" s="19">
        <v>42312</v>
      </c>
      <c r="C209" s="13" t="s">
        <v>11</v>
      </c>
      <c r="D209" s="13" t="s">
        <v>12</v>
      </c>
      <c r="E209" s="13" t="s">
        <v>17</v>
      </c>
      <c r="F209" s="13" t="s">
        <v>25</v>
      </c>
      <c r="G209" s="13">
        <v>7.75</v>
      </c>
      <c r="H209" s="13">
        <v>6</v>
      </c>
      <c r="I209" s="13">
        <v>46.5</v>
      </c>
      <c r="J209" s="14" t="s">
        <v>26</v>
      </c>
      <c r="O209" s="51"/>
      <c r="R209" s="13">
        <v>348</v>
      </c>
      <c r="T209" s="51"/>
      <c r="AA209" s="13">
        <v>258</v>
      </c>
    </row>
    <row r="210" spans="1:27" x14ac:dyDescent="0.3">
      <c r="A210" s="12" t="s">
        <v>280</v>
      </c>
      <c r="B210" s="19">
        <v>42312</v>
      </c>
      <c r="C210" s="13" t="s">
        <v>20</v>
      </c>
      <c r="D210" s="13" t="s">
        <v>12</v>
      </c>
      <c r="E210" s="13" t="s">
        <v>21</v>
      </c>
      <c r="F210" s="13" t="s">
        <v>22</v>
      </c>
      <c r="G210" s="13">
        <v>18.399999999999999</v>
      </c>
      <c r="H210" s="13">
        <v>4</v>
      </c>
      <c r="I210" s="13">
        <v>73.599999999999994</v>
      </c>
      <c r="J210" s="14" t="s">
        <v>26</v>
      </c>
      <c r="O210" s="51"/>
      <c r="R210" s="13">
        <v>736.75</v>
      </c>
      <c r="T210" s="51"/>
      <c r="AA210" s="13">
        <v>1360</v>
      </c>
    </row>
    <row r="211" spans="1:27" x14ac:dyDescent="0.3">
      <c r="A211" s="12" t="s">
        <v>281</v>
      </c>
      <c r="B211" s="19">
        <v>42312</v>
      </c>
      <c r="C211" s="13" t="s">
        <v>28</v>
      </c>
      <c r="D211" s="13" t="s">
        <v>12</v>
      </c>
      <c r="E211" s="13" t="s">
        <v>34</v>
      </c>
      <c r="F211" s="13" t="s">
        <v>68</v>
      </c>
      <c r="G211" s="13">
        <v>14</v>
      </c>
      <c r="H211" s="13">
        <v>10</v>
      </c>
      <c r="I211" s="13">
        <v>140</v>
      </c>
      <c r="J211" s="14" t="s">
        <v>26</v>
      </c>
      <c r="O211" s="51"/>
      <c r="R211" s="13">
        <v>368</v>
      </c>
      <c r="T211" s="51"/>
      <c r="AA211" s="13">
        <v>480</v>
      </c>
    </row>
    <row r="212" spans="1:27" x14ac:dyDescent="0.3">
      <c r="A212" s="12" t="s">
        <v>282</v>
      </c>
      <c r="B212" s="19">
        <v>42321</v>
      </c>
      <c r="C212" s="13" t="s">
        <v>11</v>
      </c>
      <c r="D212" s="13" t="s">
        <v>45</v>
      </c>
      <c r="E212" s="13" t="s">
        <v>17</v>
      </c>
      <c r="F212" s="13" t="s">
        <v>128</v>
      </c>
      <c r="G212" s="13">
        <v>4.5</v>
      </c>
      <c r="H212" s="13">
        <v>25</v>
      </c>
      <c r="I212" s="13">
        <v>112.5</v>
      </c>
      <c r="J212" s="14" t="s">
        <v>15</v>
      </c>
      <c r="O212" s="51"/>
      <c r="R212" s="13">
        <v>368</v>
      </c>
      <c r="T212" s="51"/>
      <c r="AA212" s="13">
        <v>159</v>
      </c>
    </row>
    <row r="213" spans="1:27" x14ac:dyDescent="0.3">
      <c r="A213" s="12" t="s">
        <v>283</v>
      </c>
      <c r="B213" s="19">
        <v>42321</v>
      </c>
      <c r="C213" s="13" t="s">
        <v>11</v>
      </c>
      <c r="D213" s="13" t="s">
        <v>45</v>
      </c>
      <c r="E213" s="13" t="s">
        <v>21</v>
      </c>
      <c r="F213" s="13" t="s">
        <v>22</v>
      </c>
      <c r="G213" s="13">
        <v>19.5</v>
      </c>
      <c r="H213" s="13">
        <v>25</v>
      </c>
      <c r="I213" s="13">
        <v>487.5</v>
      </c>
      <c r="J213" s="14" t="s">
        <v>15</v>
      </c>
      <c r="O213" s="51"/>
      <c r="R213" s="13">
        <v>375</v>
      </c>
      <c r="T213" s="51"/>
      <c r="AA213" s="13">
        <v>184</v>
      </c>
    </row>
    <row r="214" spans="1:27" x14ac:dyDescent="0.3">
      <c r="A214" s="12" t="s">
        <v>284</v>
      </c>
      <c r="B214" s="19">
        <v>42327</v>
      </c>
      <c r="C214" s="13" t="s">
        <v>11</v>
      </c>
      <c r="D214" s="13" t="s">
        <v>45</v>
      </c>
      <c r="E214" s="13" t="s">
        <v>13</v>
      </c>
      <c r="F214" s="13" t="s">
        <v>41</v>
      </c>
      <c r="G214" s="13">
        <v>34</v>
      </c>
      <c r="H214" s="13">
        <v>80</v>
      </c>
      <c r="I214" s="13">
        <v>2720</v>
      </c>
      <c r="J214" s="14" t="s">
        <v>26</v>
      </c>
      <c r="O214" s="51"/>
      <c r="R214" s="13">
        <v>191.25</v>
      </c>
      <c r="T214" s="51"/>
      <c r="AA214" s="13">
        <v>178.8</v>
      </c>
    </row>
    <row r="215" spans="1:27" x14ac:dyDescent="0.3">
      <c r="A215" s="12" t="s">
        <v>285</v>
      </c>
      <c r="B215" s="19">
        <v>42327</v>
      </c>
      <c r="C215" s="13" t="s">
        <v>11</v>
      </c>
      <c r="D215" s="13" t="s">
        <v>45</v>
      </c>
      <c r="E215" s="13" t="s">
        <v>13</v>
      </c>
      <c r="F215" s="13" t="s">
        <v>99</v>
      </c>
      <c r="G215" s="13">
        <v>12.5</v>
      </c>
      <c r="H215" s="13">
        <v>70</v>
      </c>
      <c r="I215" s="13">
        <v>875</v>
      </c>
      <c r="J215" s="14" t="s">
        <v>26</v>
      </c>
      <c r="O215" s="51"/>
      <c r="R215" s="13">
        <v>189</v>
      </c>
      <c r="T215" s="51"/>
      <c r="AA215" s="13">
        <v>1140</v>
      </c>
    </row>
    <row r="216" spans="1:27" x14ac:dyDescent="0.3">
      <c r="A216" s="12" t="s">
        <v>286</v>
      </c>
      <c r="B216" s="19">
        <v>42327</v>
      </c>
      <c r="C216" s="13" t="s">
        <v>11</v>
      </c>
      <c r="D216" s="13" t="s">
        <v>45</v>
      </c>
      <c r="E216" s="13" t="s">
        <v>34</v>
      </c>
      <c r="F216" s="13" t="s">
        <v>94</v>
      </c>
      <c r="G216" s="13">
        <v>17.45</v>
      </c>
      <c r="H216" s="13">
        <v>56</v>
      </c>
      <c r="I216" s="13">
        <v>977.19999999999993</v>
      </c>
      <c r="J216" s="14" t="s">
        <v>26</v>
      </c>
      <c r="O216" s="51"/>
      <c r="R216" s="13">
        <v>210</v>
      </c>
      <c r="T216" s="51"/>
      <c r="AA216" s="13">
        <v>250</v>
      </c>
    </row>
    <row r="217" spans="1:27" x14ac:dyDescent="0.3">
      <c r="A217" s="12" t="s">
        <v>287</v>
      </c>
      <c r="B217" s="19">
        <v>42332</v>
      </c>
      <c r="C217" s="13" t="s">
        <v>28</v>
      </c>
      <c r="D217" s="13" t="s">
        <v>45</v>
      </c>
      <c r="E217" s="13" t="s">
        <v>13</v>
      </c>
      <c r="F217" s="13" t="s">
        <v>186</v>
      </c>
      <c r="G217" s="13">
        <v>36</v>
      </c>
      <c r="H217" s="13">
        <v>30</v>
      </c>
      <c r="I217" s="13">
        <v>1080</v>
      </c>
      <c r="J217" s="14" t="s">
        <v>15</v>
      </c>
      <c r="O217" s="51"/>
      <c r="R217" s="13">
        <v>900</v>
      </c>
      <c r="T217" s="51"/>
      <c r="AA217" s="13">
        <v>408</v>
      </c>
    </row>
    <row r="218" spans="1:27" x14ac:dyDescent="0.3">
      <c r="A218" s="12" t="s">
        <v>288</v>
      </c>
      <c r="B218" s="19">
        <v>42332</v>
      </c>
      <c r="C218" s="13" t="s">
        <v>28</v>
      </c>
      <c r="D218" s="13" t="s">
        <v>45</v>
      </c>
      <c r="E218" s="13" t="s">
        <v>13</v>
      </c>
      <c r="F218" s="13" t="s">
        <v>124</v>
      </c>
      <c r="G218" s="13">
        <v>21.5</v>
      </c>
      <c r="H218" s="13">
        <v>5</v>
      </c>
      <c r="I218" s="13">
        <v>107.5</v>
      </c>
      <c r="J218" s="14" t="s">
        <v>15</v>
      </c>
      <c r="O218" s="51"/>
      <c r="R218" s="13">
        <v>760</v>
      </c>
      <c r="T218" s="51"/>
      <c r="AA218" s="13">
        <v>220</v>
      </c>
    </row>
    <row r="219" spans="1:27" x14ac:dyDescent="0.3">
      <c r="A219" s="12" t="s">
        <v>289</v>
      </c>
      <c r="B219" s="19">
        <v>42334</v>
      </c>
      <c r="C219" s="13" t="s">
        <v>31</v>
      </c>
      <c r="D219" s="13" t="s">
        <v>85</v>
      </c>
      <c r="E219" s="13" t="s">
        <v>21</v>
      </c>
      <c r="F219" s="13" t="s">
        <v>97</v>
      </c>
      <c r="G219" s="13">
        <v>13</v>
      </c>
      <c r="H219" s="13">
        <v>5</v>
      </c>
      <c r="I219" s="13">
        <v>65</v>
      </c>
      <c r="J219" s="14" t="s">
        <v>26</v>
      </c>
      <c r="O219" s="51"/>
      <c r="R219" s="13">
        <v>360</v>
      </c>
      <c r="T219" s="51"/>
      <c r="AA219" s="13">
        <v>750</v>
      </c>
    </row>
    <row r="220" spans="1:27" x14ac:dyDescent="0.3">
      <c r="A220" s="12" t="s">
        <v>290</v>
      </c>
      <c r="B220" s="19">
        <v>42334</v>
      </c>
      <c r="C220" s="13" t="s">
        <v>31</v>
      </c>
      <c r="D220" s="13" t="s">
        <v>85</v>
      </c>
      <c r="E220" s="13" t="s">
        <v>21</v>
      </c>
      <c r="F220" s="13" t="s">
        <v>87</v>
      </c>
      <c r="G220" s="13">
        <v>21.05</v>
      </c>
      <c r="H220" s="13">
        <v>5</v>
      </c>
      <c r="I220" s="13">
        <v>105.25</v>
      </c>
      <c r="J220" s="14" t="s">
        <v>26</v>
      </c>
      <c r="O220" s="51"/>
      <c r="R220" s="13">
        <v>954</v>
      </c>
      <c r="T220" s="51"/>
      <c r="AA220" s="13">
        <v>975</v>
      </c>
    </row>
    <row r="221" spans="1:27" x14ac:dyDescent="0.3">
      <c r="A221" s="12" t="s">
        <v>291</v>
      </c>
      <c r="B221" s="19">
        <v>42340</v>
      </c>
      <c r="C221" s="13" t="s">
        <v>11</v>
      </c>
      <c r="D221" s="13" t="s">
        <v>12</v>
      </c>
      <c r="E221" s="13" t="s">
        <v>17</v>
      </c>
      <c r="F221" s="13" t="s">
        <v>32</v>
      </c>
      <c r="G221" s="13">
        <v>263.5</v>
      </c>
      <c r="H221" s="13">
        <v>40</v>
      </c>
      <c r="I221" s="13">
        <v>10540</v>
      </c>
      <c r="J221" s="14" t="s">
        <v>26</v>
      </c>
      <c r="O221" s="51"/>
      <c r="R221" s="13">
        <v>258</v>
      </c>
      <c r="T221" s="51"/>
      <c r="AA221" s="13">
        <v>468</v>
      </c>
    </row>
    <row r="222" spans="1:27" x14ac:dyDescent="0.3">
      <c r="A222" s="12" t="s">
        <v>292</v>
      </c>
      <c r="B222" s="19">
        <v>42340</v>
      </c>
      <c r="C222" s="13" t="s">
        <v>11</v>
      </c>
      <c r="D222" s="13" t="s">
        <v>12</v>
      </c>
      <c r="E222" s="13" t="s">
        <v>13</v>
      </c>
      <c r="F222" s="13" t="s">
        <v>41</v>
      </c>
      <c r="G222" s="13">
        <v>34</v>
      </c>
      <c r="H222" s="13">
        <v>70</v>
      </c>
      <c r="I222" s="13">
        <v>2380</v>
      </c>
      <c r="J222" s="14" t="s">
        <v>26</v>
      </c>
      <c r="O222" s="51"/>
      <c r="R222" s="13">
        <v>1360</v>
      </c>
      <c r="T222" s="51"/>
      <c r="AA222" s="13">
        <v>1215</v>
      </c>
    </row>
    <row r="223" spans="1:27" x14ac:dyDescent="0.3">
      <c r="A223" s="12" t="s">
        <v>293</v>
      </c>
      <c r="B223" s="19">
        <v>42340</v>
      </c>
      <c r="C223" s="13" t="s">
        <v>11</v>
      </c>
      <c r="D223" s="13" t="s">
        <v>12</v>
      </c>
      <c r="E223" s="13" t="s">
        <v>13</v>
      </c>
      <c r="F223" s="13" t="s">
        <v>56</v>
      </c>
      <c r="G223" s="13">
        <v>34.799999999999997</v>
      </c>
      <c r="H223" s="13">
        <v>42</v>
      </c>
      <c r="I223" s="13">
        <v>1461.6</v>
      </c>
      <c r="J223" s="14" t="s">
        <v>26</v>
      </c>
      <c r="O223" s="51"/>
      <c r="R223" s="13">
        <v>480</v>
      </c>
      <c r="T223" s="51"/>
      <c r="AA223" s="13">
        <v>2750</v>
      </c>
    </row>
    <row r="224" spans="1:27" x14ac:dyDescent="0.3">
      <c r="A224" s="12" t="s">
        <v>294</v>
      </c>
      <c r="B224" s="19">
        <v>42340</v>
      </c>
      <c r="C224" s="13" t="s">
        <v>28</v>
      </c>
      <c r="D224" s="13" t="s">
        <v>12</v>
      </c>
      <c r="E224" s="13" t="s">
        <v>34</v>
      </c>
      <c r="F224" s="13" t="s">
        <v>35</v>
      </c>
      <c r="G224" s="13">
        <v>81</v>
      </c>
      <c r="H224" s="13">
        <v>12</v>
      </c>
      <c r="I224" s="13">
        <v>972</v>
      </c>
      <c r="J224" s="14" t="s">
        <v>26</v>
      </c>
      <c r="O224" s="51"/>
      <c r="R224" s="13">
        <v>159</v>
      </c>
      <c r="T224" s="51"/>
      <c r="AA224" s="13">
        <v>408</v>
      </c>
    </row>
    <row r="225" spans="1:27" x14ac:dyDescent="0.3">
      <c r="A225" s="12" t="s">
        <v>295</v>
      </c>
      <c r="B225" s="19">
        <v>42345</v>
      </c>
      <c r="C225" s="13" t="s">
        <v>20</v>
      </c>
      <c r="D225" s="13" t="s">
        <v>45</v>
      </c>
      <c r="E225" s="13" t="s">
        <v>17</v>
      </c>
      <c r="F225" s="13" t="s">
        <v>37</v>
      </c>
      <c r="G225" s="13">
        <v>18</v>
      </c>
      <c r="H225" s="13">
        <v>20</v>
      </c>
      <c r="I225" s="13">
        <v>360</v>
      </c>
      <c r="J225" s="14" t="s">
        <v>26</v>
      </c>
      <c r="O225" s="51"/>
      <c r="R225" s="13">
        <v>184</v>
      </c>
      <c r="T225" s="51"/>
      <c r="AA225" s="13">
        <v>388.35</v>
      </c>
    </row>
    <row r="226" spans="1:27" x14ac:dyDescent="0.3">
      <c r="A226" s="12" t="s">
        <v>296</v>
      </c>
      <c r="B226" s="19">
        <v>42345</v>
      </c>
      <c r="C226" s="13" t="s">
        <v>11</v>
      </c>
      <c r="D226" s="13" t="s">
        <v>45</v>
      </c>
      <c r="E226" s="13" t="s">
        <v>17</v>
      </c>
      <c r="F226" s="13" t="s">
        <v>54</v>
      </c>
      <c r="G226" s="13">
        <v>45.6</v>
      </c>
      <c r="H226" s="13">
        <v>20</v>
      </c>
      <c r="I226" s="13">
        <v>912</v>
      </c>
      <c r="J226" s="14" t="s">
        <v>26</v>
      </c>
      <c r="O226" s="51"/>
      <c r="R226" s="13">
        <v>178.8</v>
      </c>
      <c r="T226" s="51"/>
      <c r="AA226" s="13">
        <v>1054</v>
      </c>
    </row>
    <row r="227" spans="1:27" x14ac:dyDescent="0.3">
      <c r="A227" s="12" t="s">
        <v>297</v>
      </c>
      <c r="B227" s="19">
        <v>42347</v>
      </c>
      <c r="C227" s="13" t="s">
        <v>28</v>
      </c>
      <c r="D227" s="13" t="s">
        <v>12</v>
      </c>
      <c r="E227" s="13" t="s">
        <v>21</v>
      </c>
      <c r="F227" s="13" t="s">
        <v>87</v>
      </c>
      <c r="G227" s="13">
        <v>21.05</v>
      </c>
      <c r="H227" s="13">
        <v>20</v>
      </c>
      <c r="I227" s="13">
        <v>421</v>
      </c>
      <c r="J227" s="14" t="s">
        <v>15</v>
      </c>
      <c r="O227" s="51"/>
      <c r="R227" s="13">
        <v>1140</v>
      </c>
      <c r="T227" s="51"/>
      <c r="AA227" s="13">
        <v>157.5</v>
      </c>
    </row>
    <row r="228" spans="1:27" x14ac:dyDescent="0.3">
      <c r="A228" s="12" t="s">
        <v>298</v>
      </c>
      <c r="B228" s="19">
        <v>42347</v>
      </c>
      <c r="C228" s="13" t="s">
        <v>20</v>
      </c>
      <c r="D228" s="13" t="s">
        <v>12</v>
      </c>
      <c r="E228" s="13" t="s">
        <v>21</v>
      </c>
      <c r="F228" s="13" t="s">
        <v>299</v>
      </c>
      <c r="G228" s="13">
        <v>43.9</v>
      </c>
      <c r="H228" s="13">
        <v>16</v>
      </c>
      <c r="I228" s="13">
        <v>702.4</v>
      </c>
      <c r="J228" s="14" t="s">
        <v>15</v>
      </c>
      <c r="O228" s="51"/>
      <c r="R228" s="13">
        <v>250</v>
      </c>
      <c r="T228" s="51"/>
      <c r="AA228" s="13">
        <v>757.80000000000007</v>
      </c>
    </row>
    <row r="229" spans="1:27" x14ac:dyDescent="0.3">
      <c r="A229" s="12" t="s">
        <v>300</v>
      </c>
      <c r="B229" s="19">
        <v>42347</v>
      </c>
      <c r="C229" s="13" t="s">
        <v>11</v>
      </c>
      <c r="D229" s="13" t="s">
        <v>12</v>
      </c>
      <c r="E229" s="13" t="s">
        <v>34</v>
      </c>
      <c r="F229" s="13" t="s">
        <v>64</v>
      </c>
      <c r="G229" s="13">
        <v>9.65</v>
      </c>
      <c r="H229" s="13">
        <v>8</v>
      </c>
      <c r="I229" s="13">
        <v>77.2</v>
      </c>
      <c r="J229" s="14" t="s">
        <v>15</v>
      </c>
      <c r="O229" s="51"/>
      <c r="R229" s="13">
        <v>408</v>
      </c>
      <c r="T229" s="51"/>
      <c r="AA229" s="13">
        <v>768</v>
      </c>
    </row>
    <row r="230" spans="1:27" x14ac:dyDescent="0.3">
      <c r="A230" s="12" t="s">
        <v>301</v>
      </c>
      <c r="B230" s="19">
        <v>42352</v>
      </c>
      <c r="C230" s="13" t="s">
        <v>20</v>
      </c>
      <c r="D230" s="13" t="s">
        <v>45</v>
      </c>
      <c r="E230" s="13" t="s">
        <v>51</v>
      </c>
      <c r="F230" s="13" t="s">
        <v>81</v>
      </c>
      <c r="G230" s="13">
        <v>38</v>
      </c>
      <c r="H230" s="13">
        <v>20</v>
      </c>
      <c r="I230" s="13">
        <v>760</v>
      </c>
      <c r="J230" s="14" t="s">
        <v>26</v>
      </c>
      <c r="O230" s="51"/>
      <c r="R230" s="13">
        <v>220</v>
      </c>
      <c r="T230" s="51"/>
      <c r="AA230" s="13">
        <v>1140</v>
      </c>
    </row>
    <row r="231" spans="1:27" x14ac:dyDescent="0.3">
      <c r="A231" s="12" t="s">
        <v>302</v>
      </c>
      <c r="B231" s="19">
        <v>42352</v>
      </c>
      <c r="C231" s="13" t="s">
        <v>20</v>
      </c>
      <c r="D231" s="13" t="s">
        <v>45</v>
      </c>
      <c r="E231" s="13" t="s">
        <v>13</v>
      </c>
      <c r="F231" s="13" t="s">
        <v>14</v>
      </c>
      <c r="G231" s="13">
        <v>6</v>
      </c>
      <c r="H231" s="13">
        <v>20</v>
      </c>
      <c r="I231" s="13">
        <v>120</v>
      </c>
      <c r="J231" s="14" t="s">
        <v>26</v>
      </c>
      <c r="O231" s="51"/>
      <c r="R231" s="13">
        <v>750</v>
      </c>
      <c r="T231" s="51"/>
      <c r="AA231" s="13">
        <v>312</v>
      </c>
    </row>
    <row r="232" spans="1:27" x14ac:dyDescent="0.3">
      <c r="A232" s="12" t="s">
        <v>303</v>
      </c>
      <c r="B232" s="19">
        <v>42352</v>
      </c>
      <c r="C232" s="13" t="s">
        <v>31</v>
      </c>
      <c r="D232" s="13" t="s">
        <v>45</v>
      </c>
      <c r="E232" s="13" t="s">
        <v>34</v>
      </c>
      <c r="F232" s="13" t="s">
        <v>64</v>
      </c>
      <c r="G232" s="13">
        <v>16.25</v>
      </c>
      <c r="H232" s="13">
        <v>15</v>
      </c>
      <c r="I232" s="13">
        <v>243.75</v>
      </c>
      <c r="J232" s="14" t="s">
        <v>26</v>
      </c>
      <c r="O232" s="51"/>
      <c r="R232" s="13">
        <v>975</v>
      </c>
      <c r="T232" s="51"/>
      <c r="AA232" s="13">
        <v>285</v>
      </c>
    </row>
    <row r="233" spans="1:27" x14ac:dyDescent="0.3">
      <c r="A233" s="12" t="s">
        <v>304</v>
      </c>
      <c r="B233" s="19">
        <v>42354</v>
      </c>
      <c r="C233" s="13" t="s">
        <v>28</v>
      </c>
      <c r="D233" s="13" t="s">
        <v>12</v>
      </c>
      <c r="E233" s="13" t="s">
        <v>17</v>
      </c>
      <c r="F233" s="13" t="s">
        <v>128</v>
      </c>
      <c r="G233" s="13">
        <v>4.5</v>
      </c>
      <c r="H233" s="13">
        <v>15</v>
      </c>
      <c r="I233" s="13">
        <v>67.5</v>
      </c>
      <c r="J233" s="14" t="s">
        <v>26</v>
      </c>
      <c r="O233" s="51"/>
      <c r="R233" s="13">
        <v>468</v>
      </c>
      <c r="T233" s="51"/>
      <c r="AA233" s="13">
        <v>590.4</v>
      </c>
    </row>
    <row r="234" spans="1:27" x14ac:dyDescent="0.3">
      <c r="A234" s="12" t="s">
        <v>305</v>
      </c>
      <c r="B234" s="19">
        <v>42354</v>
      </c>
      <c r="C234" s="13" t="s">
        <v>28</v>
      </c>
      <c r="D234" s="13" t="s">
        <v>12</v>
      </c>
      <c r="E234" s="13" t="s">
        <v>17</v>
      </c>
      <c r="F234" s="13" t="s">
        <v>144</v>
      </c>
      <c r="G234" s="13">
        <v>14</v>
      </c>
      <c r="H234" s="13">
        <v>10</v>
      </c>
      <c r="I234" s="13">
        <v>140</v>
      </c>
      <c r="J234" s="14" t="s">
        <v>26</v>
      </c>
      <c r="O234" s="51"/>
      <c r="R234" s="13">
        <v>1215</v>
      </c>
      <c r="T234" s="51"/>
      <c r="AA234" s="13">
        <v>1060</v>
      </c>
    </row>
    <row r="235" spans="1:27" x14ac:dyDescent="0.3">
      <c r="A235" s="12" t="s">
        <v>306</v>
      </c>
      <c r="B235" s="19">
        <v>42355</v>
      </c>
      <c r="C235" s="13" t="s">
        <v>20</v>
      </c>
      <c r="D235" s="13" t="s">
        <v>45</v>
      </c>
      <c r="E235" s="13" t="s">
        <v>51</v>
      </c>
      <c r="F235" s="13" t="s">
        <v>138</v>
      </c>
      <c r="G235" s="13">
        <v>32.799999999999997</v>
      </c>
      <c r="H235" s="13">
        <v>40</v>
      </c>
      <c r="I235" s="13">
        <v>1312</v>
      </c>
      <c r="J235" s="14" t="s">
        <v>15</v>
      </c>
      <c r="O235" s="51"/>
      <c r="R235" s="13">
        <v>2750</v>
      </c>
      <c r="T235" s="51"/>
      <c r="AA235" s="13">
        <v>210</v>
      </c>
    </row>
    <row r="236" spans="1:27" x14ac:dyDescent="0.3">
      <c r="A236" s="12" t="s">
        <v>307</v>
      </c>
      <c r="B236" s="19">
        <v>42355</v>
      </c>
      <c r="C236" s="13" t="s">
        <v>11</v>
      </c>
      <c r="D236" s="13" t="s">
        <v>45</v>
      </c>
      <c r="E236" s="13" t="s">
        <v>21</v>
      </c>
      <c r="F236" s="13" t="s">
        <v>22</v>
      </c>
      <c r="G236" s="13">
        <v>7</v>
      </c>
      <c r="H236" s="13">
        <v>20</v>
      </c>
      <c r="I236" s="13">
        <v>140</v>
      </c>
      <c r="J236" s="14" t="s">
        <v>15</v>
      </c>
      <c r="O236" s="51"/>
      <c r="R236" s="13">
        <v>408</v>
      </c>
      <c r="T236" s="51"/>
      <c r="AA236" s="13">
        <v>237.5</v>
      </c>
    </row>
    <row r="237" spans="1:27" x14ac:dyDescent="0.3">
      <c r="A237" s="12" t="s">
        <v>308</v>
      </c>
      <c r="B237" s="19">
        <v>42355</v>
      </c>
      <c r="C237" s="13" t="s">
        <v>20</v>
      </c>
      <c r="D237" s="13" t="s">
        <v>45</v>
      </c>
      <c r="E237" s="13" t="s">
        <v>13</v>
      </c>
      <c r="F237" s="13" t="s">
        <v>14</v>
      </c>
      <c r="G237" s="13">
        <v>9.5</v>
      </c>
      <c r="H237" s="13">
        <v>15</v>
      </c>
      <c r="I237" s="13">
        <v>142.5</v>
      </c>
      <c r="J237" s="14" t="s">
        <v>15</v>
      </c>
      <c r="O237" s="51"/>
      <c r="R237" s="13">
        <v>388.35</v>
      </c>
      <c r="T237" s="51"/>
      <c r="AA237" s="13">
        <v>490</v>
      </c>
    </row>
    <row r="238" spans="1:27" x14ac:dyDescent="0.3">
      <c r="A238" s="12" t="s">
        <v>309</v>
      </c>
      <c r="B238" s="19">
        <v>42368</v>
      </c>
      <c r="C238" s="13" t="s">
        <v>31</v>
      </c>
      <c r="D238" s="13" t="s">
        <v>45</v>
      </c>
      <c r="E238" s="13" t="s">
        <v>17</v>
      </c>
      <c r="F238" s="13" t="s">
        <v>72</v>
      </c>
      <c r="G238" s="13">
        <v>18</v>
      </c>
      <c r="H238" s="13">
        <v>35</v>
      </c>
      <c r="I238" s="13">
        <v>630</v>
      </c>
      <c r="J238" s="14" t="s">
        <v>26</v>
      </c>
      <c r="O238" s="51"/>
      <c r="R238" s="13">
        <v>1054</v>
      </c>
      <c r="T238" s="51"/>
      <c r="AA238" s="13">
        <v>475</v>
      </c>
    </row>
    <row r="239" spans="1:27" x14ac:dyDescent="0.3">
      <c r="A239" s="12" t="s">
        <v>310</v>
      </c>
      <c r="B239" s="19">
        <v>42368</v>
      </c>
      <c r="C239" s="13" t="s">
        <v>20</v>
      </c>
      <c r="D239" s="13" t="s">
        <v>45</v>
      </c>
      <c r="E239" s="13" t="s">
        <v>51</v>
      </c>
      <c r="F239" s="13" t="s">
        <v>52</v>
      </c>
      <c r="G239" s="13">
        <v>123.79</v>
      </c>
      <c r="H239" s="13">
        <v>21</v>
      </c>
      <c r="I239" s="13">
        <v>2599.59</v>
      </c>
      <c r="J239" s="14" t="s">
        <v>26</v>
      </c>
      <c r="O239" s="51"/>
      <c r="R239" s="13">
        <v>157.5</v>
      </c>
      <c r="T239" s="51"/>
      <c r="AA239" s="13">
        <v>155</v>
      </c>
    </row>
    <row r="240" spans="1:27" x14ac:dyDescent="0.3">
      <c r="A240" s="12" t="s">
        <v>311</v>
      </c>
      <c r="B240" s="19">
        <v>42368</v>
      </c>
      <c r="C240" s="13" t="s">
        <v>31</v>
      </c>
      <c r="D240" s="13" t="s">
        <v>45</v>
      </c>
      <c r="E240" s="13" t="s">
        <v>34</v>
      </c>
      <c r="F240" s="13" t="s">
        <v>75</v>
      </c>
      <c r="G240" s="13">
        <v>20</v>
      </c>
      <c r="H240" s="13">
        <v>30</v>
      </c>
      <c r="I240" s="13">
        <v>600</v>
      </c>
      <c r="J240" s="14" t="s">
        <v>26</v>
      </c>
      <c r="O240" s="51"/>
      <c r="R240" s="13">
        <v>757.80000000000007</v>
      </c>
      <c r="T240" s="51"/>
      <c r="AA240" s="13">
        <v>360</v>
      </c>
    </row>
    <row r="241" spans="1:27" x14ac:dyDescent="0.3">
      <c r="A241" s="12" t="s">
        <v>312</v>
      </c>
      <c r="B241" s="19">
        <v>42009</v>
      </c>
      <c r="C241" s="13" t="s">
        <v>11</v>
      </c>
      <c r="D241" s="13" t="s">
        <v>12</v>
      </c>
      <c r="E241" s="13" t="s">
        <v>13</v>
      </c>
      <c r="F241" s="13" t="s">
        <v>14</v>
      </c>
      <c r="G241" s="13">
        <v>45.6</v>
      </c>
      <c r="H241" s="13">
        <v>42</v>
      </c>
      <c r="I241" s="13">
        <v>1915.2</v>
      </c>
      <c r="J241" s="14" t="s">
        <v>15</v>
      </c>
      <c r="O241" s="51"/>
      <c r="R241" s="13">
        <v>768</v>
      </c>
      <c r="T241" s="51"/>
      <c r="AA241" s="13">
        <v>387.5</v>
      </c>
    </row>
    <row r="242" spans="1:27" x14ac:dyDescent="0.3">
      <c r="A242" s="12" t="s">
        <v>313</v>
      </c>
      <c r="B242" s="19">
        <v>42009</v>
      </c>
      <c r="C242" s="13" t="s">
        <v>20</v>
      </c>
      <c r="D242" s="13" t="s">
        <v>12</v>
      </c>
      <c r="E242" s="13" t="s">
        <v>21</v>
      </c>
      <c r="F242" s="13" t="s">
        <v>22</v>
      </c>
      <c r="G242" s="13">
        <v>19</v>
      </c>
      <c r="H242" s="13">
        <v>5</v>
      </c>
      <c r="I242" s="13">
        <v>95</v>
      </c>
      <c r="J242" s="14" t="s">
        <v>15</v>
      </c>
      <c r="O242" s="51"/>
      <c r="R242" s="13">
        <v>1140</v>
      </c>
      <c r="T242" s="51"/>
      <c r="AA242" s="13">
        <v>360</v>
      </c>
    </row>
    <row r="243" spans="1:27" x14ac:dyDescent="0.3">
      <c r="A243" s="12" t="s">
        <v>314</v>
      </c>
      <c r="B243" s="19">
        <v>42009</v>
      </c>
      <c r="C243" s="13" t="s">
        <v>20</v>
      </c>
      <c r="D243" s="13" t="s">
        <v>12</v>
      </c>
      <c r="E243" s="13" t="s">
        <v>21</v>
      </c>
      <c r="F243" s="13" t="s">
        <v>22</v>
      </c>
      <c r="G243" s="13">
        <v>18.399999999999999</v>
      </c>
      <c r="H243" s="13">
        <v>2</v>
      </c>
      <c r="I243" s="13">
        <v>36.799999999999997</v>
      </c>
      <c r="J243" s="14" t="s">
        <v>15</v>
      </c>
      <c r="O243" s="51"/>
      <c r="R243" s="13">
        <v>312</v>
      </c>
      <c r="T243" s="51"/>
      <c r="AA243" s="13">
        <v>260</v>
      </c>
    </row>
    <row r="244" spans="1:27" x14ac:dyDescent="0.3">
      <c r="A244" s="12" t="s">
        <v>42</v>
      </c>
      <c r="B244" s="19">
        <v>42009</v>
      </c>
      <c r="C244" s="13" t="s">
        <v>20</v>
      </c>
      <c r="D244" s="13" t="s">
        <v>12</v>
      </c>
      <c r="E244" s="13" t="s">
        <v>34</v>
      </c>
      <c r="F244" s="13" t="s">
        <v>241</v>
      </c>
      <c r="G244" s="13">
        <v>10</v>
      </c>
      <c r="H244" s="13">
        <v>30</v>
      </c>
      <c r="I244" s="13">
        <v>300</v>
      </c>
      <c r="J244" s="14" t="s">
        <v>15</v>
      </c>
      <c r="O244" s="51"/>
      <c r="R244" s="13">
        <v>285</v>
      </c>
      <c r="T244" s="51"/>
      <c r="AA244" s="13">
        <v>493</v>
      </c>
    </row>
    <row r="245" spans="1:27" x14ac:dyDescent="0.3">
      <c r="A245" s="12" t="s">
        <v>315</v>
      </c>
      <c r="B245" s="19">
        <v>42011</v>
      </c>
      <c r="C245" s="13" t="s">
        <v>20</v>
      </c>
      <c r="D245" s="13" t="s">
        <v>24</v>
      </c>
      <c r="E245" s="13" t="s">
        <v>17</v>
      </c>
      <c r="F245" s="13" t="s">
        <v>54</v>
      </c>
      <c r="G245" s="13">
        <v>23.25</v>
      </c>
      <c r="H245" s="13">
        <v>12</v>
      </c>
      <c r="I245" s="13">
        <v>279</v>
      </c>
      <c r="J245" s="14" t="s">
        <v>15</v>
      </c>
      <c r="O245" s="51"/>
      <c r="R245" s="13">
        <v>590.4</v>
      </c>
      <c r="T245" s="51"/>
      <c r="AA245" s="13">
        <v>480</v>
      </c>
    </row>
    <row r="246" spans="1:27" x14ac:dyDescent="0.3">
      <c r="A246" s="12" t="s">
        <v>316</v>
      </c>
      <c r="B246" s="19">
        <v>42011</v>
      </c>
      <c r="C246" s="13" t="s">
        <v>20</v>
      </c>
      <c r="D246" s="13" t="s">
        <v>24</v>
      </c>
      <c r="E246" s="13" t="s">
        <v>34</v>
      </c>
      <c r="F246" s="13" t="s">
        <v>241</v>
      </c>
      <c r="G246" s="13">
        <v>10</v>
      </c>
      <c r="H246" s="13">
        <v>12</v>
      </c>
      <c r="I246" s="13">
        <v>120</v>
      </c>
      <c r="J246" s="14" t="s">
        <v>15</v>
      </c>
      <c r="O246" s="51"/>
      <c r="R246" s="13">
        <v>1060</v>
      </c>
      <c r="T246" s="51"/>
      <c r="AA246" s="13">
        <v>440</v>
      </c>
    </row>
    <row r="247" spans="1:27" x14ac:dyDescent="0.3">
      <c r="A247" s="12" t="s">
        <v>317</v>
      </c>
      <c r="B247" s="19">
        <v>42016</v>
      </c>
      <c r="C247" s="13" t="s">
        <v>11</v>
      </c>
      <c r="D247" s="13" t="s">
        <v>12</v>
      </c>
      <c r="E247" s="13" t="s">
        <v>13</v>
      </c>
      <c r="F247" s="13" t="s">
        <v>113</v>
      </c>
      <c r="G247" s="13">
        <v>2.5</v>
      </c>
      <c r="H247" s="13">
        <v>50</v>
      </c>
      <c r="I247" s="13">
        <v>125</v>
      </c>
      <c r="J247" s="14" t="s">
        <v>26</v>
      </c>
      <c r="O247" s="51"/>
      <c r="R247" s="13">
        <v>210</v>
      </c>
      <c r="T247" s="51"/>
      <c r="AA247" s="13">
        <v>493</v>
      </c>
    </row>
    <row r="248" spans="1:27" x14ac:dyDescent="0.3">
      <c r="A248" s="12" t="s">
        <v>318</v>
      </c>
      <c r="B248" s="19">
        <v>42016</v>
      </c>
      <c r="C248" s="13" t="s">
        <v>28</v>
      </c>
      <c r="D248" s="13" t="s">
        <v>12</v>
      </c>
      <c r="E248" s="13" t="s">
        <v>34</v>
      </c>
      <c r="F248" s="13" t="s">
        <v>188</v>
      </c>
      <c r="G248" s="13">
        <v>9.1999999999999993</v>
      </c>
      <c r="H248" s="13">
        <v>18</v>
      </c>
      <c r="I248" s="13">
        <v>165.6</v>
      </c>
      <c r="J248" s="14" t="s">
        <v>26</v>
      </c>
      <c r="O248" s="51"/>
      <c r="R248" s="13">
        <v>237.5</v>
      </c>
      <c r="T248" s="51"/>
      <c r="AA248" s="13">
        <v>300</v>
      </c>
    </row>
    <row r="249" spans="1:27" x14ac:dyDescent="0.3">
      <c r="A249" s="12" t="s">
        <v>319</v>
      </c>
      <c r="B249" s="19">
        <v>42023</v>
      </c>
      <c r="C249" s="13" t="s">
        <v>31</v>
      </c>
      <c r="D249" s="13" t="s">
        <v>12</v>
      </c>
      <c r="E249" s="13" t="s">
        <v>17</v>
      </c>
      <c r="F249" s="13" t="s">
        <v>54</v>
      </c>
      <c r="G249" s="13">
        <v>15</v>
      </c>
      <c r="H249" s="13">
        <v>8</v>
      </c>
      <c r="I249" s="13">
        <v>120</v>
      </c>
      <c r="J249" s="14" t="s">
        <v>15</v>
      </c>
      <c r="O249" s="51"/>
      <c r="R249" s="13">
        <v>490</v>
      </c>
      <c r="T249" s="51"/>
      <c r="AA249" s="13">
        <v>322.5</v>
      </c>
    </row>
    <row r="250" spans="1:27" x14ac:dyDescent="0.3">
      <c r="A250" s="12" t="s">
        <v>320</v>
      </c>
      <c r="B250" s="19">
        <v>42023</v>
      </c>
      <c r="C250" s="13" t="s">
        <v>11</v>
      </c>
      <c r="D250" s="13" t="s">
        <v>12</v>
      </c>
      <c r="E250" s="13" t="s">
        <v>21</v>
      </c>
      <c r="F250" s="13" t="s">
        <v>22</v>
      </c>
      <c r="G250" s="13">
        <v>15</v>
      </c>
      <c r="H250" s="13">
        <v>20</v>
      </c>
      <c r="I250" s="13">
        <v>300</v>
      </c>
      <c r="J250" s="14" t="s">
        <v>15</v>
      </c>
      <c r="O250" s="51"/>
      <c r="R250" s="13">
        <v>475</v>
      </c>
      <c r="T250" s="51"/>
      <c r="AA250" s="13">
        <v>380</v>
      </c>
    </row>
    <row r="251" spans="1:27" x14ac:dyDescent="0.3">
      <c r="A251" s="12" t="s">
        <v>321</v>
      </c>
      <c r="B251" s="19">
        <v>42023</v>
      </c>
      <c r="C251" s="13" t="s">
        <v>28</v>
      </c>
      <c r="D251" s="13" t="s">
        <v>12</v>
      </c>
      <c r="E251" s="13" t="s">
        <v>34</v>
      </c>
      <c r="F251" s="13" t="s">
        <v>64</v>
      </c>
      <c r="G251" s="13">
        <v>6</v>
      </c>
      <c r="H251" s="13">
        <v>2</v>
      </c>
      <c r="I251" s="13">
        <v>12</v>
      </c>
      <c r="J251" s="14" t="s">
        <v>15</v>
      </c>
      <c r="O251" s="51"/>
      <c r="R251" s="13">
        <v>155</v>
      </c>
      <c r="T251" s="51"/>
      <c r="AA251" s="13">
        <v>225</v>
      </c>
    </row>
    <row r="252" spans="1:27" x14ac:dyDescent="0.3">
      <c r="A252" s="12" t="s">
        <v>322</v>
      </c>
      <c r="B252" s="19">
        <v>42023</v>
      </c>
      <c r="C252" s="13" t="s">
        <v>20</v>
      </c>
      <c r="D252" s="13" t="s">
        <v>12</v>
      </c>
      <c r="E252" s="13" t="s">
        <v>51</v>
      </c>
      <c r="F252" s="13" t="s">
        <v>138</v>
      </c>
      <c r="G252" s="13">
        <v>32.799999999999997</v>
      </c>
      <c r="H252" s="13">
        <v>15</v>
      </c>
      <c r="I252" s="13">
        <v>491.99999999999994</v>
      </c>
      <c r="J252" s="14" t="s">
        <v>15</v>
      </c>
      <c r="O252" s="51"/>
      <c r="R252" s="13">
        <v>360</v>
      </c>
      <c r="T252" s="51"/>
      <c r="AA252" s="13">
        <v>2475.8000000000002</v>
      </c>
    </row>
    <row r="253" spans="1:27" x14ac:dyDescent="0.3">
      <c r="A253" s="12" t="s">
        <v>323</v>
      </c>
      <c r="B253" s="19">
        <v>42023</v>
      </c>
      <c r="C253" s="13" t="s">
        <v>11</v>
      </c>
      <c r="D253" s="13" t="s">
        <v>12</v>
      </c>
      <c r="E253" s="13" t="s">
        <v>21</v>
      </c>
      <c r="F253" s="13" t="s">
        <v>97</v>
      </c>
      <c r="G253" s="13">
        <v>13</v>
      </c>
      <c r="H253" s="13">
        <v>10</v>
      </c>
      <c r="I253" s="13">
        <v>130</v>
      </c>
      <c r="J253" s="14" t="s">
        <v>15</v>
      </c>
      <c r="O253" s="51"/>
      <c r="R253" s="13">
        <v>387.5</v>
      </c>
      <c r="T253" s="51"/>
      <c r="AA253" s="13">
        <v>299.25</v>
      </c>
    </row>
    <row r="254" spans="1:27" x14ac:dyDescent="0.3">
      <c r="A254" s="12" t="s">
        <v>324</v>
      </c>
      <c r="B254" s="19">
        <v>42023</v>
      </c>
      <c r="C254" s="13" t="s">
        <v>11</v>
      </c>
      <c r="D254" s="13" t="s">
        <v>12</v>
      </c>
      <c r="E254" s="13" t="s">
        <v>34</v>
      </c>
      <c r="F254" s="13" t="s">
        <v>77</v>
      </c>
      <c r="G254" s="13">
        <v>31.23</v>
      </c>
      <c r="H254" s="13">
        <v>30</v>
      </c>
      <c r="I254" s="13">
        <v>936.9</v>
      </c>
      <c r="J254" s="14" t="s">
        <v>15</v>
      </c>
      <c r="O254" s="51"/>
      <c r="R254" s="13">
        <v>360</v>
      </c>
      <c r="T254" s="51"/>
      <c r="AA254" s="13">
        <v>2280</v>
      </c>
    </row>
    <row r="255" spans="1:27" x14ac:dyDescent="0.3">
      <c r="A255" s="12" t="s">
        <v>325</v>
      </c>
      <c r="B255" s="19">
        <v>42023</v>
      </c>
      <c r="C255" s="13" t="s">
        <v>20</v>
      </c>
      <c r="D255" s="13" t="s">
        <v>12</v>
      </c>
      <c r="E255" s="13" t="s">
        <v>34</v>
      </c>
      <c r="F255" s="13" t="s">
        <v>188</v>
      </c>
      <c r="G255" s="13">
        <v>9.1999999999999993</v>
      </c>
      <c r="H255" s="13">
        <v>4</v>
      </c>
      <c r="I255" s="13">
        <v>36.799999999999997</v>
      </c>
      <c r="J255" s="14" t="s">
        <v>15</v>
      </c>
      <c r="O255" s="51"/>
      <c r="R255" s="13">
        <v>260</v>
      </c>
      <c r="T255" s="51"/>
      <c r="AA255" s="13">
        <v>210</v>
      </c>
    </row>
    <row r="256" spans="1:27" x14ac:dyDescent="0.3">
      <c r="A256" s="12" t="s">
        <v>326</v>
      </c>
      <c r="B256" s="19">
        <v>42025</v>
      </c>
      <c r="C256" s="13" t="s">
        <v>11</v>
      </c>
      <c r="D256" s="13" t="s">
        <v>12</v>
      </c>
      <c r="E256" s="13" t="s">
        <v>13</v>
      </c>
      <c r="F256" s="13" t="s">
        <v>66</v>
      </c>
      <c r="G256" s="13">
        <v>55</v>
      </c>
      <c r="H256" s="13">
        <v>20</v>
      </c>
      <c r="I256" s="13">
        <v>1100</v>
      </c>
      <c r="J256" s="14" t="s">
        <v>26</v>
      </c>
      <c r="O256" s="51"/>
      <c r="R256" s="13">
        <v>493</v>
      </c>
      <c r="T256" s="51"/>
      <c r="AA256" s="13">
        <v>406.25</v>
      </c>
    </row>
    <row r="257" spans="1:27" x14ac:dyDescent="0.3">
      <c r="A257" s="12" t="s">
        <v>327</v>
      </c>
      <c r="B257" s="19">
        <v>42025</v>
      </c>
      <c r="C257" s="13" t="s">
        <v>20</v>
      </c>
      <c r="D257" s="13" t="s">
        <v>12</v>
      </c>
      <c r="E257" s="13" t="s">
        <v>13</v>
      </c>
      <c r="F257" s="13" t="s">
        <v>99</v>
      </c>
      <c r="G257" s="13">
        <v>12.5</v>
      </c>
      <c r="H257" s="13">
        <v>14</v>
      </c>
      <c r="I257" s="13">
        <v>175</v>
      </c>
      <c r="J257" s="14" t="s">
        <v>26</v>
      </c>
      <c r="O257" s="51"/>
      <c r="R257" s="13">
        <v>480</v>
      </c>
      <c r="T257" s="51"/>
      <c r="AA257" s="13">
        <v>920</v>
      </c>
    </row>
    <row r="258" spans="1:27" x14ac:dyDescent="0.3">
      <c r="A258" s="12" t="s">
        <v>328</v>
      </c>
      <c r="B258" s="19">
        <v>42029</v>
      </c>
      <c r="C258" s="13" t="s">
        <v>11</v>
      </c>
      <c r="D258" s="13" t="s">
        <v>85</v>
      </c>
      <c r="E258" s="13" t="s">
        <v>34</v>
      </c>
      <c r="F258" s="13" t="s">
        <v>64</v>
      </c>
      <c r="G258" s="13">
        <v>33.25</v>
      </c>
      <c r="H258" s="13">
        <v>7</v>
      </c>
      <c r="I258" s="13">
        <v>232.75</v>
      </c>
      <c r="J258" s="14" t="s">
        <v>15</v>
      </c>
      <c r="O258" s="51"/>
      <c r="R258" s="13">
        <v>440</v>
      </c>
      <c r="T258" s="51"/>
      <c r="AA258" s="13">
        <v>252</v>
      </c>
    </row>
    <row r="259" spans="1:27" x14ac:dyDescent="0.3">
      <c r="A259" s="12" t="s">
        <v>329</v>
      </c>
      <c r="B259" s="19">
        <v>42029</v>
      </c>
      <c r="C259" s="13" t="s">
        <v>11</v>
      </c>
      <c r="D259" s="13" t="s">
        <v>85</v>
      </c>
      <c r="E259" s="13" t="s">
        <v>13</v>
      </c>
      <c r="F259" s="13" t="s">
        <v>14</v>
      </c>
      <c r="G259" s="13">
        <v>38</v>
      </c>
      <c r="H259" s="13">
        <v>5</v>
      </c>
      <c r="I259" s="13">
        <v>190</v>
      </c>
      <c r="J259" s="14" t="s">
        <v>15</v>
      </c>
      <c r="O259" s="51"/>
      <c r="R259" s="13">
        <v>493</v>
      </c>
      <c r="T259" s="51"/>
      <c r="AA259" s="13">
        <v>285</v>
      </c>
    </row>
    <row r="260" spans="1:27" x14ac:dyDescent="0.3">
      <c r="A260" s="12" t="s">
        <v>330</v>
      </c>
      <c r="B260" s="19">
        <v>42037</v>
      </c>
      <c r="C260" s="13" t="s">
        <v>31</v>
      </c>
      <c r="D260" s="13" t="s">
        <v>45</v>
      </c>
      <c r="E260" s="13" t="s">
        <v>17</v>
      </c>
      <c r="F260" s="13" t="s">
        <v>18</v>
      </c>
      <c r="G260" s="13">
        <v>19</v>
      </c>
      <c r="H260" s="13">
        <v>10</v>
      </c>
      <c r="I260" s="13">
        <v>190</v>
      </c>
      <c r="J260" s="14" t="s">
        <v>26</v>
      </c>
      <c r="O260" s="51"/>
      <c r="R260" s="13">
        <v>300</v>
      </c>
      <c r="T260" s="51"/>
      <c r="AA260" s="13">
        <v>1250</v>
      </c>
    </row>
    <row r="261" spans="1:27" x14ac:dyDescent="0.3">
      <c r="A261" s="12" t="s">
        <v>331</v>
      </c>
      <c r="B261" s="19">
        <v>42037</v>
      </c>
      <c r="C261" s="13" t="s">
        <v>31</v>
      </c>
      <c r="D261" s="13" t="s">
        <v>45</v>
      </c>
      <c r="E261" s="13" t="s">
        <v>13</v>
      </c>
      <c r="F261" s="13" t="s">
        <v>14</v>
      </c>
      <c r="G261" s="13">
        <v>21</v>
      </c>
      <c r="H261" s="13">
        <v>12</v>
      </c>
      <c r="I261" s="13">
        <v>252</v>
      </c>
      <c r="J261" s="14" t="s">
        <v>26</v>
      </c>
      <c r="R261" s="13">
        <v>322.5</v>
      </c>
      <c r="T261" s="51"/>
      <c r="AA261" s="13">
        <v>360</v>
      </c>
    </row>
    <row r="262" spans="1:27" x14ac:dyDescent="0.3">
      <c r="A262" s="12" t="s">
        <v>332</v>
      </c>
      <c r="B262" s="19">
        <v>42037</v>
      </c>
      <c r="C262" s="13" t="s">
        <v>31</v>
      </c>
      <c r="D262" s="13" t="s">
        <v>45</v>
      </c>
      <c r="E262" s="13" t="s">
        <v>13</v>
      </c>
      <c r="F262" s="13" t="s">
        <v>56</v>
      </c>
      <c r="G262" s="13">
        <v>34.799999999999997</v>
      </c>
      <c r="H262" s="13">
        <v>10</v>
      </c>
      <c r="I262" s="13">
        <v>348</v>
      </c>
      <c r="J262" s="14" t="s">
        <v>26</v>
      </c>
      <c r="R262" s="13">
        <v>380</v>
      </c>
      <c r="T262" s="51"/>
      <c r="AA262" s="13">
        <v>276</v>
      </c>
    </row>
    <row r="263" spans="1:27" x14ac:dyDescent="0.3">
      <c r="A263" s="12" t="s">
        <v>333</v>
      </c>
      <c r="B263" s="19">
        <v>42047</v>
      </c>
      <c r="C263" s="13" t="s">
        <v>20</v>
      </c>
      <c r="D263" s="13" t="s">
        <v>12</v>
      </c>
      <c r="E263" s="13" t="s">
        <v>21</v>
      </c>
      <c r="F263" s="13" t="s">
        <v>87</v>
      </c>
      <c r="G263" s="13">
        <v>21.05</v>
      </c>
      <c r="H263" s="13">
        <v>35</v>
      </c>
      <c r="I263" s="13">
        <v>736.75</v>
      </c>
      <c r="J263" s="14" t="s">
        <v>26</v>
      </c>
      <c r="R263" s="13">
        <v>225</v>
      </c>
      <c r="T263" s="51"/>
      <c r="AA263" s="13">
        <v>315</v>
      </c>
    </row>
    <row r="264" spans="1:27" x14ac:dyDescent="0.3">
      <c r="A264" s="12" t="s">
        <v>334</v>
      </c>
      <c r="B264" s="19">
        <v>42047</v>
      </c>
      <c r="C264" s="13" t="s">
        <v>20</v>
      </c>
      <c r="D264" s="13" t="s">
        <v>12</v>
      </c>
      <c r="E264" s="13" t="s">
        <v>13</v>
      </c>
      <c r="F264" s="13" t="s">
        <v>124</v>
      </c>
      <c r="G264" s="13">
        <v>21.5</v>
      </c>
      <c r="H264" s="13">
        <v>2</v>
      </c>
      <c r="I264" s="13">
        <v>43</v>
      </c>
      <c r="J264" s="14" t="s">
        <v>26</v>
      </c>
      <c r="R264" s="13">
        <v>2475.8000000000002</v>
      </c>
      <c r="T264" s="51"/>
      <c r="AA264" s="13">
        <v>223.5</v>
      </c>
    </row>
    <row r="265" spans="1:27" x14ac:dyDescent="0.3">
      <c r="A265" s="12" t="s">
        <v>335</v>
      </c>
      <c r="B265" s="19">
        <v>42047</v>
      </c>
      <c r="C265" s="13" t="s">
        <v>28</v>
      </c>
      <c r="D265" s="13" t="s">
        <v>12</v>
      </c>
      <c r="E265" s="13" t="s">
        <v>34</v>
      </c>
      <c r="F265" s="13" t="s">
        <v>188</v>
      </c>
      <c r="G265" s="13">
        <v>9.1999999999999993</v>
      </c>
      <c r="H265" s="13">
        <v>40</v>
      </c>
      <c r="I265" s="13">
        <v>368</v>
      </c>
      <c r="J265" s="14" t="s">
        <v>26</v>
      </c>
      <c r="R265" s="13">
        <v>299.25</v>
      </c>
      <c r="T265" s="51"/>
      <c r="AA265" s="13">
        <v>819.99999999999989</v>
      </c>
    </row>
    <row r="266" spans="1:27" x14ac:dyDescent="0.3">
      <c r="A266" s="12" t="s">
        <v>336</v>
      </c>
      <c r="B266" s="19">
        <v>42050</v>
      </c>
      <c r="C266" s="13" t="s">
        <v>11</v>
      </c>
      <c r="D266" s="13" t="s">
        <v>24</v>
      </c>
      <c r="E266" s="13" t="s">
        <v>51</v>
      </c>
      <c r="F266" s="13" t="s">
        <v>81</v>
      </c>
      <c r="G266" s="13">
        <v>18.399999999999999</v>
      </c>
      <c r="H266" s="13">
        <v>20</v>
      </c>
      <c r="I266" s="13">
        <v>368</v>
      </c>
      <c r="J266" s="14" t="s">
        <v>26</v>
      </c>
      <c r="R266" s="13">
        <v>2280</v>
      </c>
      <c r="T266" s="51"/>
      <c r="AA266" s="13">
        <v>776.7</v>
      </c>
    </row>
    <row r="267" spans="1:27" x14ac:dyDescent="0.3">
      <c r="A267" s="12" t="s">
        <v>337</v>
      </c>
      <c r="B267" s="19">
        <v>42054</v>
      </c>
      <c r="C267" s="13" t="s">
        <v>11</v>
      </c>
      <c r="D267" s="13" t="s">
        <v>45</v>
      </c>
      <c r="E267" s="13" t="s">
        <v>17</v>
      </c>
      <c r="F267" s="13" t="s">
        <v>54</v>
      </c>
      <c r="G267" s="13">
        <v>15</v>
      </c>
      <c r="H267" s="13">
        <v>25</v>
      </c>
      <c r="I267" s="13">
        <v>375</v>
      </c>
      <c r="J267" s="14" t="s">
        <v>26</v>
      </c>
      <c r="R267" s="13">
        <v>210</v>
      </c>
      <c r="T267" s="51"/>
      <c r="AA267" s="13">
        <v>280</v>
      </c>
    </row>
    <row r="268" spans="1:27" x14ac:dyDescent="0.3">
      <c r="A268" s="12" t="s">
        <v>338</v>
      </c>
      <c r="B268" s="19">
        <v>42054</v>
      </c>
      <c r="C268" s="13" t="s">
        <v>31</v>
      </c>
      <c r="D268" s="13" t="s">
        <v>45</v>
      </c>
      <c r="E268" s="13" t="s">
        <v>34</v>
      </c>
      <c r="F268" s="13" t="s">
        <v>339</v>
      </c>
      <c r="G268" s="13">
        <v>12.75</v>
      </c>
      <c r="H268" s="13">
        <v>15</v>
      </c>
      <c r="I268" s="13">
        <v>191.25</v>
      </c>
      <c r="J268" s="14" t="s">
        <v>26</v>
      </c>
      <c r="R268" s="13">
        <v>406.25</v>
      </c>
      <c r="T268" s="51"/>
      <c r="AA268" s="13">
        <v>600</v>
      </c>
    </row>
    <row r="269" spans="1:27" x14ac:dyDescent="0.3">
      <c r="A269" s="12" t="s">
        <v>340</v>
      </c>
      <c r="B269" s="19">
        <v>42064</v>
      </c>
      <c r="C269" s="13" t="s">
        <v>28</v>
      </c>
      <c r="D269" s="13" t="s">
        <v>45</v>
      </c>
      <c r="E269" s="13" t="s">
        <v>17</v>
      </c>
      <c r="F269" s="13" t="s">
        <v>54</v>
      </c>
      <c r="G269" s="13">
        <v>9</v>
      </c>
      <c r="H269" s="13">
        <v>21</v>
      </c>
      <c r="I269" s="13">
        <v>189</v>
      </c>
      <c r="J269" s="14" t="s">
        <v>15</v>
      </c>
      <c r="R269" s="13">
        <v>920</v>
      </c>
      <c r="T269" s="51"/>
      <c r="AA269" s="13">
        <v>250</v>
      </c>
    </row>
    <row r="270" spans="1:27" x14ac:dyDescent="0.3">
      <c r="A270" s="12" t="s">
        <v>341</v>
      </c>
      <c r="B270" s="19">
        <v>42064</v>
      </c>
      <c r="C270" s="13" t="s">
        <v>11</v>
      </c>
      <c r="D270" s="13" t="s">
        <v>45</v>
      </c>
      <c r="E270" s="13" t="s">
        <v>21</v>
      </c>
      <c r="F270" s="13" t="s">
        <v>22</v>
      </c>
      <c r="G270" s="13">
        <v>6</v>
      </c>
      <c r="H270" s="13">
        <v>1</v>
      </c>
      <c r="I270" s="13">
        <v>6</v>
      </c>
      <c r="J270" s="14" t="s">
        <v>15</v>
      </c>
      <c r="R270" s="13">
        <v>252</v>
      </c>
      <c r="T270" s="51"/>
      <c r="AA270" s="13">
        <v>441.59999999999997</v>
      </c>
    </row>
    <row r="271" spans="1:27" x14ac:dyDescent="0.3">
      <c r="A271" s="12" t="s">
        <v>342</v>
      </c>
      <c r="B271" s="19">
        <v>42067</v>
      </c>
      <c r="C271" s="13" t="s">
        <v>28</v>
      </c>
      <c r="D271" s="13" t="s">
        <v>12</v>
      </c>
      <c r="E271" s="13" t="s">
        <v>13</v>
      </c>
      <c r="F271" s="13" t="s">
        <v>14</v>
      </c>
      <c r="G271" s="13">
        <v>21</v>
      </c>
      <c r="H271" s="13">
        <v>10</v>
      </c>
      <c r="I271" s="13">
        <v>210</v>
      </c>
      <c r="J271" s="14" t="s">
        <v>15</v>
      </c>
      <c r="R271" s="13">
        <v>285</v>
      </c>
      <c r="T271" s="51"/>
      <c r="AA271" s="13">
        <v>620</v>
      </c>
    </row>
    <row r="272" spans="1:27" x14ac:dyDescent="0.3">
      <c r="A272" s="12" t="s">
        <v>343</v>
      </c>
      <c r="B272" s="19">
        <v>42067</v>
      </c>
      <c r="C272" s="13" t="s">
        <v>20</v>
      </c>
      <c r="D272" s="13" t="s">
        <v>12</v>
      </c>
      <c r="E272" s="13" t="s">
        <v>21</v>
      </c>
      <c r="F272" s="13" t="s">
        <v>22</v>
      </c>
      <c r="G272" s="13">
        <v>12</v>
      </c>
      <c r="H272" s="13">
        <v>5</v>
      </c>
      <c r="I272" s="13">
        <v>60</v>
      </c>
      <c r="J272" s="14" t="s">
        <v>15</v>
      </c>
      <c r="R272" s="13">
        <v>1250</v>
      </c>
      <c r="T272" s="51"/>
      <c r="AA272" s="13">
        <v>390</v>
      </c>
    </row>
    <row r="273" spans="1:27" x14ac:dyDescent="0.3">
      <c r="A273" s="12" t="s">
        <v>344</v>
      </c>
      <c r="B273" s="19">
        <v>42072</v>
      </c>
      <c r="C273" s="13" t="s">
        <v>28</v>
      </c>
      <c r="D273" s="13" t="s">
        <v>45</v>
      </c>
      <c r="E273" s="13" t="s">
        <v>34</v>
      </c>
      <c r="F273" s="13" t="s">
        <v>64</v>
      </c>
      <c r="G273" s="13">
        <v>30</v>
      </c>
      <c r="H273" s="13">
        <v>30</v>
      </c>
      <c r="I273" s="13">
        <v>900</v>
      </c>
      <c r="J273" s="14" t="s">
        <v>26</v>
      </c>
      <c r="R273" s="13">
        <v>360</v>
      </c>
      <c r="T273" s="51"/>
      <c r="AA273" s="13">
        <v>760</v>
      </c>
    </row>
    <row r="274" spans="1:27" x14ac:dyDescent="0.3">
      <c r="A274" s="12" t="s">
        <v>345</v>
      </c>
      <c r="B274" s="19">
        <v>42072</v>
      </c>
      <c r="C274" s="13" t="s">
        <v>11</v>
      </c>
      <c r="D274" s="13" t="s">
        <v>45</v>
      </c>
      <c r="E274" s="13" t="s">
        <v>51</v>
      </c>
      <c r="F274" s="13" t="s">
        <v>81</v>
      </c>
      <c r="G274" s="13">
        <v>38</v>
      </c>
      <c r="H274" s="13">
        <v>20</v>
      </c>
      <c r="I274" s="13">
        <v>760</v>
      </c>
      <c r="J274" s="14" t="s">
        <v>26</v>
      </c>
      <c r="R274" s="13">
        <v>276</v>
      </c>
      <c r="T274" s="51"/>
      <c r="AA274" s="13">
        <v>157.5</v>
      </c>
    </row>
    <row r="275" spans="1:27" x14ac:dyDescent="0.3">
      <c r="A275" s="12" t="s">
        <v>346</v>
      </c>
      <c r="B275" s="19">
        <v>42073</v>
      </c>
      <c r="C275" s="13" t="s">
        <v>11</v>
      </c>
      <c r="D275" s="13" t="s">
        <v>45</v>
      </c>
      <c r="E275" s="13" t="s">
        <v>17</v>
      </c>
      <c r="F275" s="13" t="s">
        <v>128</v>
      </c>
      <c r="G275" s="13">
        <v>4.5</v>
      </c>
      <c r="H275" s="13">
        <v>80</v>
      </c>
      <c r="I275" s="13">
        <v>360</v>
      </c>
      <c r="J275" s="14" t="s">
        <v>15</v>
      </c>
      <c r="R275" s="13">
        <v>315</v>
      </c>
      <c r="T275" s="51"/>
      <c r="AA275" s="13">
        <v>306</v>
      </c>
    </row>
    <row r="276" spans="1:27" x14ac:dyDescent="0.3">
      <c r="A276" s="12" t="s">
        <v>347</v>
      </c>
      <c r="B276" s="19">
        <v>42073</v>
      </c>
      <c r="C276" s="13" t="s">
        <v>20</v>
      </c>
      <c r="D276" s="13" t="s">
        <v>45</v>
      </c>
      <c r="E276" s="13" t="s">
        <v>21</v>
      </c>
      <c r="F276" s="13" t="s">
        <v>22</v>
      </c>
      <c r="G276" s="13">
        <v>53</v>
      </c>
      <c r="H276" s="13">
        <v>18</v>
      </c>
      <c r="I276" s="13">
        <v>954</v>
      </c>
      <c r="J276" s="14" t="s">
        <v>15</v>
      </c>
      <c r="R276" s="13">
        <v>223.5</v>
      </c>
      <c r="T276" s="51"/>
      <c r="AA276" s="13">
        <v>420</v>
      </c>
    </row>
    <row r="277" spans="1:27" x14ac:dyDescent="0.3">
      <c r="A277" s="12" t="s">
        <v>348</v>
      </c>
      <c r="B277" s="19">
        <v>42074</v>
      </c>
      <c r="C277" s="13" t="s">
        <v>20</v>
      </c>
      <c r="D277" s="13" t="s">
        <v>45</v>
      </c>
      <c r="E277" s="13" t="s">
        <v>13</v>
      </c>
      <c r="F277" s="13" t="s">
        <v>113</v>
      </c>
      <c r="G277" s="13">
        <v>2.5</v>
      </c>
      <c r="H277" s="13">
        <v>12</v>
      </c>
      <c r="I277" s="13">
        <v>30</v>
      </c>
      <c r="J277" s="14" t="s">
        <v>26</v>
      </c>
      <c r="R277" s="13">
        <v>819.99999999999989</v>
      </c>
      <c r="T277" s="51"/>
      <c r="AA277" s="13">
        <v>504</v>
      </c>
    </row>
    <row r="278" spans="1:27" x14ac:dyDescent="0.3">
      <c r="A278" s="12" t="s">
        <v>349</v>
      </c>
      <c r="B278" s="19">
        <v>42074</v>
      </c>
      <c r="C278" s="13" t="s">
        <v>20</v>
      </c>
      <c r="D278" s="13" t="s">
        <v>45</v>
      </c>
      <c r="E278" s="13" t="s">
        <v>13</v>
      </c>
      <c r="F278" s="13" t="s">
        <v>124</v>
      </c>
      <c r="G278" s="13">
        <v>21.5</v>
      </c>
      <c r="H278" s="13">
        <v>12</v>
      </c>
      <c r="I278" s="13">
        <v>258</v>
      </c>
      <c r="J278" s="14" t="s">
        <v>26</v>
      </c>
      <c r="R278" s="13">
        <v>776.7</v>
      </c>
      <c r="T278" s="51"/>
      <c r="AA278" s="13">
        <v>780</v>
      </c>
    </row>
    <row r="279" spans="1:27" x14ac:dyDescent="0.3">
      <c r="A279" s="12" t="s">
        <v>350</v>
      </c>
      <c r="B279" s="19">
        <v>42081</v>
      </c>
      <c r="C279" s="13" t="s">
        <v>31</v>
      </c>
      <c r="D279" s="13" t="s">
        <v>12</v>
      </c>
      <c r="E279" s="13" t="s">
        <v>13</v>
      </c>
      <c r="F279" s="13" t="s">
        <v>41</v>
      </c>
      <c r="G279" s="13">
        <v>34</v>
      </c>
      <c r="H279" s="13">
        <v>40</v>
      </c>
      <c r="I279" s="13">
        <v>1360</v>
      </c>
      <c r="J279" s="14" t="s">
        <v>26</v>
      </c>
      <c r="R279" s="13">
        <v>280</v>
      </c>
      <c r="T279" s="51"/>
      <c r="AA279" s="13">
        <v>1600</v>
      </c>
    </row>
    <row r="280" spans="1:27" x14ac:dyDescent="0.3">
      <c r="A280" s="12" t="s">
        <v>351</v>
      </c>
      <c r="B280" s="19">
        <v>42081</v>
      </c>
      <c r="C280" s="13" t="s">
        <v>28</v>
      </c>
      <c r="D280" s="13" t="s">
        <v>12</v>
      </c>
      <c r="E280" s="13" t="s">
        <v>34</v>
      </c>
      <c r="F280" s="13" t="s">
        <v>75</v>
      </c>
      <c r="G280" s="13">
        <v>20</v>
      </c>
      <c r="H280" s="13">
        <v>24</v>
      </c>
      <c r="I280" s="13">
        <v>480</v>
      </c>
      <c r="J280" s="14" t="s">
        <v>26</v>
      </c>
      <c r="R280" s="13">
        <v>600</v>
      </c>
      <c r="T280" s="51"/>
      <c r="AA280" s="13">
        <v>1484</v>
      </c>
    </row>
    <row r="281" spans="1:27" x14ac:dyDescent="0.3">
      <c r="A281" s="12" t="s">
        <v>352</v>
      </c>
      <c r="B281" s="19">
        <v>42085</v>
      </c>
      <c r="C281" s="13" t="s">
        <v>11</v>
      </c>
      <c r="D281" s="13" t="s">
        <v>45</v>
      </c>
      <c r="E281" s="13" t="s">
        <v>51</v>
      </c>
      <c r="F281" s="13" t="s">
        <v>81</v>
      </c>
      <c r="G281" s="13">
        <v>53</v>
      </c>
      <c r="H281" s="13">
        <v>3</v>
      </c>
      <c r="I281" s="13">
        <v>159</v>
      </c>
      <c r="J281" s="14" t="s">
        <v>26</v>
      </c>
      <c r="R281" s="13">
        <v>250</v>
      </c>
      <c r="T281" s="51"/>
      <c r="AA281" s="13">
        <v>340</v>
      </c>
    </row>
    <row r="282" spans="1:27" x14ac:dyDescent="0.3">
      <c r="A282" s="12" t="s">
        <v>353</v>
      </c>
      <c r="B282" s="19">
        <v>42085</v>
      </c>
      <c r="C282" s="13" t="s">
        <v>31</v>
      </c>
      <c r="D282" s="13" t="s">
        <v>45</v>
      </c>
      <c r="E282" s="13" t="s">
        <v>17</v>
      </c>
      <c r="F282" s="13" t="s">
        <v>54</v>
      </c>
      <c r="G282" s="13">
        <v>18.399999999999999</v>
      </c>
      <c r="H282" s="13">
        <v>10</v>
      </c>
      <c r="I282" s="13">
        <v>184</v>
      </c>
      <c r="J282" s="14" t="s">
        <v>26</v>
      </c>
      <c r="R282" s="13">
        <v>441.59999999999997</v>
      </c>
      <c r="T282" s="51"/>
      <c r="AA282" s="13">
        <v>285</v>
      </c>
    </row>
    <row r="283" spans="1:27" x14ac:dyDescent="0.3">
      <c r="A283" s="12" t="s">
        <v>354</v>
      </c>
      <c r="B283" s="19">
        <v>42085</v>
      </c>
      <c r="C283" s="13" t="s">
        <v>31</v>
      </c>
      <c r="D283" s="13" t="s">
        <v>45</v>
      </c>
      <c r="E283" s="13" t="s">
        <v>34</v>
      </c>
      <c r="F283" s="13" t="s">
        <v>241</v>
      </c>
      <c r="G283" s="13">
        <v>10</v>
      </c>
      <c r="H283" s="13">
        <v>14</v>
      </c>
      <c r="I283" s="13">
        <v>140</v>
      </c>
      <c r="J283" s="14" t="s">
        <v>26</v>
      </c>
      <c r="R283" s="13">
        <v>620</v>
      </c>
      <c r="T283" s="51"/>
      <c r="AA283" s="13">
        <v>378</v>
      </c>
    </row>
    <row r="284" spans="1:27" x14ac:dyDescent="0.3">
      <c r="A284" s="12" t="s">
        <v>355</v>
      </c>
      <c r="B284" s="19">
        <v>42087</v>
      </c>
      <c r="C284" s="13" t="s">
        <v>31</v>
      </c>
      <c r="D284" s="13" t="s">
        <v>12</v>
      </c>
      <c r="E284" s="13" t="s">
        <v>51</v>
      </c>
      <c r="F284" s="13" t="s">
        <v>268</v>
      </c>
      <c r="G284" s="13">
        <v>7.45</v>
      </c>
      <c r="H284" s="13">
        <v>24</v>
      </c>
      <c r="I284" s="13">
        <v>178.8</v>
      </c>
      <c r="J284" s="14" t="s">
        <v>26</v>
      </c>
      <c r="R284" s="13">
        <v>390</v>
      </c>
      <c r="T284" s="51"/>
      <c r="AA284" s="13">
        <v>172</v>
      </c>
    </row>
    <row r="285" spans="1:27" x14ac:dyDescent="0.3">
      <c r="A285" s="12" t="s">
        <v>356</v>
      </c>
      <c r="B285" s="19">
        <v>42087</v>
      </c>
      <c r="C285" s="13" t="s">
        <v>20</v>
      </c>
      <c r="D285" s="13" t="s">
        <v>12</v>
      </c>
      <c r="E285" s="13" t="s">
        <v>34</v>
      </c>
      <c r="F285" s="13" t="s">
        <v>188</v>
      </c>
      <c r="G285" s="13">
        <v>9.1999999999999993</v>
      </c>
      <c r="H285" s="13">
        <v>5</v>
      </c>
      <c r="I285" s="13">
        <v>46</v>
      </c>
      <c r="J285" s="14" t="s">
        <v>26</v>
      </c>
      <c r="R285" s="13">
        <v>760</v>
      </c>
      <c r="T285" s="51"/>
      <c r="AA285" s="13">
        <v>288</v>
      </c>
    </row>
    <row r="286" spans="1:27" x14ac:dyDescent="0.3">
      <c r="A286" s="12" t="s">
        <v>357</v>
      </c>
      <c r="B286" s="19">
        <v>42094</v>
      </c>
      <c r="C286" s="13" t="s">
        <v>20</v>
      </c>
      <c r="D286" s="13" t="s">
        <v>12</v>
      </c>
      <c r="E286" s="13" t="s">
        <v>17</v>
      </c>
      <c r="F286" s="13" t="s">
        <v>54</v>
      </c>
      <c r="G286" s="13">
        <v>38</v>
      </c>
      <c r="H286" s="13">
        <v>30</v>
      </c>
      <c r="I286" s="13">
        <v>1140</v>
      </c>
      <c r="J286" s="14" t="s">
        <v>26</v>
      </c>
      <c r="R286" s="13">
        <v>157.5</v>
      </c>
      <c r="T286" s="51"/>
      <c r="AA286" s="13">
        <v>388.35</v>
      </c>
    </row>
    <row r="287" spans="1:27" x14ac:dyDescent="0.3">
      <c r="A287" s="12" t="s">
        <v>358</v>
      </c>
      <c r="B287" s="19">
        <v>42096</v>
      </c>
      <c r="C287" s="13" t="s">
        <v>31</v>
      </c>
      <c r="D287" s="13" t="s">
        <v>12</v>
      </c>
      <c r="E287" s="13" t="s">
        <v>13</v>
      </c>
      <c r="F287" s="13" t="s">
        <v>99</v>
      </c>
      <c r="G287" s="13">
        <v>12.5</v>
      </c>
      <c r="H287" s="13">
        <v>20</v>
      </c>
      <c r="I287" s="13">
        <v>250</v>
      </c>
      <c r="J287" s="14" t="s">
        <v>26</v>
      </c>
      <c r="R287" s="13">
        <v>306</v>
      </c>
      <c r="T287" s="51"/>
      <c r="AA287" s="13">
        <v>360</v>
      </c>
    </row>
    <row r="288" spans="1:27" x14ac:dyDescent="0.3">
      <c r="A288" s="12" t="s">
        <v>359</v>
      </c>
      <c r="B288" s="19">
        <v>42113</v>
      </c>
      <c r="C288" s="13" t="s">
        <v>28</v>
      </c>
      <c r="D288" s="13" t="s">
        <v>12</v>
      </c>
      <c r="E288" s="13" t="s">
        <v>17</v>
      </c>
      <c r="F288" s="13" t="s">
        <v>128</v>
      </c>
      <c r="G288" s="13">
        <v>4.5</v>
      </c>
      <c r="H288" s="13">
        <v>10</v>
      </c>
      <c r="I288" s="13">
        <v>45</v>
      </c>
      <c r="J288" s="14" t="s">
        <v>26</v>
      </c>
      <c r="R288" s="13">
        <v>420</v>
      </c>
      <c r="T288" s="51"/>
      <c r="AA288" s="13">
        <v>750</v>
      </c>
    </row>
    <row r="289" spans="1:27" x14ac:dyDescent="0.3">
      <c r="A289" s="12" t="s">
        <v>360</v>
      </c>
      <c r="B289" s="19">
        <v>42113</v>
      </c>
      <c r="C289" s="13" t="s">
        <v>28</v>
      </c>
      <c r="D289" s="13" t="s">
        <v>12</v>
      </c>
      <c r="E289" s="13" t="s">
        <v>13</v>
      </c>
      <c r="F289" s="13" t="s">
        <v>41</v>
      </c>
      <c r="G289" s="13">
        <v>34</v>
      </c>
      <c r="H289" s="13">
        <v>12</v>
      </c>
      <c r="I289" s="13">
        <v>408</v>
      </c>
      <c r="J289" s="14" t="s">
        <v>26</v>
      </c>
      <c r="R289" s="13">
        <v>504</v>
      </c>
      <c r="T289" s="51"/>
      <c r="AA289" s="13">
        <v>388.35</v>
      </c>
    </row>
    <row r="290" spans="1:27" x14ac:dyDescent="0.3">
      <c r="A290" s="12" t="s">
        <v>361</v>
      </c>
      <c r="B290" s="19">
        <v>42113</v>
      </c>
      <c r="C290" s="13" t="s">
        <v>11</v>
      </c>
      <c r="D290" s="13" t="s">
        <v>12</v>
      </c>
      <c r="E290" s="13" t="s">
        <v>51</v>
      </c>
      <c r="F290" s="13" t="s">
        <v>81</v>
      </c>
      <c r="G290" s="13">
        <v>12</v>
      </c>
      <c r="H290" s="13">
        <v>9</v>
      </c>
      <c r="I290" s="13">
        <v>108</v>
      </c>
      <c r="J290" s="14" t="s">
        <v>26</v>
      </c>
      <c r="R290" s="13">
        <v>780</v>
      </c>
      <c r="T290" s="51"/>
      <c r="AA290" s="13">
        <v>180</v>
      </c>
    </row>
    <row r="291" spans="1:27" x14ac:dyDescent="0.3">
      <c r="A291" s="12" t="s">
        <v>362</v>
      </c>
      <c r="B291" s="19">
        <v>42113</v>
      </c>
      <c r="C291" s="13" t="s">
        <v>11</v>
      </c>
      <c r="D291" s="13" t="s">
        <v>12</v>
      </c>
      <c r="E291" s="13" t="s">
        <v>34</v>
      </c>
      <c r="F291" s="13" t="s">
        <v>136</v>
      </c>
      <c r="G291" s="13">
        <v>9.5</v>
      </c>
      <c r="H291" s="13">
        <v>6</v>
      </c>
      <c r="I291" s="13">
        <v>57</v>
      </c>
      <c r="J291" s="14" t="s">
        <v>26</v>
      </c>
      <c r="R291" s="13">
        <v>1600</v>
      </c>
      <c r="T291" s="51"/>
      <c r="AA291" s="13">
        <v>570</v>
      </c>
    </row>
    <row r="292" spans="1:27" x14ac:dyDescent="0.3">
      <c r="A292" s="12" t="s">
        <v>363</v>
      </c>
      <c r="B292" s="19">
        <v>42116</v>
      </c>
      <c r="C292" s="13" t="s">
        <v>28</v>
      </c>
      <c r="D292" s="13" t="s">
        <v>45</v>
      </c>
      <c r="E292" s="13" t="s">
        <v>17</v>
      </c>
      <c r="F292" s="13" t="s">
        <v>54</v>
      </c>
      <c r="G292" s="13">
        <v>15</v>
      </c>
      <c r="H292" s="13">
        <v>6</v>
      </c>
      <c r="I292" s="13">
        <v>90</v>
      </c>
      <c r="J292" s="14" t="s">
        <v>26</v>
      </c>
      <c r="R292" s="13">
        <v>1484</v>
      </c>
      <c r="T292" s="51"/>
      <c r="AA292" s="13">
        <v>330</v>
      </c>
    </row>
    <row r="293" spans="1:27" x14ac:dyDescent="0.3">
      <c r="A293" s="12" t="s">
        <v>364</v>
      </c>
      <c r="B293" s="19">
        <v>42116</v>
      </c>
      <c r="C293" s="13" t="s">
        <v>28</v>
      </c>
      <c r="D293" s="13" t="s">
        <v>45</v>
      </c>
      <c r="E293" s="13" t="s">
        <v>13</v>
      </c>
      <c r="F293" s="13" t="s">
        <v>14</v>
      </c>
      <c r="G293" s="13">
        <v>7</v>
      </c>
      <c r="H293" s="13">
        <v>6</v>
      </c>
      <c r="I293" s="13">
        <v>42</v>
      </c>
      <c r="J293" s="14" t="s">
        <v>26</v>
      </c>
      <c r="R293" s="13">
        <v>340</v>
      </c>
      <c r="T293" s="51"/>
      <c r="AA293" s="13">
        <v>625</v>
      </c>
    </row>
    <row r="294" spans="1:27" x14ac:dyDescent="0.3">
      <c r="A294" s="12" t="s">
        <v>365</v>
      </c>
      <c r="B294" s="19">
        <v>42116</v>
      </c>
      <c r="C294" s="13" t="s">
        <v>11</v>
      </c>
      <c r="D294" s="13" t="s">
        <v>45</v>
      </c>
      <c r="E294" s="13" t="s">
        <v>13</v>
      </c>
      <c r="F294" s="13" t="s">
        <v>66</v>
      </c>
      <c r="G294" s="13">
        <v>55</v>
      </c>
      <c r="H294" s="13">
        <v>4</v>
      </c>
      <c r="I294" s="13">
        <v>220</v>
      </c>
      <c r="J294" s="14" t="s">
        <v>26</v>
      </c>
      <c r="R294" s="13">
        <v>285</v>
      </c>
      <c r="T294" s="51"/>
      <c r="AA294" s="13">
        <v>258</v>
      </c>
    </row>
    <row r="295" spans="1:27" x14ac:dyDescent="0.3">
      <c r="A295" s="12" t="s">
        <v>366</v>
      </c>
      <c r="B295" s="19">
        <v>42121</v>
      </c>
      <c r="C295" s="13" t="s">
        <v>31</v>
      </c>
      <c r="D295" s="13" t="s">
        <v>24</v>
      </c>
      <c r="E295" s="13" t="s">
        <v>34</v>
      </c>
      <c r="F295" s="13" t="s">
        <v>64</v>
      </c>
      <c r="G295" s="13">
        <v>9.65</v>
      </c>
      <c r="H295" s="13">
        <v>10</v>
      </c>
      <c r="I295" s="13">
        <v>96.5</v>
      </c>
      <c r="J295" s="14" t="s">
        <v>26</v>
      </c>
      <c r="R295" s="13">
        <v>378</v>
      </c>
      <c r="T295" s="51"/>
      <c r="AA295" s="13">
        <v>315</v>
      </c>
    </row>
    <row r="296" spans="1:27" x14ac:dyDescent="0.3">
      <c r="A296" s="12" t="s">
        <v>367</v>
      </c>
      <c r="B296" s="19">
        <v>42121</v>
      </c>
      <c r="C296" s="13" t="s">
        <v>20</v>
      </c>
      <c r="D296" s="13" t="s">
        <v>24</v>
      </c>
      <c r="E296" s="13" t="s">
        <v>17</v>
      </c>
      <c r="F296" s="13" t="s">
        <v>72</v>
      </c>
      <c r="G296" s="13">
        <v>18</v>
      </c>
      <c r="H296" s="13">
        <v>3</v>
      </c>
      <c r="I296" s="13">
        <v>54</v>
      </c>
      <c r="J296" s="14" t="s">
        <v>26</v>
      </c>
      <c r="R296" s="13">
        <v>172</v>
      </c>
      <c r="T296" s="51"/>
      <c r="AA296" s="13">
        <v>280</v>
      </c>
    </row>
    <row r="297" spans="1:27" x14ac:dyDescent="0.3">
      <c r="A297" s="12" t="s">
        <v>368</v>
      </c>
      <c r="B297" s="19">
        <v>42121</v>
      </c>
      <c r="C297" s="13" t="s">
        <v>11</v>
      </c>
      <c r="D297" s="13" t="s">
        <v>24</v>
      </c>
      <c r="E297" s="13" t="s">
        <v>34</v>
      </c>
      <c r="F297" s="13" t="s">
        <v>43</v>
      </c>
      <c r="G297" s="13">
        <v>12.5</v>
      </c>
      <c r="H297" s="13">
        <v>60</v>
      </c>
      <c r="I297" s="13">
        <v>750</v>
      </c>
      <c r="J297" s="14" t="s">
        <v>26</v>
      </c>
      <c r="R297" s="13">
        <v>288</v>
      </c>
      <c r="T297" s="51"/>
      <c r="AA297" s="13">
        <v>1317.5</v>
      </c>
    </row>
    <row r="298" spans="1:27" x14ac:dyDescent="0.3">
      <c r="A298" s="12" t="s">
        <v>369</v>
      </c>
      <c r="B298" s="19">
        <v>42123</v>
      </c>
      <c r="C298" s="13" t="s">
        <v>28</v>
      </c>
      <c r="D298" s="13" t="s">
        <v>45</v>
      </c>
      <c r="E298" s="13" t="s">
        <v>51</v>
      </c>
      <c r="F298" s="13" t="s">
        <v>118</v>
      </c>
      <c r="G298" s="13">
        <v>39</v>
      </c>
      <c r="H298" s="13">
        <v>25</v>
      </c>
      <c r="I298" s="13">
        <v>975</v>
      </c>
      <c r="J298" s="14" t="s">
        <v>26</v>
      </c>
      <c r="R298" s="13">
        <v>388.35</v>
      </c>
      <c r="T298" s="51"/>
      <c r="AA298" s="13">
        <v>1200</v>
      </c>
    </row>
    <row r="299" spans="1:27" x14ac:dyDescent="0.3">
      <c r="A299" s="12" t="s">
        <v>370</v>
      </c>
      <c r="B299" s="19">
        <v>42123</v>
      </c>
      <c r="C299" s="13" t="s">
        <v>20</v>
      </c>
      <c r="D299" s="13" t="s">
        <v>45</v>
      </c>
      <c r="E299" s="13" t="s">
        <v>17</v>
      </c>
      <c r="F299" s="13" t="s">
        <v>54</v>
      </c>
      <c r="G299" s="13">
        <v>26</v>
      </c>
      <c r="H299" s="13">
        <v>18</v>
      </c>
      <c r="I299" s="13">
        <v>468</v>
      </c>
      <c r="J299" s="14" t="s">
        <v>26</v>
      </c>
      <c r="R299" s="13">
        <v>360</v>
      </c>
      <c r="T299" s="51"/>
      <c r="AA299" s="13">
        <v>388.35</v>
      </c>
    </row>
    <row r="300" spans="1:27" x14ac:dyDescent="0.3">
      <c r="A300" s="12" t="s">
        <v>371</v>
      </c>
      <c r="B300" s="19">
        <v>42123</v>
      </c>
      <c r="C300" s="13" t="s">
        <v>28</v>
      </c>
      <c r="D300" s="13" t="s">
        <v>45</v>
      </c>
      <c r="E300" s="13" t="s">
        <v>13</v>
      </c>
      <c r="F300" s="13" t="s">
        <v>14</v>
      </c>
      <c r="G300" s="13">
        <v>9.65</v>
      </c>
      <c r="H300" s="13">
        <v>6</v>
      </c>
      <c r="I300" s="13">
        <v>57.900000000000006</v>
      </c>
      <c r="J300" s="14" t="s">
        <v>26</v>
      </c>
      <c r="R300" s="13">
        <v>750</v>
      </c>
      <c r="T300" s="51"/>
      <c r="AA300" s="13">
        <v>760</v>
      </c>
    </row>
    <row r="301" spans="1:27" x14ac:dyDescent="0.3">
      <c r="A301" s="12" t="s">
        <v>372</v>
      </c>
      <c r="B301" s="19">
        <v>42123</v>
      </c>
      <c r="C301" s="13" t="s">
        <v>20</v>
      </c>
      <c r="D301" s="13" t="s">
        <v>45</v>
      </c>
      <c r="E301" s="13" t="s">
        <v>34</v>
      </c>
      <c r="F301" s="13" t="s">
        <v>35</v>
      </c>
      <c r="G301" s="13">
        <v>81</v>
      </c>
      <c r="H301" s="13">
        <v>15</v>
      </c>
      <c r="I301" s="13">
        <v>1215</v>
      </c>
      <c r="J301" s="14" t="s">
        <v>26</v>
      </c>
      <c r="R301" s="13">
        <v>388.35</v>
      </c>
      <c r="T301" s="51"/>
      <c r="AA301" s="13">
        <v>348.75</v>
      </c>
    </row>
    <row r="302" spans="1:27" x14ac:dyDescent="0.3">
      <c r="A302" s="12" t="s">
        <v>373</v>
      </c>
      <c r="B302" s="19">
        <v>42130</v>
      </c>
      <c r="C302" s="13" t="s">
        <v>31</v>
      </c>
      <c r="D302" s="13" t="s">
        <v>24</v>
      </c>
      <c r="E302" s="13" t="s">
        <v>13</v>
      </c>
      <c r="F302" s="13" t="s">
        <v>66</v>
      </c>
      <c r="G302" s="13">
        <v>55</v>
      </c>
      <c r="H302" s="13">
        <v>50</v>
      </c>
      <c r="I302" s="13">
        <v>2750</v>
      </c>
      <c r="J302" s="14" t="s">
        <v>15</v>
      </c>
      <c r="R302" s="13">
        <v>180</v>
      </c>
      <c r="T302" s="51"/>
      <c r="AA302" s="13">
        <v>348</v>
      </c>
    </row>
    <row r="303" spans="1:27" x14ac:dyDescent="0.3">
      <c r="A303" s="12" t="s">
        <v>374</v>
      </c>
      <c r="B303" s="19">
        <v>42131</v>
      </c>
      <c r="C303" s="13" t="s">
        <v>28</v>
      </c>
      <c r="D303" s="13" t="s">
        <v>45</v>
      </c>
      <c r="E303" s="13" t="s">
        <v>21</v>
      </c>
      <c r="F303" s="13" t="s">
        <v>375</v>
      </c>
      <c r="G303" s="13">
        <v>17</v>
      </c>
      <c r="H303" s="13">
        <v>24</v>
      </c>
      <c r="I303" s="13">
        <v>408</v>
      </c>
      <c r="J303" s="14" t="s">
        <v>26</v>
      </c>
      <c r="R303" s="13">
        <v>570</v>
      </c>
      <c r="T303" s="51"/>
      <c r="AA303" s="13">
        <v>530</v>
      </c>
    </row>
    <row r="304" spans="1:27" x14ac:dyDescent="0.3">
      <c r="A304" s="12" t="s">
        <v>376</v>
      </c>
      <c r="B304" s="19">
        <v>42131</v>
      </c>
      <c r="C304" s="13" t="s">
        <v>20</v>
      </c>
      <c r="D304" s="13" t="s">
        <v>45</v>
      </c>
      <c r="E304" s="13" t="s">
        <v>34</v>
      </c>
      <c r="F304" s="13" t="s">
        <v>64</v>
      </c>
      <c r="G304" s="13">
        <v>25.89</v>
      </c>
      <c r="H304" s="13">
        <v>15</v>
      </c>
      <c r="I304" s="13">
        <v>388.35</v>
      </c>
      <c r="J304" s="14" t="s">
        <v>26</v>
      </c>
      <c r="R304" s="13">
        <v>330</v>
      </c>
      <c r="T304" s="51"/>
      <c r="AA304" s="13">
        <v>1050</v>
      </c>
    </row>
    <row r="305" spans="1:27" x14ac:dyDescent="0.3">
      <c r="A305" s="12" t="s">
        <v>377</v>
      </c>
      <c r="B305" s="19">
        <v>42137</v>
      </c>
      <c r="C305" s="13" t="s">
        <v>28</v>
      </c>
      <c r="D305" s="13" t="s">
        <v>45</v>
      </c>
      <c r="E305" s="13" t="s">
        <v>17</v>
      </c>
      <c r="F305" s="13" t="s">
        <v>54</v>
      </c>
      <c r="G305" s="13">
        <v>15</v>
      </c>
      <c r="H305" s="13">
        <v>7</v>
      </c>
      <c r="I305" s="13">
        <v>105</v>
      </c>
      <c r="J305" s="14" t="s">
        <v>26</v>
      </c>
      <c r="R305" s="13">
        <v>625</v>
      </c>
      <c r="T305" s="51"/>
      <c r="AA305" s="13">
        <v>1560</v>
      </c>
    </row>
    <row r="306" spans="1:27" x14ac:dyDescent="0.3">
      <c r="A306" s="12" t="s">
        <v>378</v>
      </c>
      <c r="B306" s="19">
        <v>42137</v>
      </c>
      <c r="C306" s="13" t="s">
        <v>11</v>
      </c>
      <c r="D306" s="13" t="s">
        <v>45</v>
      </c>
      <c r="E306" s="13" t="s">
        <v>13</v>
      </c>
      <c r="F306" s="13" t="s">
        <v>56</v>
      </c>
      <c r="G306" s="13">
        <v>34.799999999999997</v>
      </c>
      <c r="H306" s="13">
        <v>1</v>
      </c>
      <c r="I306" s="13">
        <v>34.799999999999997</v>
      </c>
      <c r="J306" s="14" t="s">
        <v>26</v>
      </c>
      <c r="R306" s="13">
        <v>258</v>
      </c>
      <c r="T306" s="51"/>
      <c r="AA306" s="13">
        <v>2475.8000000000002</v>
      </c>
    </row>
    <row r="307" spans="1:27" x14ac:dyDescent="0.3">
      <c r="A307" s="12" t="s">
        <v>379</v>
      </c>
      <c r="B307" s="19">
        <v>42138</v>
      </c>
      <c r="C307" s="13" t="s">
        <v>20</v>
      </c>
      <c r="D307" s="13" t="s">
        <v>45</v>
      </c>
      <c r="E307" s="13" t="s">
        <v>13</v>
      </c>
      <c r="F307" s="13" t="s">
        <v>113</v>
      </c>
      <c r="G307" s="13">
        <v>2.5</v>
      </c>
      <c r="H307" s="13">
        <v>15</v>
      </c>
      <c r="I307" s="13">
        <v>37.5</v>
      </c>
      <c r="J307" s="14" t="s">
        <v>26</v>
      </c>
      <c r="R307" s="13">
        <v>315</v>
      </c>
      <c r="T307" s="51"/>
      <c r="AA307" s="13">
        <v>825</v>
      </c>
    </row>
    <row r="308" spans="1:27" x14ac:dyDescent="0.3">
      <c r="A308" s="12" t="s">
        <v>380</v>
      </c>
      <c r="B308" s="19">
        <v>42138</v>
      </c>
      <c r="C308" s="13" t="s">
        <v>28</v>
      </c>
      <c r="D308" s="13" t="s">
        <v>45</v>
      </c>
      <c r="E308" s="13" t="s">
        <v>34</v>
      </c>
      <c r="F308" s="13" t="s">
        <v>64</v>
      </c>
      <c r="G308" s="13">
        <v>6</v>
      </c>
      <c r="H308" s="13">
        <v>8</v>
      </c>
      <c r="I308" s="13">
        <v>48</v>
      </c>
      <c r="J308" s="14" t="s">
        <v>26</v>
      </c>
      <c r="R308" s="13">
        <v>280</v>
      </c>
      <c r="T308" s="51"/>
      <c r="AA308" s="13">
        <v>220.79999999999998</v>
      </c>
    </row>
    <row r="309" spans="1:27" x14ac:dyDescent="0.3">
      <c r="A309" s="12" t="s">
        <v>381</v>
      </c>
      <c r="B309" s="19">
        <v>42138</v>
      </c>
      <c r="C309" s="13" t="s">
        <v>20</v>
      </c>
      <c r="D309" s="13" t="s">
        <v>45</v>
      </c>
      <c r="E309" s="13" t="s">
        <v>34</v>
      </c>
      <c r="F309" s="13" t="s">
        <v>241</v>
      </c>
      <c r="G309" s="13">
        <v>10</v>
      </c>
      <c r="H309" s="13">
        <v>15</v>
      </c>
      <c r="I309" s="13">
        <v>150</v>
      </c>
      <c r="J309" s="14" t="s">
        <v>26</v>
      </c>
      <c r="R309" s="13">
        <v>1317.5</v>
      </c>
      <c r="T309" s="51"/>
      <c r="AA309" s="13">
        <v>210</v>
      </c>
    </row>
    <row r="310" spans="1:27" x14ac:dyDescent="0.3">
      <c r="A310" s="12" t="s">
        <v>382</v>
      </c>
      <c r="B310" s="19">
        <v>42138</v>
      </c>
      <c r="C310" s="13" t="s">
        <v>28</v>
      </c>
      <c r="D310" s="13" t="s">
        <v>45</v>
      </c>
      <c r="E310" s="13" t="s">
        <v>34</v>
      </c>
      <c r="F310" s="13" t="s">
        <v>75</v>
      </c>
      <c r="G310" s="13">
        <v>20</v>
      </c>
      <c r="H310" s="13">
        <v>6</v>
      </c>
      <c r="I310" s="13">
        <v>120</v>
      </c>
      <c r="J310" s="14" t="s">
        <v>26</v>
      </c>
      <c r="R310" s="13">
        <v>1200</v>
      </c>
      <c r="T310" s="51"/>
      <c r="AA310" s="13">
        <v>1094.4000000000001</v>
      </c>
    </row>
    <row r="311" spans="1:27" x14ac:dyDescent="0.3">
      <c r="A311" s="12" t="s">
        <v>383</v>
      </c>
      <c r="B311" s="19">
        <v>42141</v>
      </c>
      <c r="C311" s="13" t="s">
        <v>20</v>
      </c>
      <c r="D311" s="13" t="s">
        <v>24</v>
      </c>
      <c r="E311" s="13" t="s">
        <v>17</v>
      </c>
      <c r="F311" s="13" t="s">
        <v>32</v>
      </c>
      <c r="G311" s="13">
        <v>263.5</v>
      </c>
      <c r="H311" s="13">
        <v>4</v>
      </c>
      <c r="I311" s="13">
        <v>1054</v>
      </c>
      <c r="J311" s="14" t="s">
        <v>15</v>
      </c>
      <c r="R311" s="13">
        <v>388.35</v>
      </c>
      <c r="T311" s="51"/>
      <c r="AA311" s="13">
        <v>1116</v>
      </c>
    </row>
    <row r="312" spans="1:27" x14ac:dyDescent="0.3">
      <c r="A312" s="12" t="s">
        <v>127</v>
      </c>
      <c r="B312" s="19">
        <v>42141</v>
      </c>
      <c r="C312" s="13" t="s">
        <v>20</v>
      </c>
      <c r="D312" s="13" t="s">
        <v>12</v>
      </c>
      <c r="E312" s="13" t="s">
        <v>17</v>
      </c>
      <c r="F312" s="13" t="s">
        <v>128</v>
      </c>
      <c r="G312" s="13">
        <v>4.5</v>
      </c>
      <c r="H312" s="13">
        <v>35</v>
      </c>
      <c r="I312" s="13">
        <v>157.5</v>
      </c>
      <c r="J312" s="14" t="s">
        <v>15</v>
      </c>
      <c r="R312" s="13">
        <v>760</v>
      </c>
      <c r="T312" s="51"/>
      <c r="AA312" s="13">
        <v>5745.6</v>
      </c>
    </row>
    <row r="313" spans="1:27" x14ac:dyDescent="0.3">
      <c r="A313" s="12" t="s">
        <v>384</v>
      </c>
      <c r="B313" s="19">
        <v>42141</v>
      </c>
      <c r="C313" s="13" t="s">
        <v>31</v>
      </c>
      <c r="D313" s="13" t="s">
        <v>12</v>
      </c>
      <c r="E313" s="13" t="s">
        <v>21</v>
      </c>
      <c r="F313" s="13" t="s">
        <v>87</v>
      </c>
      <c r="G313" s="13">
        <v>21.05</v>
      </c>
      <c r="H313" s="13">
        <v>36</v>
      </c>
      <c r="I313" s="13">
        <v>757.80000000000007</v>
      </c>
      <c r="J313" s="14" t="s">
        <v>15</v>
      </c>
      <c r="R313" s="13">
        <v>348.75</v>
      </c>
      <c r="T313" s="51"/>
      <c r="AA313" s="13">
        <v>855</v>
      </c>
    </row>
    <row r="314" spans="1:27" x14ac:dyDescent="0.3">
      <c r="A314" s="12" t="s">
        <v>385</v>
      </c>
      <c r="B314" s="19">
        <v>42145</v>
      </c>
      <c r="C314" s="13" t="s">
        <v>28</v>
      </c>
      <c r="D314" s="13" t="s">
        <v>45</v>
      </c>
      <c r="E314" s="13" t="s">
        <v>13</v>
      </c>
      <c r="F314" s="13" t="s">
        <v>121</v>
      </c>
      <c r="G314" s="13">
        <v>32</v>
      </c>
      <c r="H314" s="13">
        <v>24</v>
      </c>
      <c r="I314" s="13">
        <v>768</v>
      </c>
      <c r="J314" s="14" t="s">
        <v>26</v>
      </c>
      <c r="R314" s="13">
        <v>348</v>
      </c>
      <c r="T314" s="51"/>
      <c r="AA314" s="13">
        <v>257.59999999999997</v>
      </c>
    </row>
    <row r="315" spans="1:27" x14ac:dyDescent="0.3">
      <c r="A315" s="12" t="s">
        <v>386</v>
      </c>
      <c r="B315" s="19">
        <v>42145</v>
      </c>
      <c r="C315" s="13" t="s">
        <v>11</v>
      </c>
      <c r="D315" s="13" t="s">
        <v>45</v>
      </c>
      <c r="E315" s="13" t="s">
        <v>21</v>
      </c>
      <c r="F315" s="13" t="s">
        <v>22</v>
      </c>
      <c r="G315" s="13">
        <v>19</v>
      </c>
      <c r="H315" s="13">
        <v>60</v>
      </c>
      <c r="I315" s="13">
        <v>1140</v>
      </c>
      <c r="J315" s="14" t="s">
        <v>26</v>
      </c>
      <c r="R315" s="13">
        <v>530</v>
      </c>
      <c r="T315" s="51"/>
      <c r="AA315" s="13">
        <v>1200</v>
      </c>
    </row>
    <row r="316" spans="1:27" x14ac:dyDescent="0.3">
      <c r="A316" s="12" t="s">
        <v>387</v>
      </c>
      <c r="B316" s="19">
        <v>42150</v>
      </c>
      <c r="C316" s="13" t="s">
        <v>31</v>
      </c>
      <c r="D316" s="13" t="s">
        <v>85</v>
      </c>
      <c r="E316" s="13" t="s">
        <v>51</v>
      </c>
      <c r="F316" s="13" t="s">
        <v>118</v>
      </c>
      <c r="G316" s="13">
        <v>39</v>
      </c>
      <c r="H316" s="13">
        <v>8</v>
      </c>
      <c r="I316" s="13">
        <v>312</v>
      </c>
      <c r="J316" s="14" t="s">
        <v>26</v>
      </c>
      <c r="R316" s="13">
        <v>1050</v>
      </c>
      <c r="T316" s="51"/>
      <c r="AA316" s="13">
        <v>837</v>
      </c>
    </row>
    <row r="317" spans="1:27" x14ac:dyDescent="0.3">
      <c r="A317" s="12" t="s">
        <v>388</v>
      </c>
      <c r="B317" s="19">
        <v>42150</v>
      </c>
      <c r="C317" s="13" t="s">
        <v>20</v>
      </c>
      <c r="D317" s="13" t="s">
        <v>85</v>
      </c>
      <c r="E317" s="13" t="s">
        <v>21</v>
      </c>
      <c r="F317" s="13" t="s">
        <v>22</v>
      </c>
      <c r="G317" s="13">
        <v>28.5</v>
      </c>
      <c r="H317" s="13">
        <v>10</v>
      </c>
      <c r="I317" s="13">
        <v>285</v>
      </c>
      <c r="J317" s="14" t="s">
        <v>26</v>
      </c>
      <c r="R317" s="13">
        <v>1560</v>
      </c>
      <c r="T317" s="51"/>
      <c r="AA317" s="13">
        <v>240</v>
      </c>
    </row>
    <row r="318" spans="1:27" x14ac:dyDescent="0.3">
      <c r="A318" s="12" t="s">
        <v>389</v>
      </c>
      <c r="B318" s="19">
        <v>42150</v>
      </c>
      <c r="C318" s="13" t="s">
        <v>20</v>
      </c>
      <c r="D318" s="13" t="s">
        <v>85</v>
      </c>
      <c r="E318" s="13" t="s">
        <v>34</v>
      </c>
      <c r="F318" s="13" t="s">
        <v>188</v>
      </c>
      <c r="G318" s="13">
        <v>9.1999999999999993</v>
      </c>
      <c r="H318" s="13">
        <v>10</v>
      </c>
      <c r="I318" s="13">
        <v>92</v>
      </c>
      <c r="J318" s="14" t="s">
        <v>26</v>
      </c>
      <c r="R318" s="13">
        <v>2475.8000000000002</v>
      </c>
      <c r="T318" s="51"/>
      <c r="AA318" s="13">
        <v>875</v>
      </c>
    </row>
    <row r="319" spans="1:27" x14ac:dyDescent="0.3">
      <c r="A319" s="12" t="s">
        <v>390</v>
      </c>
      <c r="B319" s="19">
        <v>42150</v>
      </c>
      <c r="C319" s="13" t="s">
        <v>31</v>
      </c>
      <c r="D319" s="13" t="s">
        <v>85</v>
      </c>
      <c r="E319" s="13" t="s">
        <v>34</v>
      </c>
      <c r="F319" s="13" t="s">
        <v>241</v>
      </c>
      <c r="G319" s="13">
        <v>10</v>
      </c>
      <c r="H319" s="13">
        <v>6</v>
      </c>
      <c r="I319" s="13">
        <v>60</v>
      </c>
      <c r="J319" s="14" t="s">
        <v>26</v>
      </c>
      <c r="R319" s="13">
        <v>825</v>
      </c>
      <c r="T319" s="51"/>
      <c r="AA319" s="13">
        <v>165.6</v>
      </c>
    </row>
    <row r="320" spans="1:27" x14ac:dyDescent="0.3">
      <c r="A320" s="12" t="s">
        <v>391</v>
      </c>
      <c r="B320" s="19">
        <v>42157</v>
      </c>
      <c r="C320" s="13" t="s">
        <v>20</v>
      </c>
      <c r="D320" s="13" t="s">
        <v>45</v>
      </c>
      <c r="E320" s="13" t="s">
        <v>51</v>
      </c>
      <c r="F320" s="13" t="s">
        <v>138</v>
      </c>
      <c r="G320" s="13">
        <v>32.799999999999997</v>
      </c>
      <c r="H320" s="13">
        <v>18</v>
      </c>
      <c r="I320" s="13">
        <v>590.4</v>
      </c>
      <c r="J320" s="14" t="s">
        <v>26</v>
      </c>
      <c r="R320" s="13">
        <v>220.79999999999998</v>
      </c>
      <c r="T320" s="51"/>
      <c r="AA320" s="13">
        <v>960</v>
      </c>
    </row>
    <row r="321" spans="1:27" x14ac:dyDescent="0.3">
      <c r="A321" s="12" t="s">
        <v>392</v>
      </c>
      <c r="B321" s="19">
        <v>42157</v>
      </c>
      <c r="C321" s="13" t="s">
        <v>20</v>
      </c>
      <c r="D321" s="13" t="s">
        <v>45</v>
      </c>
      <c r="E321" s="13" t="s">
        <v>34</v>
      </c>
      <c r="F321" s="13" t="s">
        <v>64</v>
      </c>
      <c r="G321" s="13">
        <v>53</v>
      </c>
      <c r="H321" s="13">
        <v>20</v>
      </c>
      <c r="I321" s="13">
        <v>1060</v>
      </c>
      <c r="J321" s="14" t="s">
        <v>26</v>
      </c>
      <c r="R321" s="13">
        <v>210</v>
      </c>
      <c r="T321" s="51"/>
      <c r="AA321" s="13">
        <v>2400</v>
      </c>
    </row>
    <row r="322" spans="1:27" x14ac:dyDescent="0.3">
      <c r="A322" s="12" t="s">
        <v>393</v>
      </c>
      <c r="B322" s="19">
        <v>42157</v>
      </c>
      <c r="C322" s="13" t="s">
        <v>11</v>
      </c>
      <c r="D322" s="13" t="s">
        <v>45</v>
      </c>
      <c r="E322" s="13" t="s">
        <v>13</v>
      </c>
      <c r="F322" s="13" t="s">
        <v>14</v>
      </c>
      <c r="G322" s="13">
        <v>7</v>
      </c>
      <c r="H322" s="13">
        <v>30</v>
      </c>
      <c r="I322" s="13">
        <v>210</v>
      </c>
      <c r="J322" s="14" t="s">
        <v>26</v>
      </c>
      <c r="R322" s="13">
        <v>1094.4000000000001</v>
      </c>
      <c r="T322" s="51"/>
      <c r="AA322" s="13">
        <v>3443.9999999999995</v>
      </c>
    </row>
    <row r="323" spans="1:27" x14ac:dyDescent="0.3">
      <c r="A323" s="12" t="s">
        <v>394</v>
      </c>
      <c r="B323" s="19">
        <v>42157</v>
      </c>
      <c r="C323" s="13" t="s">
        <v>28</v>
      </c>
      <c r="D323" s="13" t="s">
        <v>45</v>
      </c>
      <c r="E323" s="13" t="s">
        <v>17</v>
      </c>
      <c r="F323" s="13" t="s">
        <v>54</v>
      </c>
      <c r="G323" s="13">
        <v>15</v>
      </c>
      <c r="H323" s="13">
        <v>3</v>
      </c>
      <c r="I323" s="13">
        <v>45</v>
      </c>
      <c r="J323" s="14" t="s">
        <v>26</v>
      </c>
      <c r="R323" s="13">
        <v>1116</v>
      </c>
      <c r="T323" s="51"/>
      <c r="AA323" s="13">
        <v>520</v>
      </c>
    </row>
    <row r="324" spans="1:27" x14ac:dyDescent="0.3">
      <c r="A324" s="12" t="s">
        <v>395</v>
      </c>
      <c r="B324" s="19">
        <v>42157</v>
      </c>
      <c r="C324" s="13" t="s">
        <v>11</v>
      </c>
      <c r="D324" s="13" t="s">
        <v>45</v>
      </c>
      <c r="E324" s="13" t="s">
        <v>34</v>
      </c>
      <c r="F324" s="13" t="s">
        <v>136</v>
      </c>
      <c r="G324" s="13">
        <v>9.5</v>
      </c>
      <c r="H324" s="13">
        <v>25</v>
      </c>
      <c r="I324" s="13">
        <v>237.5</v>
      </c>
      <c r="J324" s="14" t="s">
        <v>26</v>
      </c>
      <c r="R324" s="13">
        <v>5745.6</v>
      </c>
      <c r="T324" s="51"/>
      <c r="AA324" s="13">
        <v>9369</v>
      </c>
    </row>
    <row r="325" spans="1:27" x14ac:dyDescent="0.3">
      <c r="A325" s="12" t="s">
        <v>396</v>
      </c>
      <c r="B325" s="19">
        <v>42163</v>
      </c>
      <c r="C325" s="13" t="s">
        <v>28</v>
      </c>
      <c r="D325" s="13" t="s">
        <v>12</v>
      </c>
      <c r="E325" s="13" t="s">
        <v>51</v>
      </c>
      <c r="F325" s="13" t="s">
        <v>81</v>
      </c>
      <c r="G325" s="13">
        <v>7</v>
      </c>
      <c r="H325" s="13">
        <v>70</v>
      </c>
      <c r="I325" s="13">
        <v>490</v>
      </c>
      <c r="J325" s="14" t="s">
        <v>26</v>
      </c>
      <c r="R325" s="13">
        <v>855</v>
      </c>
      <c r="T325" s="51"/>
      <c r="AA325" s="13">
        <v>220.79999999999998</v>
      </c>
    </row>
    <row r="326" spans="1:27" x14ac:dyDescent="0.3">
      <c r="A326" s="12" t="s">
        <v>397</v>
      </c>
      <c r="B326" s="19">
        <v>42163</v>
      </c>
      <c r="C326" s="13" t="s">
        <v>11</v>
      </c>
      <c r="D326" s="13" t="s">
        <v>12</v>
      </c>
      <c r="E326" s="13" t="s">
        <v>51</v>
      </c>
      <c r="F326" s="13" t="s">
        <v>81</v>
      </c>
      <c r="G326" s="13">
        <v>19</v>
      </c>
      <c r="H326" s="13">
        <v>25</v>
      </c>
      <c r="I326" s="13">
        <v>475</v>
      </c>
      <c r="J326" s="14" t="s">
        <v>26</v>
      </c>
      <c r="R326" s="13">
        <v>257.59999999999997</v>
      </c>
      <c r="T326" s="51"/>
      <c r="AA326" s="13">
        <v>11000</v>
      </c>
    </row>
    <row r="327" spans="1:27" x14ac:dyDescent="0.3">
      <c r="A327" s="12" t="s">
        <v>398</v>
      </c>
      <c r="B327" s="19">
        <v>42166</v>
      </c>
      <c r="C327" s="13" t="s">
        <v>20</v>
      </c>
      <c r="D327" s="13" t="s">
        <v>85</v>
      </c>
      <c r="E327" s="13" t="s">
        <v>34</v>
      </c>
      <c r="F327" s="13" t="s">
        <v>64</v>
      </c>
      <c r="G327" s="13">
        <v>31</v>
      </c>
      <c r="H327" s="13">
        <v>5</v>
      </c>
      <c r="I327" s="13">
        <v>155</v>
      </c>
      <c r="J327" s="14" t="s">
        <v>26</v>
      </c>
      <c r="R327" s="13">
        <v>1200</v>
      </c>
      <c r="T327" s="51"/>
      <c r="AA327" s="13">
        <v>1400</v>
      </c>
    </row>
    <row r="328" spans="1:27" x14ac:dyDescent="0.3">
      <c r="A328" s="12" t="s">
        <v>399</v>
      </c>
      <c r="B328" s="19">
        <v>42177</v>
      </c>
      <c r="C328" s="13" t="s">
        <v>11</v>
      </c>
      <c r="D328" s="13" t="s">
        <v>45</v>
      </c>
      <c r="E328" s="13" t="s">
        <v>17</v>
      </c>
      <c r="F328" s="13" t="s">
        <v>72</v>
      </c>
      <c r="G328" s="13">
        <v>18</v>
      </c>
      <c r="H328" s="13">
        <v>20</v>
      </c>
      <c r="I328" s="13">
        <v>360</v>
      </c>
      <c r="J328" s="14" t="s">
        <v>26</v>
      </c>
      <c r="R328" s="13">
        <v>837</v>
      </c>
      <c r="T328" s="51"/>
      <c r="AA328" s="13">
        <v>698.25</v>
      </c>
    </row>
    <row r="329" spans="1:27" x14ac:dyDescent="0.3">
      <c r="A329" s="12" t="s">
        <v>400</v>
      </c>
      <c r="B329" s="19">
        <v>42177</v>
      </c>
      <c r="C329" s="13" t="s">
        <v>28</v>
      </c>
      <c r="D329" s="13" t="s">
        <v>45</v>
      </c>
      <c r="E329" s="13" t="s">
        <v>21</v>
      </c>
      <c r="F329" s="13" t="s">
        <v>22</v>
      </c>
      <c r="G329" s="13">
        <v>19.5</v>
      </c>
      <c r="H329" s="13">
        <v>6</v>
      </c>
      <c r="I329" s="13">
        <v>117</v>
      </c>
      <c r="J329" s="14" t="s">
        <v>26</v>
      </c>
      <c r="R329" s="13">
        <v>240</v>
      </c>
      <c r="T329" s="51"/>
      <c r="AA329" s="13">
        <v>1710</v>
      </c>
    </row>
    <row r="330" spans="1:27" x14ac:dyDescent="0.3">
      <c r="A330" s="12" t="s">
        <v>401</v>
      </c>
      <c r="B330" s="19">
        <v>42179</v>
      </c>
      <c r="C330" s="13" t="s">
        <v>11</v>
      </c>
      <c r="D330" s="13" t="s">
        <v>12</v>
      </c>
      <c r="E330" s="13" t="s">
        <v>17</v>
      </c>
      <c r="F330" s="13" t="s">
        <v>25</v>
      </c>
      <c r="G330" s="13">
        <v>7.75</v>
      </c>
      <c r="H330" s="13">
        <v>50</v>
      </c>
      <c r="I330" s="13">
        <v>387.5</v>
      </c>
      <c r="J330" s="14" t="s">
        <v>15</v>
      </c>
      <c r="R330" s="13">
        <v>875</v>
      </c>
      <c r="T330" s="51"/>
      <c r="AA330" s="13">
        <v>950</v>
      </c>
    </row>
    <row r="331" spans="1:27" x14ac:dyDescent="0.3">
      <c r="A331" s="12" t="s">
        <v>402</v>
      </c>
      <c r="B331" s="19">
        <v>42184</v>
      </c>
      <c r="C331" s="13" t="s">
        <v>20</v>
      </c>
      <c r="D331" s="13" t="s">
        <v>12</v>
      </c>
      <c r="E331" s="13" t="s">
        <v>34</v>
      </c>
      <c r="F331" s="13" t="s">
        <v>136</v>
      </c>
      <c r="G331" s="13">
        <v>9.5</v>
      </c>
      <c r="H331" s="13">
        <v>15</v>
      </c>
      <c r="I331" s="13">
        <v>142.5</v>
      </c>
      <c r="J331" s="14" t="s">
        <v>15</v>
      </c>
      <c r="R331" s="13">
        <v>165.6</v>
      </c>
      <c r="T331" s="51"/>
      <c r="AA331" s="13">
        <v>1008</v>
      </c>
    </row>
    <row r="332" spans="1:27" x14ac:dyDescent="0.3">
      <c r="A332" s="12" t="s">
        <v>403</v>
      </c>
      <c r="B332" s="19">
        <v>42185</v>
      </c>
      <c r="C332" s="13" t="s">
        <v>31</v>
      </c>
      <c r="D332" s="13" t="s">
        <v>12</v>
      </c>
      <c r="E332" s="13" t="s">
        <v>17</v>
      </c>
      <c r="F332" s="13" t="s">
        <v>72</v>
      </c>
      <c r="G332" s="13">
        <v>18</v>
      </c>
      <c r="H332" s="13">
        <v>20</v>
      </c>
      <c r="I332" s="13">
        <v>360</v>
      </c>
      <c r="J332" s="14" t="s">
        <v>15</v>
      </c>
      <c r="R332" s="13">
        <v>960</v>
      </c>
      <c r="T332" s="51"/>
      <c r="AA332" s="13">
        <v>2436</v>
      </c>
    </row>
    <row r="333" spans="1:27" x14ac:dyDescent="0.3">
      <c r="A333" s="12" t="s">
        <v>404</v>
      </c>
      <c r="B333" s="19">
        <v>42185</v>
      </c>
      <c r="C333" s="13" t="s">
        <v>31</v>
      </c>
      <c r="D333" s="13" t="s">
        <v>12</v>
      </c>
      <c r="E333" s="13" t="s">
        <v>21</v>
      </c>
      <c r="F333" s="13" t="s">
        <v>97</v>
      </c>
      <c r="G333" s="13">
        <v>13</v>
      </c>
      <c r="H333" s="13">
        <v>20</v>
      </c>
      <c r="I333" s="13">
        <v>260</v>
      </c>
      <c r="J333" s="14" t="s">
        <v>15</v>
      </c>
      <c r="R333" s="13">
        <v>2400</v>
      </c>
      <c r="T333" s="51"/>
      <c r="AA333" s="13">
        <v>5894</v>
      </c>
    </row>
    <row r="334" spans="1:27" x14ac:dyDescent="0.3">
      <c r="A334" s="12" t="s">
        <v>405</v>
      </c>
      <c r="B334" s="19">
        <v>42198</v>
      </c>
      <c r="C334" s="13" t="s">
        <v>31</v>
      </c>
      <c r="D334" s="13" t="s">
        <v>45</v>
      </c>
      <c r="E334" s="13" t="s">
        <v>34</v>
      </c>
      <c r="F334" s="13" t="s">
        <v>90</v>
      </c>
      <c r="G334" s="13">
        <v>49.3</v>
      </c>
      <c r="H334" s="13">
        <v>10</v>
      </c>
      <c r="I334" s="13">
        <v>493</v>
      </c>
      <c r="J334" s="14" t="s">
        <v>26</v>
      </c>
      <c r="R334" s="13">
        <v>3443.9999999999995</v>
      </c>
      <c r="T334" s="51"/>
      <c r="AA334" s="13">
        <v>368</v>
      </c>
    </row>
    <row r="335" spans="1:27" x14ac:dyDescent="0.3">
      <c r="A335" s="12" t="s">
        <v>406</v>
      </c>
      <c r="B335" s="19">
        <v>42205</v>
      </c>
      <c r="C335" s="13" t="s">
        <v>31</v>
      </c>
      <c r="D335" s="13" t="s">
        <v>12</v>
      </c>
      <c r="E335" s="13" t="s">
        <v>51</v>
      </c>
      <c r="F335" s="13" t="s">
        <v>81</v>
      </c>
      <c r="G335" s="13">
        <v>24</v>
      </c>
      <c r="H335" s="13">
        <v>20</v>
      </c>
      <c r="I335" s="13">
        <v>480</v>
      </c>
      <c r="J335" s="14" t="s">
        <v>26</v>
      </c>
      <c r="R335" s="13">
        <v>520</v>
      </c>
      <c r="T335" s="51"/>
      <c r="AA335" s="13">
        <v>3679.9999999999995</v>
      </c>
    </row>
    <row r="336" spans="1:27" x14ac:dyDescent="0.3">
      <c r="A336" s="12" t="s">
        <v>407</v>
      </c>
      <c r="B336" s="19">
        <v>42205</v>
      </c>
      <c r="C336" s="13" t="s">
        <v>31</v>
      </c>
      <c r="D336" s="13" t="s">
        <v>12</v>
      </c>
      <c r="E336" s="13" t="s">
        <v>21</v>
      </c>
      <c r="F336" s="13" t="s">
        <v>111</v>
      </c>
      <c r="G336" s="13">
        <v>22</v>
      </c>
      <c r="H336" s="13">
        <v>20</v>
      </c>
      <c r="I336" s="13">
        <v>440</v>
      </c>
      <c r="J336" s="14" t="s">
        <v>26</v>
      </c>
      <c r="R336" s="13">
        <v>9369</v>
      </c>
      <c r="T336" s="51"/>
      <c r="AA336" s="13">
        <v>2250</v>
      </c>
    </row>
    <row r="337" spans="1:27" x14ac:dyDescent="0.3">
      <c r="A337" s="12" t="s">
        <v>408</v>
      </c>
      <c r="B337" s="19">
        <v>42205</v>
      </c>
      <c r="C337" s="13" t="s">
        <v>11</v>
      </c>
      <c r="D337" s="13" t="s">
        <v>12</v>
      </c>
      <c r="E337" s="13" t="s">
        <v>34</v>
      </c>
      <c r="F337" s="13" t="s">
        <v>90</v>
      </c>
      <c r="G337" s="13">
        <v>49.3</v>
      </c>
      <c r="H337" s="13">
        <v>10</v>
      </c>
      <c r="I337" s="13">
        <v>493</v>
      </c>
      <c r="J337" s="14" t="s">
        <v>26</v>
      </c>
      <c r="R337" s="13">
        <v>220.79999999999998</v>
      </c>
      <c r="T337" s="51"/>
      <c r="AA337" s="13">
        <v>1721.25</v>
      </c>
    </row>
    <row r="338" spans="1:27" x14ac:dyDescent="0.3">
      <c r="A338" s="12" t="s">
        <v>409</v>
      </c>
      <c r="B338" s="19">
        <v>42219</v>
      </c>
      <c r="C338" s="13" t="s">
        <v>11</v>
      </c>
      <c r="D338" s="13" t="s">
        <v>45</v>
      </c>
      <c r="E338" s="13" t="s">
        <v>17</v>
      </c>
      <c r="F338" s="13" t="s">
        <v>54</v>
      </c>
      <c r="G338" s="13">
        <v>15</v>
      </c>
      <c r="H338" s="13">
        <v>20</v>
      </c>
      <c r="I338" s="13">
        <v>300</v>
      </c>
      <c r="J338" s="14" t="s">
        <v>26</v>
      </c>
      <c r="R338" s="13">
        <v>11000</v>
      </c>
      <c r="T338" s="51"/>
      <c r="AA338" s="13">
        <v>1512</v>
      </c>
    </row>
    <row r="339" spans="1:27" x14ac:dyDescent="0.3">
      <c r="A339" s="12" t="s">
        <v>410</v>
      </c>
      <c r="B339" s="19">
        <v>42219</v>
      </c>
      <c r="C339" s="13" t="s">
        <v>31</v>
      </c>
      <c r="D339" s="13" t="s">
        <v>45</v>
      </c>
      <c r="E339" s="13" t="s">
        <v>13</v>
      </c>
      <c r="F339" s="13" t="s">
        <v>14</v>
      </c>
      <c r="G339" s="13">
        <v>9</v>
      </c>
      <c r="H339" s="13">
        <v>10</v>
      </c>
      <c r="I339" s="13">
        <v>90</v>
      </c>
      <c r="J339" s="14" t="s">
        <v>26</v>
      </c>
      <c r="R339" s="13">
        <v>1400</v>
      </c>
      <c r="T339" s="51"/>
      <c r="AA339" s="13">
        <v>210</v>
      </c>
    </row>
    <row r="340" spans="1:27" x14ac:dyDescent="0.3">
      <c r="A340" s="12" t="s">
        <v>411</v>
      </c>
      <c r="B340" s="19">
        <v>42219</v>
      </c>
      <c r="C340" s="13" t="s">
        <v>11</v>
      </c>
      <c r="D340" s="13" t="s">
        <v>45</v>
      </c>
      <c r="E340" s="13" t="s">
        <v>13</v>
      </c>
      <c r="F340" s="13" t="s">
        <v>124</v>
      </c>
      <c r="G340" s="13">
        <v>21.5</v>
      </c>
      <c r="H340" s="13">
        <v>15</v>
      </c>
      <c r="I340" s="13">
        <v>322.5</v>
      </c>
      <c r="J340" s="14" t="s">
        <v>26</v>
      </c>
      <c r="R340" s="13">
        <v>698.25</v>
      </c>
      <c r="T340" s="51"/>
      <c r="AA340" s="13">
        <v>9000</v>
      </c>
    </row>
    <row r="341" spans="1:27" x14ac:dyDescent="0.3">
      <c r="A341" s="12" t="s">
        <v>412</v>
      </c>
      <c r="B341" s="19">
        <v>42219</v>
      </c>
      <c r="C341" s="13" t="s">
        <v>28</v>
      </c>
      <c r="D341" s="13" t="s">
        <v>45</v>
      </c>
      <c r="E341" s="13" t="s">
        <v>34</v>
      </c>
      <c r="F341" s="13" t="s">
        <v>188</v>
      </c>
      <c r="G341" s="13">
        <v>9.1999999999999993</v>
      </c>
      <c r="H341" s="13">
        <v>5</v>
      </c>
      <c r="I341" s="13">
        <v>46</v>
      </c>
      <c r="J341" s="14" t="s">
        <v>26</v>
      </c>
      <c r="R341" s="13">
        <v>1710</v>
      </c>
      <c r="T341" s="51"/>
      <c r="AA341" s="13">
        <v>3800</v>
      </c>
    </row>
    <row r="342" spans="1:27" x14ac:dyDescent="0.3">
      <c r="A342" s="12" t="s">
        <v>413</v>
      </c>
      <c r="B342" s="19">
        <v>42220</v>
      </c>
      <c r="C342" s="13" t="s">
        <v>28</v>
      </c>
      <c r="D342" s="13" t="s">
        <v>12</v>
      </c>
      <c r="E342" s="13" t="s">
        <v>17</v>
      </c>
      <c r="F342" s="13" t="s">
        <v>18</v>
      </c>
      <c r="G342" s="13">
        <v>19</v>
      </c>
      <c r="H342" s="13">
        <v>20</v>
      </c>
      <c r="I342" s="13">
        <v>380</v>
      </c>
      <c r="J342" s="14" t="s">
        <v>26</v>
      </c>
      <c r="R342" s="13">
        <v>950</v>
      </c>
      <c r="T342" s="51"/>
      <c r="AA342" s="13">
        <v>2160</v>
      </c>
    </row>
    <row r="343" spans="1:27" x14ac:dyDescent="0.3">
      <c r="A343" s="12" t="s">
        <v>414</v>
      </c>
      <c r="B343" s="19">
        <v>42220</v>
      </c>
      <c r="C343" s="13" t="s">
        <v>31</v>
      </c>
      <c r="D343" s="13" t="s">
        <v>12</v>
      </c>
      <c r="E343" s="13" t="s">
        <v>34</v>
      </c>
      <c r="F343" s="13" t="s">
        <v>43</v>
      </c>
      <c r="G343" s="13">
        <v>12.5</v>
      </c>
      <c r="H343" s="13">
        <v>18</v>
      </c>
      <c r="I343" s="13">
        <v>225</v>
      </c>
      <c r="J343" s="14" t="s">
        <v>26</v>
      </c>
      <c r="R343" s="13">
        <v>1008</v>
      </c>
      <c r="T343" s="51"/>
      <c r="AA343" s="13">
        <v>1908</v>
      </c>
    </row>
    <row r="344" spans="1:27" x14ac:dyDescent="0.3">
      <c r="A344" s="12" t="s">
        <v>415</v>
      </c>
      <c r="B344" s="19">
        <v>42226</v>
      </c>
      <c r="C344" s="13" t="s">
        <v>11</v>
      </c>
      <c r="D344" s="13" t="s">
        <v>85</v>
      </c>
      <c r="E344" s="13" t="s">
        <v>51</v>
      </c>
      <c r="F344" s="13" t="s">
        <v>52</v>
      </c>
      <c r="G344" s="13">
        <v>123.79</v>
      </c>
      <c r="H344" s="13">
        <v>20</v>
      </c>
      <c r="I344" s="13">
        <v>2475.8000000000002</v>
      </c>
      <c r="J344" s="14" t="s">
        <v>26</v>
      </c>
      <c r="R344" s="13">
        <v>2436</v>
      </c>
      <c r="T344" s="51"/>
      <c r="AA344" s="13">
        <v>2064</v>
      </c>
    </row>
    <row r="345" spans="1:27" x14ac:dyDescent="0.3">
      <c r="A345" s="12" t="s">
        <v>416</v>
      </c>
      <c r="B345" s="19">
        <v>42226</v>
      </c>
      <c r="C345" s="13" t="s">
        <v>20</v>
      </c>
      <c r="D345" s="13" t="s">
        <v>85</v>
      </c>
      <c r="E345" s="13" t="s">
        <v>51</v>
      </c>
      <c r="F345" s="13" t="s">
        <v>81</v>
      </c>
      <c r="G345" s="13">
        <v>33.25</v>
      </c>
      <c r="H345" s="13">
        <v>9</v>
      </c>
      <c r="I345" s="13">
        <v>299.25</v>
      </c>
      <c r="J345" s="14" t="s">
        <v>26</v>
      </c>
      <c r="R345" s="13">
        <v>5894</v>
      </c>
      <c r="T345" s="51"/>
      <c r="AA345" s="13">
        <v>2720</v>
      </c>
    </row>
    <row r="346" spans="1:27" x14ac:dyDescent="0.3">
      <c r="A346" s="12" t="s">
        <v>417</v>
      </c>
      <c r="B346" s="19">
        <v>42233</v>
      </c>
      <c r="C346" s="13" t="s">
        <v>11</v>
      </c>
      <c r="D346" s="13" t="s">
        <v>12</v>
      </c>
      <c r="E346" s="13" t="s">
        <v>51</v>
      </c>
      <c r="F346" s="13" t="s">
        <v>81</v>
      </c>
      <c r="G346" s="13">
        <v>38</v>
      </c>
      <c r="H346" s="13">
        <v>60</v>
      </c>
      <c r="I346" s="13">
        <v>2280</v>
      </c>
      <c r="J346" s="14" t="s">
        <v>15</v>
      </c>
      <c r="R346" s="13">
        <v>368</v>
      </c>
      <c r="T346" s="51"/>
      <c r="AA346" s="13">
        <v>4800</v>
      </c>
    </row>
    <row r="347" spans="1:27" x14ac:dyDescent="0.3">
      <c r="A347" s="12" t="s">
        <v>418</v>
      </c>
      <c r="B347" s="19">
        <v>42233</v>
      </c>
      <c r="C347" s="13" t="s">
        <v>28</v>
      </c>
      <c r="D347" s="13" t="s">
        <v>12</v>
      </c>
      <c r="E347" s="13" t="s">
        <v>13</v>
      </c>
      <c r="F347" s="13" t="s">
        <v>14</v>
      </c>
      <c r="G347" s="13">
        <v>21</v>
      </c>
      <c r="H347" s="13">
        <v>10</v>
      </c>
      <c r="I347" s="13">
        <v>210</v>
      </c>
      <c r="J347" s="14" t="s">
        <v>15</v>
      </c>
      <c r="R347" s="13">
        <v>3679.9999999999995</v>
      </c>
      <c r="T347" s="51"/>
      <c r="AA347" s="13">
        <v>477</v>
      </c>
    </row>
    <row r="348" spans="1:27" x14ac:dyDescent="0.3">
      <c r="A348" s="12" t="s">
        <v>419</v>
      </c>
      <c r="B348" s="19">
        <v>42233</v>
      </c>
      <c r="C348" s="13" t="s">
        <v>31</v>
      </c>
      <c r="D348" s="13" t="s">
        <v>12</v>
      </c>
      <c r="E348" s="13" t="s">
        <v>34</v>
      </c>
      <c r="F348" s="13" t="s">
        <v>64</v>
      </c>
      <c r="G348" s="13">
        <v>16.25</v>
      </c>
      <c r="H348" s="13">
        <v>25</v>
      </c>
      <c r="I348" s="13">
        <v>406.25</v>
      </c>
      <c r="J348" s="14" t="s">
        <v>15</v>
      </c>
      <c r="R348" s="13">
        <v>2250</v>
      </c>
      <c r="T348" s="51"/>
      <c r="AA348" s="13">
        <v>184</v>
      </c>
    </row>
    <row r="349" spans="1:27" x14ac:dyDescent="0.3">
      <c r="A349" s="12" t="s">
        <v>420</v>
      </c>
      <c r="B349" s="19">
        <v>42239</v>
      </c>
      <c r="C349" s="13" t="s">
        <v>11</v>
      </c>
      <c r="D349" s="13" t="s">
        <v>12</v>
      </c>
      <c r="E349" s="13" t="s">
        <v>17</v>
      </c>
      <c r="F349" s="13" t="s">
        <v>29</v>
      </c>
      <c r="G349" s="13">
        <v>46</v>
      </c>
      <c r="H349" s="13">
        <v>20</v>
      </c>
      <c r="I349" s="13">
        <v>920</v>
      </c>
      <c r="J349" s="14" t="s">
        <v>26</v>
      </c>
      <c r="R349" s="13">
        <v>1721.25</v>
      </c>
      <c r="T349" s="51"/>
      <c r="AA349" s="13">
        <v>280</v>
      </c>
    </row>
    <row r="350" spans="1:27" x14ac:dyDescent="0.3">
      <c r="A350" s="12" t="s">
        <v>421</v>
      </c>
      <c r="B350" s="19">
        <v>42239</v>
      </c>
      <c r="C350" s="13" t="s">
        <v>11</v>
      </c>
      <c r="D350" s="13" t="s">
        <v>12</v>
      </c>
      <c r="E350" s="13" t="s">
        <v>17</v>
      </c>
      <c r="F350" s="13" t="s">
        <v>54</v>
      </c>
      <c r="G350" s="13">
        <v>12</v>
      </c>
      <c r="H350" s="13">
        <v>21</v>
      </c>
      <c r="I350" s="13">
        <v>252</v>
      </c>
      <c r="J350" s="14" t="s">
        <v>26</v>
      </c>
      <c r="R350" s="13">
        <v>1512</v>
      </c>
      <c r="T350" s="51"/>
      <c r="AA350" s="13">
        <v>1072.8</v>
      </c>
    </row>
    <row r="351" spans="1:27" x14ac:dyDescent="0.3">
      <c r="A351" s="12" t="s">
        <v>422</v>
      </c>
      <c r="B351" s="19">
        <v>42240</v>
      </c>
      <c r="C351" s="13" t="s">
        <v>20</v>
      </c>
      <c r="D351" s="13" t="s">
        <v>12</v>
      </c>
      <c r="E351" s="13" t="s">
        <v>13</v>
      </c>
      <c r="F351" s="13" t="s">
        <v>14</v>
      </c>
      <c r="G351" s="13">
        <v>19</v>
      </c>
      <c r="H351" s="13">
        <v>15</v>
      </c>
      <c r="I351" s="13">
        <v>285</v>
      </c>
      <c r="J351" s="14" t="s">
        <v>15</v>
      </c>
      <c r="R351" s="13">
        <v>210</v>
      </c>
      <c r="T351" s="51"/>
      <c r="AA351" s="13">
        <v>9120</v>
      </c>
    </row>
    <row r="352" spans="1:27" x14ac:dyDescent="0.3">
      <c r="A352" s="12" t="s">
        <v>423</v>
      </c>
      <c r="B352" s="19">
        <v>42240</v>
      </c>
      <c r="C352" s="13" t="s">
        <v>31</v>
      </c>
      <c r="D352" s="13" t="s">
        <v>85</v>
      </c>
      <c r="E352" s="13" t="s">
        <v>17</v>
      </c>
      <c r="F352" s="13" t="s">
        <v>54</v>
      </c>
      <c r="G352" s="13">
        <v>62.5</v>
      </c>
      <c r="H352" s="13">
        <v>20</v>
      </c>
      <c r="I352" s="13">
        <v>1250</v>
      </c>
      <c r="J352" s="14" t="s">
        <v>15</v>
      </c>
      <c r="R352" s="13">
        <v>9000</v>
      </c>
      <c r="T352" s="51"/>
      <c r="AA352" s="13">
        <v>1500</v>
      </c>
    </row>
    <row r="353" spans="1:27" x14ac:dyDescent="0.3">
      <c r="A353" s="12" t="s">
        <v>424</v>
      </c>
      <c r="B353" s="19">
        <v>42241</v>
      </c>
      <c r="C353" s="13" t="s">
        <v>31</v>
      </c>
      <c r="D353" s="13" t="s">
        <v>12</v>
      </c>
      <c r="E353" s="13" t="s">
        <v>17</v>
      </c>
      <c r="F353" s="13" t="s">
        <v>37</v>
      </c>
      <c r="G353" s="13">
        <v>18</v>
      </c>
      <c r="H353" s="13">
        <v>20</v>
      </c>
      <c r="I353" s="13">
        <v>360</v>
      </c>
      <c r="J353" s="14" t="s">
        <v>26</v>
      </c>
      <c r="R353" s="13">
        <v>3800</v>
      </c>
      <c r="T353" s="51"/>
      <c r="AA353" s="13">
        <v>3264</v>
      </c>
    </row>
    <row r="354" spans="1:27" x14ac:dyDescent="0.3">
      <c r="A354" s="12" t="s">
        <v>425</v>
      </c>
      <c r="B354" s="19">
        <v>42241</v>
      </c>
      <c r="C354" s="13" t="s">
        <v>11</v>
      </c>
      <c r="D354" s="13" t="s">
        <v>12</v>
      </c>
      <c r="E354" s="13" t="s">
        <v>34</v>
      </c>
      <c r="F354" s="13" t="s">
        <v>188</v>
      </c>
      <c r="G354" s="13">
        <v>9.1999999999999993</v>
      </c>
      <c r="H354" s="13">
        <v>30</v>
      </c>
      <c r="I354" s="13">
        <v>276</v>
      </c>
      <c r="J354" s="14" t="s">
        <v>26</v>
      </c>
      <c r="R354" s="13">
        <v>2160</v>
      </c>
      <c r="T354" s="51"/>
      <c r="AA354" s="13">
        <v>432</v>
      </c>
    </row>
    <row r="355" spans="1:27" x14ac:dyDescent="0.3">
      <c r="A355" s="12" t="s">
        <v>127</v>
      </c>
      <c r="B355" s="19">
        <v>42242</v>
      </c>
      <c r="C355" s="13" t="s">
        <v>20</v>
      </c>
      <c r="D355" s="13" t="s">
        <v>12</v>
      </c>
      <c r="E355" s="13" t="s">
        <v>17</v>
      </c>
      <c r="F355" s="13" t="s">
        <v>128</v>
      </c>
      <c r="G355" s="13">
        <v>4.5</v>
      </c>
      <c r="H355" s="13">
        <v>15</v>
      </c>
      <c r="I355" s="13">
        <v>67.5</v>
      </c>
      <c r="J355" s="14" t="s">
        <v>26</v>
      </c>
      <c r="R355" s="13">
        <v>1908</v>
      </c>
      <c r="T355" s="51"/>
      <c r="AA355" s="13">
        <v>513</v>
      </c>
    </row>
    <row r="356" spans="1:27" x14ac:dyDescent="0.3">
      <c r="A356" s="12" t="s">
        <v>426</v>
      </c>
      <c r="B356" s="19">
        <v>42242</v>
      </c>
      <c r="C356" s="13" t="s">
        <v>20</v>
      </c>
      <c r="D356" s="13" t="s">
        <v>12</v>
      </c>
      <c r="E356" s="13" t="s">
        <v>21</v>
      </c>
      <c r="F356" s="13" t="s">
        <v>22</v>
      </c>
      <c r="G356" s="13">
        <v>21</v>
      </c>
      <c r="H356" s="13">
        <v>15</v>
      </c>
      <c r="I356" s="13">
        <v>315</v>
      </c>
      <c r="J356" s="14" t="s">
        <v>26</v>
      </c>
      <c r="R356" s="13">
        <v>2064</v>
      </c>
      <c r="T356" s="51"/>
      <c r="AA356" s="13">
        <v>450</v>
      </c>
    </row>
    <row r="357" spans="1:27" x14ac:dyDescent="0.3">
      <c r="A357" s="12" t="s">
        <v>427</v>
      </c>
      <c r="B357" s="19">
        <v>42243</v>
      </c>
      <c r="C357" s="13" t="s">
        <v>20</v>
      </c>
      <c r="D357" s="13" t="s">
        <v>12</v>
      </c>
      <c r="E357" s="13" t="s">
        <v>51</v>
      </c>
      <c r="F357" s="13" t="s">
        <v>268</v>
      </c>
      <c r="G357" s="13">
        <v>7.45</v>
      </c>
      <c r="H357" s="13">
        <v>30</v>
      </c>
      <c r="I357" s="13">
        <v>223.5</v>
      </c>
      <c r="J357" s="14" t="s">
        <v>26</v>
      </c>
      <c r="R357" s="13">
        <v>2720</v>
      </c>
      <c r="T357" s="51"/>
      <c r="AA357" s="13">
        <v>420</v>
      </c>
    </row>
    <row r="358" spans="1:27" x14ac:dyDescent="0.3">
      <c r="A358" s="12" t="s">
        <v>428</v>
      </c>
      <c r="B358" s="19">
        <v>42243</v>
      </c>
      <c r="C358" s="13" t="s">
        <v>31</v>
      </c>
      <c r="D358" s="13" t="s">
        <v>12</v>
      </c>
      <c r="E358" s="13" t="s">
        <v>51</v>
      </c>
      <c r="F358" s="13" t="s">
        <v>138</v>
      </c>
      <c r="G358" s="13">
        <v>32.799999999999997</v>
      </c>
      <c r="H358" s="13">
        <v>25</v>
      </c>
      <c r="I358" s="13">
        <v>819.99999999999989</v>
      </c>
      <c r="J358" s="14" t="s">
        <v>26</v>
      </c>
      <c r="R358" s="13">
        <v>4800</v>
      </c>
      <c r="T358" s="51"/>
      <c r="AA358" s="13">
        <v>880</v>
      </c>
    </row>
    <row r="359" spans="1:27" x14ac:dyDescent="0.3">
      <c r="A359" s="12" t="s">
        <v>429</v>
      </c>
      <c r="B359" s="19">
        <v>42243</v>
      </c>
      <c r="C359" s="13" t="s">
        <v>20</v>
      </c>
      <c r="D359" s="13" t="s">
        <v>12</v>
      </c>
      <c r="E359" s="13" t="s">
        <v>17</v>
      </c>
      <c r="F359" s="13" t="s">
        <v>54</v>
      </c>
      <c r="G359" s="13">
        <v>25.89</v>
      </c>
      <c r="H359" s="13">
        <v>30</v>
      </c>
      <c r="I359" s="13">
        <v>776.7</v>
      </c>
      <c r="J359" s="14" t="s">
        <v>26</v>
      </c>
      <c r="R359" s="13">
        <v>477</v>
      </c>
      <c r="T359" s="51"/>
      <c r="AA359" s="13">
        <v>868.5</v>
      </c>
    </row>
    <row r="360" spans="1:27" x14ac:dyDescent="0.3">
      <c r="A360" s="12" t="s">
        <v>430</v>
      </c>
      <c r="B360" s="19">
        <v>42246</v>
      </c>
      <c r="C360" s="13" t="s">
        <v>11</v>
      </c>
      <c r="D360" s="13" t="s">
        <v>12</v>
      </c>
      <c r="E360" s="13" t="s">
        <v>17</v>
      </c>
      <c r="F360" s="13" t="s">
        <v>54</v>
      </c>
      <c r="G360" s="13">
        <v>14</v>
      </c>
      <c r="H360" s="13">
        <v>20</v>
      </c>
      <c r="I360" s="13">
        <v>280</v>
      </c>
      <c r="J360" s="14" t="s">
        <v>26</v>
      </c>
      <c r="R360" s="13">
        <v>184</v>
      </c>
      <c r="T360" s="51"/>
      <c r="AA360" s="13">
        <v>324</v>
      </c>
    </row>
    <row r="361" spans="1:27" x14ac:dyDescent="0.3">
      <c r="A361" s="12" t="s">
        <v>431</v>
      </c>
      <c r="B361" s="19">
        <v>42246</v>
      </c>
      <c r="C361" s="13" t="s">
        <v>31</v>
      </c>
      <c r="D361" s="13" t="s">
        <v>12</v>
      </c>
      <c r="E361" s="13" t="s">
        <v>21</v>
      </c>
      <c r="F361" s="13" t="s">
        <v>22</v>
      </c>
      <c r="G361" s="13">
        <v>25.89</v>
      </c>
      <c r="H361" s="13">
        <v>2</v>
      </c>
      <c r="I361" s="13">
        <v>51.78</v>
      </c>
      <c r="J361" s="14" t="s">
        <v>26</v>
      </c>
      <c r="R361" s="13">
        <v>280</v>
      </c>
      <c r="T361" s="51"/>
      <c r="AA361" s="13">
        <v>3000</v>
      </c>
    </row>
    <row r="362" spans="1:27" x14ac:dyDescent="0.3">
      <c r="A362" s="12" t="s">
        <v>432</v>
      </c>
      <c r="B362" s="19">
        <v>42250</v>
      </c>
      <c r="C362" s="13" t="s">
        <v>11</v>
      </c>
      <c r="D362" s="13" t="s">
        <v>12</v>
      </c>
      <c r="E362" s="13" t="s">
        <v>17</v>
      </c>
      <c r="F362" s="13" t="s">
        <v>54</v>
      </c>
      <c r="G362" s="13">
        <v>15</v>
      </c>
      <c r="H362" s="13">
        <v>40</v>
      </c>
      <c r="I362" s="13">
        <v>600</v>
      </c>
      <c r="J362" s="14" t="s">
        <v>26</v>
      </c>
      <c r="R362" s="13">
        <v>1072.8</v>
      </c>
      <c r="T362" s="51"/>
      <c r="AA362" s="13">
        <v>9750</v>
      </c>
    </row>
    <row r="363" spans="1:27" x14ac:dyDescent="0.3">
      <c r="A363" s="12" t="s">
        <v>358</v>
      </c>
      <c r="B363" s="19">
        <v>42250</v>
      </c>
      <c r="C363" s="13" t="s">
        <v>31</v>
      </c>
      <c r="D363" s="13" t="s">
        <v>12</v>
      </c>
      <c r="E363" s="13" t="s">
        <v>13</v>
      </c>
      <c r="F363" s="13" t="s">
        <v>99</v>
      </c>
      <c r="G363" s="13">
        <v>12.5</v>
      </c>
      <c r="H363" s="13">
        <v>20</v>
      </c>
      <c r="I363" s="13">
        <v>250</v>
      </c>
      <c r="J363" s="14" t="s">
        <v>26</v>
      </c>
      <c r="R363" s="13">
        <v>9120</v>
      </c>
      <c r="T363" s="51"/>
      <c r="AA363" s="13">
        <v>1872</v>
      </c>
    </row>
    <row r="364" spans="1:27" x14ac:dyDescent="0.3">
      <c r="A364" s="12" t="s">
        <v>433</v>
      </c>
      <c r="B364" s="19">
        <v>42250</v>
      </c>
      <c r="C364" s="13" t="s">
        <v>31</v>
      </c>
      <c r="D364" s="13" t="s">
        <v>12</v>
      </c>
      <c r="E364" s="13" t="s">
        <v>17</v>
      </c>
      <c r="F364" s="13" t="s">
        <v>54</v>
      </c>
      <c r="G364" s="13">
        <v>18.399999999999999</v>
      </c>
      <c r="H364" s="13">
        <v>24</v>
      </c>
      <c r="I364" s="13">
        <v>441.59999999999997</v>
      </c>
      <c r="J364" s="14" t="s">
        <v>26</v>
      </c>
      <c r="R364" s="13">
        <v>1500</v>
      </c>
      <c r="T364" s="51"/>
      <c r="AA364" s="13">
        <v>173.70000000000002</v>
      </c>
    </row>
    <row r="365" spans="1:27" x14ac:dyDescent="0.3">
      <c r="A365" s="12" t="s">
        <v>434</v>
      </c>
      <c r="B365" s="19">
        <v>42263</v>
      </c>
      <c r="C365" s="13" t="s">
        <v>28</v>
      </c>
      <c r="D365" s="13" t="s">
        <v>45</v>
      </c>
      <c r="E365" s="13" t="s">
        <v>21</v>
      </c>
      <c r="F365" s="13" t="s">
        <v>22</v>
      </c>
      <c r="G365" s="13">
        <v>9</v>
      </c>
      <c r="H365" s="13">
        <v>5</v>
      </c>
      <c r="I365" s="13">
        <v>45</v>
      </c>
      <c r="J365" s="14" t="s">
        <v>26</v>
      </c>
      <c r="R365" s="13">
        <v>3264</v>
      </c>
      <c r="T365" s="51"/>
      <c r="AA365" s="13">
        <v>3645</v>
      </c>
    </row>
    <row r="366" spans="1:27" x14ac:dyDescent="0.3">
      <c r="A366" s="12" t="s">
        <v>435</v>
      </c>
      <c r="B366" s="19">
        <v>42274</v>
      </c>
      <c r="C366" s="13" t="s">
        <v>11</v>
      </c>
      <c r="D366" s="13" t="s">
        <v>12</v>
      </c>
      <c r="E366" s="13" t="s">
        <v>17</v>
      </c>
      <c r="F366" s="13" t="s">
        <v>54</v>
      </c>
      <c r="G366" s="13">
        <v>31</v>
      </c>
      <c r="H366" s="13">
        <v>20</v>
      </c>
      <c r="I366" s="13">
        <v>620</v>
      </c>
      <c r="J366" s="14" t="s">
        <v>26</v>
      </c>
      <c r="R366" s="13">
        <v>432</v>
      </c>
      <c r="T366" s="51"/>
      <c r="AA366" s="13">
        <v>16500</v>
      </c>
    </row>
    <row r="367" spans="1:27" x14ac:dyDescent="0.3">
      <c r="A367" s="12" t="s">
        <v>436</v>
      </c>
      <c r="B367" s="19">
        <v>42274</v>
      </c>
      <c r="C367" s="13" t="s">
        <v>20</v>
      </c>
      <c r="D367" s="13" t="s">
        <v>12</v>
      </c>
      <c r="E367" s="13" t="s">
        <v>34</v>
      </c>
      <c r="F367" s="13" t="s">
        <v>136</v>
      </c>
      <c r="G367" s="13">
        <v>9.5</v>
      </c>
      <c r="H367" s="13">
        <v>15</v>
      </c>
      <c r="I367" s="13">
        <v>142.5</v>
      </c>
      <c r="J367" s="14" t="s">
        <v>26</v>
      </c>
      <c r="R367" s="13">
        <v>513</v>
      </c>
      <c r="T367" s="51"/>
      <c r="AA367" s="13">
        <v>3672</v>
      </c>
    </row>
    <row r="368" spans="1:27" x14ac:dyDescent="0.3">
      <c r="A368" s="12" t="s">
        <v>437</v>
      </c>
      <c r="B368" s="19">
        <v>42277</v>
      </c>
      <c r="C368" s="13" t="s">
        <v>20</v>
      </c>
      <c r="D368" s="13" t="s">
        <v>12</v>
      </c>
      <c r="E368" s="13" t="s">
        <v>21</v>
      </c>
      <c r="F368" s="13" t="s">
        <v>97</v>
      </c>
      <c r="G368" s="13">
        <v>13</v>
      </c>
      <c r="H368" s="13">
        <v>30</v>
      </c>
      <c r="I368" s="13">
        <v>390</v>
      </c>
      <c r="J368" s="14" t="s">
        <v>15</v>
      </c>
      <c r="R368" s="13">
        <v>450</v>
      </c>
      <c r="T368" s="51"/>
      <c r="AA368" s="13">
        <v>3883.5</v>
      </c>
    </row>
    <row r="369" spans="1:27" x14ac:dyDescent="0.3">
      <c r="A369" s="12" t="s">
        <v>438</v>
      </c>
      <c r="B369" s="19">
        <v>42277</v>
      </c>
      <c r="C369" s="13" t="s">
        <v>31</v>
      </c>
      <c r="D369" s="13" t="s">
        <v>12</v>
      </c>
      <c r="E369" s="13" t="s">
        <v>51</v>
      </c>
      <c r="F369" s="13" t="s">
        <v>81</v>
      </c>
      <c r="G369" s="13">
        <v>38</v>
      </c>
      <c r="H369" s="13">
        <v>20</v>
      </c>
      <c r="I369" s="13">
        <v>760</v>
      </c>
      <c r="J369" s="14" t="s">
        <v>15</v>
      </c>
      <c r="R369" s="13">
        <v>420</v>
      </c>
      <c r="T369" s="51"/>
      <c r="AA369" s="13">
        <v>420</v>
      </c>
    </row>
    <row r="370" spans="1:27" x14ac:dyDescent="0.3">
      <c r="A370" s="12" t="s">
        <v>127</v>
      </c>
      <c r="B370" s="19">
        <v>42289</v>
      </c>
      <c r="C370" s="13" t="s">
        <v>20</v>
      </c>
      <c r="D370" s="13" t="s">
        <v>12</v>
      </c>
      <c r="E370" s="13" t="s">
        <v>17</v>
      </c>
      <c r="F370" s="13" t="s">
        <v>128</v>
      </c>
      <c r="G370" s="13">
        <v>4.5</v>
      </c>
      <c r="H370" s="13">
        <v>35</v>
      </c>
      <c r="I370" s="13">
        <v>157.5</v>
      </c>
      <c r="J370" s="14" t="s">
        <v>15</v>
      </c>
      <c r="R370" s="13">
        <v>880</v>
      </c>
      <c r="T370" s="51"/>
      <c r="AA370" s="13">
        <v>243.59999999999997</v>
      </c>
    </row>
    <row r="371" spans="1:27" x14ac:dyDescent="0.3">
      <c r="A371" s="12" t="s">
        <v>439</v>
      </c>
      <c r="B371" s="19">
        <v>42289</v>
      </c>
      <c r="C371" s="13" t="s">
        <v>11</v>
      </c>
      <c r="D371" s="13" t="s">
        <v>12</v>
      </c>
      <c r="E371" s="13" t="s">
        <v>21</v>
      </c>
      <c r="F371" s="13" t="s">
        <v>111</v>
      </c>
      <c r="G371" s="13">
        <v>22</v>
      </c>
      <c r="H371" s="13">
        <v>6</v>
      </c>
      <c r="I371" s="13">
        <v>132</v>
      </c>
      <c r="J371" s="14" t="s">
        <v>15</v>
      </c>
      <c r="R371" s="13">
        <v>868.5</v>
      </c>
      <c r="T371" s="51"/>
      <c r="AA371" s="13">
        <v>1350</v>
      </c>
    </row>
    <row r="372" spans="1:27" x14ac:dyDescent="0.3">
      <c r="A372" s="12" t="s">
        <v>440</v>
      </c>
      <c r="B372" s="19">
        <v>42289</v>
      </c>
      <c r="C372" s="13" t="s">
        <v>31</v>
      </c>
      <c r="D372" s="13" t="s">
        <v>12</v>
      </c>
      <c r="E372" s="13" t="s">
        <v>34</v>
      </c>
      <c r="F372" s="13" t="s">
        <v>339</v>
      </c>
      <c r="G372" s="13">
        <v>12.75</v>
      </c>
      <c r="H372" s="13">
        <v>24</v>
      </c>
      <c r="I372" s="13">
        <v>306</v>
      </c>
      <c r="J372" s="14" t="s">
        <v>15</v>
      </c>
      <c r="R372" s="13">
        <v>324</v>
      </c>
      <c r="T372" s="51"/>
      <c r="AA372" s="13">
        <v>3162</v>
      </c>
    </row>
    <row r="373" spans="1:27" x14ac:dyDescent="0.3">
      <c r="A373" s="12" t="s">
        <v>441</v>
      </c>
      <c r="B373" s="19">
        <v>42291</v>
      </c>
      <c r="C373" s="13" t="s">
        <v>11</v>
      </c>
      <c r="D373" s="13" t="s">
        <v>45</v>
      </c>
      <c r="E373" s="13" t="s">
        <v>17</v>
      </c>
      <c r="F373" s="13" t="s">
        <v>54</v>
      </c>
      <c r="G373" s="13">
        <v>15</v>
      </c>
      <c r="H373" s="13">
        <v>28</v>
      </c>
      <c r="I373" s="13">
        <v>420</v>
      </c>
      <c r="J373" s="14" t="s">
        <v>26</v>
      </c>
      <c r="R373" s="13">
        <v>3000</v>
      </c>
      <c r="T373" s="51"/>
      <c r="AA373" s="13">
        <v>315</v>
      </c>
    </row>
    <row r="374" spans="1:27" x14ac:dyDescent="0.3">
      <c r="A374" s="12" t="s">
        <v>442</v>
      </c>
      <c r="B374" s="19">
        <v>42291</v>
      </c>
      <c r="C374" s="13" t="s">
        <v>20</v>
      </c>
      <c r="D374" s="13" t="s">
        <v>45</v>
      </c>
      <c r="E374" s="13" t="s">
        <v>51</v>
      </c>
      <c r="F374" s="13" t="s">
        <v>81</v>
      </c>
      <c r="G374" s="13">
        <v>24</v>
      </c>
      <c r="H374" s="13">
        <v>21</v>
      </c>
      <c r="I374" s="13">
        <v>504</v>
      </c>
      <c r="J374" s="14" t="s">
        <v>26</v>
      </c>
      <c r="R374" s="13">
        <v>9750</v>
      </c>
      <c r="T374" s="51"/>
      <c r="AA374" s="13">
        <v>6820.2</v>
      </c>
    </row>
    <row r="375" spans="1:27" x14ac:dyDescent="0.3">
      <c r="A375" s="12" t="s">
        <v>443</v>
      </c>
      <c r="B375" s="19">
        <v>42291</v>
      </c>
      <c r="C375" s="13" t="s">
        <v>11</v>
      </c>
      <c r="D375" s="13" t="s">
        <v>45</v>
      </c>
      <c r="E375" s="13" t="s">
        <v>34</v>
      </c>
      <c r="F375" s="13" t="s">
        <v>64</v>
      </c>
      <c r="G375" s="13">
        <v>19.5</v>
      </c>
      <c r="H375" s="13">
        <v>40</v>
      </c>
      <c r="I375" s="13">
        <v>780</v>
      </c>
      <c r="J375" s="14" t="s">
        <v>26</v>
      </c>
      <c r="R375" s="13">
        <v>1872</v>
      </c>
      <c r="T375" s="51"/>
      <c r="AA375" s="13">
        <v>3072</v>
      </c>
    </row>
    <row r="376" spans="1:27" x14ac:dyDescent="0.3">
      <c r="A376" s="12" t="s">
        <v>444</v>
      </c>
      <c r="B376" s="19">
        <v>42292</v>
      </c>
      <c r="C376" s="13" t="s">
        <v>11</v>
      </c>
      <c r="D376" s="13" t="s">
        <v>12</v>
      </c>
      <c r="E376" s="13" t="s">
        <v>21</v>
      </c>
      <c r="F376" s="13" t="s">
        <v>47</v>
      </c>
      <c r="G376" s="13">
        <v>40</v>
      </c>
      <c r="H376" s="13">
        <v>40</v>
      </c>
      <c r="I376" s="13">
        <v>1600</v>
      </c>
      <c r="J376" s="14" t="s">
        <v>26</v>
      </c>
      <c r="R376" s="13">
        <v>173.70000000000002</v>
      </c>
      <c r="T376" s="51"/>
      <c r="AA376" s="13">
        <v>4560</v>
      </c>
    </row>
    <row r="377" spans="1:27" x14ac:dyDescent="0.3">
      <c r="A377" s="12" t="s">
        <v>445</v>
      </c>
      <c r="B377" s="19">
        <v>42292</v>
      </c>
      <c r="C377" s="13" t="s">
        <v>11</v>
      </c>
      <c r="D377" s="13" t="s">
        <v>12</v>
      </c>
      <c r="E377" s="13" t="s">
        <v>34</v>
      </c>
      <c r="F377" s="13" t="s">
        <v>64</v>
      </c>
      <c r="G377" s="13">
        <v>53</v>
      </c>
      <c r="H377" s="13">
        <v>28</v>
      </c>
      <c r="I377" s="13">
        <v>1484</v>
      </c>
      <c r="J377" s="14" t="s">
        <v>26</v>
      </c>
      <c r="R377" s="13">
        <v>3645</v>
      </c>
      <c r="T377" s="51"/>
      <c r="AA377" s="13">
        <v>3120</v>
      </c>
    </row>
    <row r="378" spans="1:27" x14ac:dyDescent="0.3">
      <c r="A378" s="12" t="s">
        <v>446</v>
      </c>
      <c r="B378" s="19">
        <v>42292</v>
      </c>
      <c r="C378" s="13" t="s">
        <v>20</v>
      </c>
      <c r="D378" s="13" t="s">
        <v>12</v>
      </c>
      <c r="E378" s="13" t="s">
        <v>13</v>
      </c>
      <c r="F378" s="13" t="s">
        <v>41</v>
      </c>
      <c r="G378" s="13">
        <v>34</v>
      </c>
      <c r="H378" s="13">
        <v>10</v>
      </c>
      <c r="I378" s="13">
        <v>340</v>
      </c>
      <c r="J378" s="14" t="s">
        <v>26</v>
      </c>
      <c r="R378" s="13">
        <v>16500</v>
      </c>
      <c r="T378" s="51"/>
      <c r="AA378" s="13">
        <v>1995</v>
      </c>
    </row>
    <row r="379" spans="1:27" x14ac:dyDescent="0.3">
      <c r="A379" s="12" t="s">
        <v>447</v>
      </c>
      <c r="B379" s="19">
        <v>42299</v>
      </c>
      <c r="C379" s="13" t="s">
        <v>28</v>
      </c>
      <c r="D379" s="13" t="s">
        <v>24</v>
      </c>
      <c r="E379" s="13" t="s">
        <v>21</v>
      </c>
      <c r="F379" s="13" t="s">
        <v>22</v>
      </c>
      <c r="G379" s="13">
        <v>28.5</v>
      </c>
      <c r="H379" s="13">
        <v>10</v>
      </c>
      <c r="I379" s="13">
        <v>285</v>
      </c>
      <c r="J379" s="14" t="s">
        <v>26</v>
      </c>
      <c r="R379" s="13">
        <v>3672</v>
      </c>
      <c r="T379" s="51"/>
      <c r="AA379" s="13">
        <v>644</v>
      </c>
    </row>
    <row r="380" spans="1:27" x14ac:dyDescent="0.3">
      <c r="A380" s="12" t="s">
        <v>448</v>
      </c>
      <c r="B380" s="19">
        <v>42299</v>
      </c>
      <c r="C380" s="13" t="s">
        <v>20</v>
      </c>
      <c r="D380" s="13" t="s">
        <v>24</v>
      </c>
      <c r="E380" s="13" t="s">
        <v>34</v>
      </c>
      <c r="F380" s="13" t="s">
        <v>241</v>
      </c>
      <c r="G380" s="13">
        <v>10</v>
      </c>
      <c r="H380" s="13">
        <v>5</v>
      </c>
      <c r="I380" s="13">
        <v>50</v>
      </c>
      <c r="J380" s="14" t="s">
        <v>26</v>
      </c>
      <c r="R380" s="13">
        <v>3883.5</v>
      </c>
      <c r="T380" s="51"/>
      <c r="AA380" s="13">
        <v>240</v>
      </c>
    </row>
    <row r="381" spans="1:27" x14ac:dyDescent="0.3">
      <c r="A381" s="12" t="s">
        <v>449</v>
      </c>
      <c r="B381" s="19">
        <v>42303</v>
      </c>
      <c r="C381" s="13" t="s">
        <v>28</v>
      </c>
      <c r="D381" s="13" t="s">
        <v>12</v>
      </c>
      <c r="E381" s="13" t="s">
        <v>17</v>
      </c>
      <c r="F381" s="13" t="s">
        <v>72</v>
      </c>
      <c r="G381" s="13">
        <v>18</v>
      </c>
      <c r="H381" s="13">
        <v>21</v>
      </c>
      <c r="I381" s="13">
        <v>378</v>
      </c>
      <c r="J381" s="14" t="s">
        <v>26</v>
      </c>
      <c r="R381" s="13">
        <v>420</v>
      </c>
      <c r="T381" s="51"/>
      <c r="AA381" s="13">
        <v>1180.8</v>
      </c>
    </row>
    <row r="382" spans="1:27" x14ac:dyDescent="0.3">
      <c r="A382" s="12" t="s">
        <v>450</v>
      </c>
      <c r="B382" s="19">
        <v>42303</v>
      </c>
      <c r="C382" s="13" t="s">
        <v>11</v>
      </c>
      <c r="D382" s="13" t="s">
        <v>12</v>
      </c>
      <c r="E382" s="13" t="s">
        <v>13</v>
      </c>
      <c r="F382" s="13" t="s">
        <v>124</v>
      </c>
      <c r="G382" s="13">
        <v>21.5</v>
      </c>
      <c r="H382" s="13">
        <v>8</v>
      </c>
      <c r="I382" s="13">
        <v>172</v>
      </c>
      <c r="J382" s="14" t="s">
        <v>26</v>
      </c>
      <c r="R382" s="13">
        <v>243.59999999999997</v>
      </c>
      <c r="T382" s="51"/>
      <c r="AA382" s="13">
        <v>4240</v>
      </c>
    </row>
    <row r="383" spans="1:27" x14ac:dyDescent="0.3">
      <c r="A383" s="12" t="s">
        <v>451</v>
      </c>
      <c r="B383" s="19">
        <v>42306</v>
      </c>
      <c r="C383" s="13" t="s">
        <v>11</v>
      </c>
      <c r="D383" s="13" t="s">
        <v>12</v>
      </c>
      <c r="E383" s="13" t="s">
        <v>51</v>
      </c>
      <c r="F383" s="13" t="s">
        <v>81</v>
      </c>
      <c r="G383" s="13">
        <v>24</v>
      </c>
      <c r="H383" s="13">
        <v>6</v>
      </c>
      <c r="I383" s="13">
        <v>144</v>
      </c>
      <c r="J383" s="14" t="s">
        <v>26</v>
      </c>
      <c r="R383" s="13">
        <v>1350</v>
      </c>
      <c r="T383" s="51"/>
      <c r="AA383" s="13">
        <v>840</v>
      </c>
    </row>
    <row r="384" spans="1:27" x14ac:dyDescent="0.3">
      <c r="A384" s="12" t="s">
        <v>452</v>
      </c>
      <c r="B384" s="19">
        <v>42306</v>
      </c>
      <c r="C384" s="13" t="s">
        <v>20</v>
      </c>
      <c r="D384" s="13" t="s">
        <v>12</v>
      </c>
      <c r="E384" s="13" t="s">
        <v>51</v>
      </c>
      <c r="F384" s="13" t="s">
        <v>81</v>
      </c>
      <c r="G384" s="13">
        <v>7</v>
      </c>
      <c r="H384" s="13">
        <v>4</v>
      </c>
      <c r="I384" s="13">
        <v>28</v>
      </c>
      <c r="J384" s="14" t="s">
        <v>26</v>
      </c>
      <c r="R384" s="13">
        <v>3162</v>
      </c>
      <c r="T384" s="51"/>
      <c r="AA384" s="13">
        <v>360</v>
      </c>
    </row>
    <row r="385" spans="1:27" x14ac:dyDescent="0.3">
      <c r="A385" s="12" t="s">
        <v>453</v>
      </c>
      <c r="B385" s="19">
        <v>42306</v>
      </c>
      <c r="C385" s="13" t="s">
        <v>28</v>
      </c>
      <c r="D385" s="13" t="s">
        <v>12</v>
      </c>
      <c r="E385" s="13" t="s">
        <v>51</v>
      </c>
      <c r="F385" s="13" t="s">
        <v>81</v>
      </c>
      <c r="G385" s="13">
        <v>9.65</v>
      </c>
      <c r="H385" s="13">
        <v>12</v>
      </c>
      <c r="I385" s="13">
        <v>115.80000000000001</v>
      </c>
      <c r="J385" s="14" t="s">
        <v>26</v>
      </c>
      <c r="R385" s="13">
        <v>315</v>
      </c>
      <c r="T385" s="51"/>
      <c r="AA385" s="13">
        <v>237.5</v>
      </c>
    </row>
    <row r="386" spans="1:27" x14ac:dyDescent="0.3">
      <c r="A386" s="12" t="s">
        <v>454</v>
      </c>
      <c r="B386" s="19">
        <v>42309</v>
      </c>
      <c r="C386" s="13" t="s">
        <v>28</v>
      </c>
      <c r="D386" s="13" t="s">
        <v>45</v>
      </c>
      <c r="E386" s="13" t="s">
        <v>13</v>
      </c>
      <c r="F386" s="13" t="s">
        <v>14</v>
      </c>
      <c r="G386" s="13">
        <v>21</v>
      </c>
      <c r="H386" s="13">
        <v>5</v>
      </c>
      <c r="I386" s="13">
        <v>105</v>
      </c>
      <c r="J386" s="14" t="s">
        <v>15</v>
      </c>
      <c r="R386" s="13">
        <v>6820.2</v>
      </c>
      <c r="T386" s="51"/>
      <c r="AA386" s="13">
        <v>1470</v>
      </c>
    </row>
    <row r="387" spans="1:27" x14ac:dyDescent="0.3">
      <c r="A387" s="12" t="s">
        <v>455</v>
      </c>
      <c r="B387" s="19">
        <v>42310</v>
      </c>
      <c r="C387" s="13" t="s">
        <v>28</v>
      </c>
      <c r="D387" s="13" t="s">
        <v>12</v>
      </c>
      <c r="E387" s="13" t="s">
        <v>51</v>
      </c>
      <c r="F387" s="13" t="s">
        <v>81</v>
      </c>
      <c r="G387" s="13">
        <v>24</v>
      </c>
      <c r="H387" s="13">
        <v>12</v>
      </c>
      <c r="I387" s="13">
        <v>288</v>
      </c>
      <c r="J387" s="14" t="s">
        <v>26</v>
      </c>
      <c r="R387" s="13">
        <v>3072</v>
      </c>
      <c r="T387" s="51"/>
      <c r="AA387" s="13">
        <v>1425</v>
      </c>
    </row>
    <row r="388" spans="1:27" x14ac:dyDescent="0.3">
      <c r="A388" s="12" t="s">
        <v>456</v>
      </c>
      <c r="B388" s="19">
        <v>42310</v>
      </c>
      <c r="C388" s="13" t="s">
        <v>28</v>
      </c>
      <c r="D388" s="13" t="s">
        <v>12</v>
      </c>
      <c r="E388" s="13" t="s">
        <v>21</v>
      </c>
      <c r="F388" s="13" t="s">
        <v>22</v>
      </c>
      <c r="G388" s="13">
        <v>25.89</v>
      </c>
      <c r="H388" s="13">
        <v>15</v>
      </c>
      <c r="I388" s="13">
        <v>388.35</v>
      </c>
      <c r="J388" s="14" t="s">
        <v>26</v>
      </c>
      <c r="R388" s="13">
        <v>4560</v>
      </c>
      <c r="T388" s="51"/>
      <c r="AA388" s="13">
        <v>1240</v>
      </c>
    </row>
    <row r="389" spans="1:27" x14ac:dyDescent="0.3">
      <c r="A389" s="12" t="s">
        <v>457</v>
      </c>
      <c r="B389" s="19">
        <v>42310</v>
      </c>
      <c r="C389" s="13" t="s">
        <v>11</v>
      </c>
      <c r="D389" s="13" t="s">
        <v>12</v>
      </c>
      <c r="E389" s="13" t="s">
        <v>51</v>
      </c>
      <c r="F389" s="13" t="s">
        <v>81</v>
      </c>
      <c r="G389" s="13">
        <v>18.399999999999999</v>
      </c>
      <c r="H389" s="13">
        <v>6</v>
      </c>
      <c r="I389" s="13">
        <v>110.39999999999999</v>
      </c>
      <c r="J389" s="14" t="s">
        <v>26</v>
      </c>
      <c r="R389" s="13">
        <v>3120</v>
      </c>
      <c r="T389" s="51"/>
      <c r="AA389" s="13">
        <v>360</v>
      </c>
    </row>
    <row r="390" spans="1:27" x14ac:dyDescent="0.3">
      <c r="A390" s="12" t="s">
        <v>458</v>
      </c>
      <c r="B390" s="19">
        <v>42313</v>
      </c>
      <c r="C390" s="13" t="s">
        <v>20</v>
      </c>
      <c r="D390" s="13" t="s">
        <v>12</v>
      </c>
      <c r="E390" s="13" t="s">
        <v>17</v>
      </c>
      <c r="F390" s="13" t="s">
        <v>134</v>
      </c>
      <c r="G390" s="13">
        <v>18</v>
      </c>
      <c r="H390" s="13">
        <v>20</v>
      </c>
      <c r="I390" s="13">
        <v>360</v>
      </c>
      <c r="J390" s="14" t="s">
        <v>26</v>
      </c>
      <c r="R390" s="13">
        <v>1995</v>
      </c>
      <c r="T390" s="51"/>
      <c r="AA390" s="13">
        <v>234</v>
      </c>
    </row>
    <row r="391" spans="1:27" x14ac:dyDescent="0.3">
      <c r="A391" s="12" t="s">
        <v>459</v>
      </c>
      <c r="B391" s="19">
        <v>42313</v>
      </c>
      <c r="C391" s="13" t="s">
        <v>11</v>
      </c>
      <c r="D391" s="13" t="s">
        <v>12</v>
      </c>
      <c r="E391" s="13" t="s">
        <v>21</v>
      </c>
      <c r="F391" s="13" t="s">
        <v>39</v>
      </c>
      <c r="G391" s="13">
        <v>25</v>
      </c>
      <c r="H391" s="13">
        <v>30</v>
      </c>
      <c r="I391" s="13">
        <v>750</v>
      </c>
      <c r="J391" s="14" t="s">
        <v>26</v>
      </c>
      <c r="R391" s="13">
        <v>644</v>
      </c>
      <c r="T391" s="51"/>
      <c r="AA391" s="13">
        <v>775</v>
      </c>
    </row>
    <row r="392" spans="1:27" x14ac:dyDescent="0.3">
      <c r="A392" s="12" t="s">
        <v>460</v>
      </c>
      <c r="B392" s="19">
        <v>42313</v>
      </c>
      <c r="C392" s="13" t="s">
        <v>20</v>
      </c>
      <c r="D392" s="13" t="s">
        <v>12</v>
      </c>
      <c r="E392" s="13" t="s">
        <v>13</v>
      </c>
      <c r="F392" s="13" t="s">
        <v>14</v>
      </c>
      <c r="G392" s="13">
        <v>25.89</v>
      </c>
      <c r="H392" s="13">
        <v>15</v>
      </c>
      <c r="I392" s="13">
        <v>388.35</v>
      </c>
      <c r="J392" s="14" t="s">
        <v>26</v>
      </c>
      <c r="R392" s="13">
        <v>240</v>
      </c>
      <c r="T392" s="51"/>
      <c r="AA392" s="13">
        <v>712.5</v>
      </c>
    </row>
    <row r="393" spans="1:27" x14ac:dyDescent="0.3">
      <c r="A393" s="12" t="s">
        <v>461</v>
      </c>
      <c r="B393" s="19">
        <v>42326</v>
      </c>
      <c r="C393" s="13" t="s">
        <v>31</v>
      </c>
      <c r="D393" s="13" t="s">
        <v>45</v>
      </c>
      <c r="E393" s="13" t="s">
        <v>17</v>
      </c>
      <c r="F393" s="13" t="s">
        <v>134</v>
      </c>
      <c r="G393" s="13">
        <v>18</v>
      </c>
      <c r="H393" s="13">
        <v>10</v>
      </c>
      <c r="I393" s="13">
        <v>180</v>
      </c>
      <c r="J393" s="14" t="s">
        <v>26</v>
      </c>
      <c r="R393" s="13">
        <v>1180.8</v>
      </c>
      <c r="T393" s="51"/>
      <c r="AA393" s="13">
        <v>720</v>
      </c>
    </row>
    <row r="394" spans="1:27" x14ac:dyDescent="0.3">
      <c r="A394" s="12" t="s">
        <v>462</v>
      </c>
      <c r="B394" s="19">
        <v>42326</v>
      </c>
      <c r="C394" s="13" t="s">
        <v>11</v>
      </c>
      <c r="D394" s="13" t="s">
        <v>45</v>
      </c>
      <c r="E394" s="13" t="s">
        <v>34</v>
      </c>
      <c r="F394" s="13" t="s">
        <v>64</v>
      </c>
      <c r="G394" s="13">
        <v>38</v>
      </c>
      <c r="H394" s="13">
        <v>15</v>
      </c>
      <c r="I394" s="13">
        <v>570</v>
      </c>
      <c r="J394" s="14" t="s">
        <v>26</v>
      </c>
      <c r="R394" s="13">
        <v>4240</v>
      </c>
      <c r="T394" s="51"/>
      <c r="AA394" s="13">
        <v>2080</v>
      </c>
    </row>
    <row r="395" spans="1:27" x14ac:dyDescent="0.3">
      <c r="A395" s="12" t="s">
        <v>463</v>
      </c>
      <c r="B395" s="19">
        <v>42326</v>
      </c>
      <c r="C395" s="13" t="s">
        <v>28</v>
      </c>
      <c r="D395" s="13" t="s">
        <v>45</v>
      </c>
      <c r="E395" s="13" t="s">
        <v>13</v>
      </c>
      <c r="F395" s="13" t="s">
        <v>66</v>
      </c>
      <c r="G395" s="13">
        <v>55</v>
      </c>
      <c r="H395" s="13">
        <v>6</v>
      </c>
      <c r="I395" s="13">
        <v>330</v>
      </c>
      <c r="J395" s="14" t="s">
        <v>26</v>
      </c>
      <c r="R395" s="13">
        <v>840</v>
      </c>
      <c r="T395" s="51"/>
      <c r="AA395" s="13">
        <v>4930</v>
      </c>
    </row>
    <row r="396" spans="1:27" x14ac:dyDescent="0.3">
      <c r="A396" s="12" t="s">
        <v>464</v>
      </c>
      <c r="B396" s="19">
        <v>42330</v>
      </c>
      <c r="C396" s="13" t="s">
        <v>28</v>
      </c>
      <c r="D396" s="13" t="s">
        <v>45</v>
      </c>
      <c r="E396" s="13" t="s">
        <v>17</v>
      </c>
      <c r="F396" s="13" t="s">
        <v>79</v>
      </c>
      <c r="G396" s="13">
        <v>18</v>
      </c>
      <c r="H396" s="13">
        <v>8</v>
      </c>
      <c r="I396" s="13">
        <v>144</v>
      </c>
      <c r="J396" s="14" t="s">
        <v>26</v>
      </c>
      <c r="R396" s="13">
        <v>360</v>
      </c>
      <c r="T396" s="51"/>
      <c r="AA396" s="13">
        <v>4320</v>
      </c>
    </row>
    <row r="397" spans="1:27" x14ac:dyDescent="0.3">
      <c r="A397" s="12" t="s">
        <v>465</v>
      </c>
      <c r="B397" s="19">
        <v>42330</v>
      </c>
      <c r="C397" s="13" t="s">
        <v>11</v>
      </c>
      <c r="D397" s="13" t="s">
        <v>45</v>
      </c>
      <c r="E397" s="13" t="s">
        <v>13</v>
      </c>
      <c r="F397" s="13" t="s">
        <v>186</v>
      </c>
      <c r="G397" s="13">
        <v>36</v>
      </c>
      <c r="H397" s="13">
        <v>3</v>
      </c>
      <c r="I397" s="13">
        <v>108</v>
      </c>
      <c r="J397" s="14" t="s">
        <v>26</v>
      </c>
      <c r="R397" s="13">
        <v>237.5</v>
      </c>
      <c r="T397" s="51"/>
      <c r="AA397" s="13">
        <v>3960</v>
      </c>
    </row>
    <row r="398" spans="1:27" x14ac:dyDescent="0.3">
      <c r="A398" s="12" t="s">
        <v>466</v>
      </c>
      <c r="B398" s="19">
        <v>42344</v>
      </c>
      <c r="C398" s="13" t="s">
        <v>28</v>
      </c>
      <c r="D398" s="13" t="s">
        <v>45</v>
      </c>
      <c r="E398" s="13" t="s">
        <v>13</v>
      </c>
      <c r="F398" s="13" t="s">
        <v>14</v>
      </c>
      <c r="G398" s="13">
        <v>21</v>
      </c>
      <c r="H398" s="13">
        <v>4</v>
      </c>
      <c r="I398" s="13">
        <v>84</v>
      </c>
      <c r="J398" s="14" t="s">
        <v>26</v>
      </c>
      <c r="R398" s="13">
        <v>1470</v>
      </c>
      <c r="T398" s="51"/>
      <c r="AA398" s="13">
        <v>3944</v>
      </c>
    </row>
    <row r="399" spans="1:27" x14ac:dyDescent="0.3">
      <c r="A399" s="12" t="s">
        <v>467</v>
      </c>
      <c r="B399" s="19">
        <v>42344</v>
      </c>
      <c r="C399" s="13" t="s">
        <v>11</v>
      </c>
      <c r="D399" s="13" t="s">
        <v>45</v>
      </c>
      <c r="E399" s="13" t="s">
        <v>13</v>
      </c>
      <c r="F399" s="13" t="s">
        <v>99</v>
      </c>
      <c r="G399" s="13">
        <v>12.5</v>
      </c>
      <c r="H399" s="13">
        <v>50</v>
      </c>
      <c r="I399" s="13">
        <v>625</v>
      </c>
      <c r="J399" s="14" t="s">
        <v>26</v>
      </c>
      <c r="R399" s="13">
        <v>1425</v>
      </c>
      <c r="T399" s="51"/>
      <c r="AA399" s="13">
        <v>600</v>
      </c>
    </row>
    <row r="400" spans="1:27" x14ac:dyDescent="0.3">
      <c r="A400" s="12" t="s">
        <v>468</v>
      </c>
      <c r="B400" s="19">
        <v>42344</v>
      </c>
      <c r="C400" s="13" t="s">
        <v>28</v>
      </c>
      <c r="D400" s="13" t="s">
        <v>45</v>
      </c>
      <c r="E400" s="13" t="s">
        <v>13</v>
      </c>
      <c r="F400" s="13" t="s">
        <v>124</v>
      </c>
      <c r="G400" s="13">
        <v>21.5</v>
      </c>
      <c r="H400" s="13">
        <v>12</v>
      </c>
      <c r="I400" s="13">
        <v>258</v>
      </c>
      <c r="J400" s="14" t="s">
        <v>26</v>
      </c>
      <c r="R400" s="13">
        <v>1240</v>
      </c>
      <c r="T400" s="51"/>
      <c r="AA400" s="13">
        <v>810</v>
      </c>
    </row>
    <row r="401" spans="1:27" x14ac:dyDescent="0.3">
      <c r="A401" s="12" t="s">
        <v>469</v>
      </c>
      <c r="B401" s="19">
        <v>42345</v>
      </c>
      <c r="C401" s="13" t="s">
        <v>20</v>
      </c>
      <c r="D401" s="13" t="s">
        <v>12</v>
      </c>
      <c r="E401" s="13" t="s">
        <v>13</v>
      </c>
      <c r="F401" s="13" t="s">
        <v>14</v>
      </c>
      <c r="G401" s="13">
        <v>21</v>
      </c>
      <c r="H401" s="13">
        <v>15</v>
      </c>
      <c r="I401" s="13">
        <v>315</v>
      </c>
      <c r="J401" s="14" t="s">
        <v>26</v>
      </c>
      <c r="R401" s="13">
        <v>360</v>
      </c>
      <c r="T401" s="51"/>
      <c r="AA401" s="13">
        <v>967.5</v>
      </c>
    </row>
    <row r="402" spans="1:27" x14ac:dyDescent="0.3">
      <c r="A402" s="12" t="s">
        <v>470</v>
      </c>
      <c r="B402" s="19">
        <v>42351</v>
      </c>
      <c r="C402" s="13" t="s">
        <v>20</v>
      </c>
      <c r="D402" s="13" t="s">
        <v>12</v>
      </c>
      <c r="E402" s="13" t="s">
        <v>51</v>
      </c>
      <c r="F402" s="13" t="s">
        <v>81</v>
      </c>
      <c r="G402" s="13">
        <v>14</v>
      </c>
      <c r="H402" s="13">
        <v>20</v>
      </c>
      <c r="I402" s="13">
        <v>280</v>
      </c>
      <c r="J402" s="14" t="s">
        <v>26</v>
      </c>
      <c r="R402" s="13">
        <v>234</v>
      </c>
      <c r="T402" s="51"/>
      <c r="AA402" s="13">
        <v>459.99999999999994</v>
      </c>
    </row>
    <row r="403" spans="1:27" x14ac:dyDescent="0.3">
      <c r="A403" s="12" t="s">
        <v>471</v>
      </c>
      <c r="B403" s="19">
        <v>42353</v>
      </c>
      <c r="C403" s="13" t="s">
        <v>31</v>
      </c>
      <c r="D403" s="13" t="s">
        <v>24</v>
      </c>
      <c r="E403" s="13" t="s">
        <v>13</v>
      </c>
      <c r="F403" s="13" t="s">
        <v>99</v>
      </c>
      <c r="G403" s="13">
        <v>12.5</v>
      </c>
      <c r="H403" s="13">
        <v>1</v>
      </c>
      <c r="I403" s="13">
        <v>12.5</v>
      </c>
      <c r="J403" s="14" t="s">
        <v>26</v>
      </c>
      <c r="R403" s="13">
        <v>775</v>
      </c>
      <c r="T403" s="51"/>
      <c r="AA403" s="13">
        <v>2280</v>
      </c>
    </row>
    <row r="404" spans="1:27" x14ac:dyDescent="0.3">
      <c r="A404" s="12" t="s">
        <v>472</v>
      </c>
      <c r="B404" s="19">
        <v>42354</v>
      </c>
      <c r="C404" s="13" t="s">
        <v>11</v>
      </c>
      <c r="D404" s="13" t="s">
        <v>12</v>
      </c>
      <c r="E404" s="13" t="s">
        <v>17</v>
      </c>
      <c r="F404" s="13" t="s">
        <v>32</v>
      </c>
      <c r="G404" s="13">
        <v>263.5</v>
      </c>
      <c r="H404" s="13">
        <v>5</v>
      </c>
      <c r="I404" s="13">
        <v>1317.5</v>
      </c>
      <c r="J404" s="14" t="s">
        <v>26</v>
      </c>
      <c r="R404" s="13">
        <v>712.5</v>
      </c>
      <c r="T404" s="51"/>
      <c r="AA404" s="13">
        <v>2250</v>
      </c>
    </row>
    <row r="405" spans="1:27" x14ac:dyDescent="0.3">
      <c r="A405" s="12" t="s">
        <v>473</v>
      </c>
      <c r="B405" s="19">
        <v>42354</v>
      </c>
      <c r="C405" s="13" t="s">
        <v>11</v>
      </c>
      <c r="D405" s="13" t="s">
        <v>12</v>
      </c>
      <c r="E405" s="13" t="s">
        <v>13</v>
      </c>
      <c r="F405" s="13" t="s">
        <v>99</v>
      </c>
      <c r="G405" s="13">
        <v>12.5</v>
      </c>
      <c r="H405" s="13">
        <v>10</v>
      </c>
      <c r="I405" s="13">
        <v>125</v>
      </c>
      <c r="J405" s="14" t="s">
        <v>26</v>
      </c>
      <c r="R405" s="13">
        <v>720</v>
      </c>
      <c r="T405" s="51"/>
      <c r="AA405" s="13">
        <v>12379</v>
      </c>
    </row>
    <row r="406" spans="1:27" x14ac:dyDescent="0.3">
      <c r="A406" s="12" t="s">
        <v>474</v>
      </c>
      <c r="B406" s="19">
        <v>42355</v>
      </c>
      <c r="C406" s="13" t="s">
        <v>20</v>
      </c>
      <c r="D406" s="13" t="s">
        <v>12</v>
      </c>
      <c r="E406" s="13" t="s">
        <v>21</v>
      </c>
      <c r="F406" s="13" t="s">
        <v>47</v>
      </c>
      <c r="G406" s="13">
        <v>40</v>
      </c>
      <c r="H406" s="13">
        <v>30</v>
      </c>
      <c r="I406" s="13">
        <v>1200</v>
      </c>
      <c r="J406" s="14" t="s">
        <v>15</v>
      </c>
      <c r="R406" s="13">
        <v>2080</v>
      </c>
      <c r="T406" s="51"/>
      <c r="AA406" s="13">
        <v>598.5</v>
      </c>
    </row>
    <row r="407" spans="1:27" x14ac:dyDescent="0.3">
      <c r="A407" s="12" t="s">
        <v>475</v>
      </c>
      <c r="B407" s="19">
        <v>42355</v>
      </c>
      <c r="C407" s="13" t="s">
        <v>28</v>
      </c>
      <c r="D407" s="13" t="s">
        <v>12</v>
      </c>
      <c r="E407" s="13" t="s">
        <v>21</v>
      </c>
      <c r="F407" s="13" t="s">
        <v>22</v>
      </c>
      <c r="G407" s="13">
        <v>25.89</v>
      </c>
      <c r="H407" s="13">
        <v>15</v>
      </c>
      <c r="I407" s="13">
        <v>388.35</v>
      </c>
      <c r="J407" s="14" t="s">
        <v>15</v>
      </c>
      <c r="R407" s="13">
        <v>4930</v>
      </c>
      <c r="T407" s="51"/>
      <c r="AA407" s="13">
        <v>2280</v>
      </c>
    </row>
    <row r="408" spans="1:27" x14ac:dyDescent="0.3">
      <c r="A408" s="12" t="s">
        <v>476</v>
      </c>
      <c r="B408" s="19">
        <v>42358</v>
      </c>
      <c r="C408" s="13" t="s">
        <v>31</v>
      </c>
      <c r="D408" s="13" t="s">
        <v>12</v>
      </c>
      <c r="E408" s="13" t="s">
        <v>17</v>
      </c>
      <c r="F408" s="13" t="s">
        <v>54</v>
      </c>
      <c r="G408" s="13">
        <v>30</v>
      </c>
      <c r="H408" s="13">
        <v>3</v>
      </c>
      <c r="I408" s="13">
        <v>90</v>
      </c>
      <c r="J408" s="14" t="s">
        <v>15</v>
      </c>
      <c r="R408" s="13">
        <v>4320</v>
      </c>
      <c r="T408" s="51"/>
      <c r="AA408" s="13">
        <v>2100</v>
      </c>
    </row>
    <row r="409" spans="1:27" x14ac:dyDescent="0.3">
      <c r="A409" s="12" t="s">
        <v>477</v>
      </c>
      <c r="B409" s="19">
        <v>42358</v>
      </c>
      <c r="C409" s="13" t="s">
        <v>20</v>
      </c>
      <c r="D409" s="13" t="s">
        <v>12</v>
      </c>
      <c r="E409" s="13" t="s">
        <v>21</v>
      </c>
      <c r="F409" s="13" t="s">
        <v>22</v>
      </c>
      <c r="G409" s="13">
        <v>38</v>
      </c>
      <c r="H409" s="13">
        <v>20</v>
      </c>
      <c r="I409" s="13">
        <v>760</v>
      </c>
      <c r="J409" s="14" t="s">
        <v>15</v>
      </c>
      <c r="R409" s="13">
        <v>3960</v>
      </c>
      <c r="T409" s="51"/>
      <c r="AA409" s="13">
        <v>2031.25</v>
      </c>
    </row>
    <row r="410" spans="1:27" x14ac:dyDescent="0.3">
      <c r="A410" s="12" t="s">
        <v>478</v>
      </c>
      <c r="B410" s="19">
        <v>42360</v>
      </c>
      <c r="C410" s="13" t="s">
        <v>11</v>
      </c>
      <c r="D410" s="13" t="s">
        <v>12</v>
      </c>
      <c r="E410" s="13" t="s">
        <v>51</v>
      </c>
      <c r="F410" s="13" t="s">
        <v>268</v>
      </c>
      <c r="G410" s="13">
        <v>7.45</v>
      </c>
      <c r="H410" s="13">
        <v>6</v>
      </c>
      <c r="I410" s="13">
        <v>44.7</v>
      </c>
      <c r="J410" s="14" t="s">
        <v>15</v>
      </c>
      <c r="R410" s="13">
        <v>3944</v>
      </c>
      <c r="T410" s="51"/>
      <c r="AA410" s="13">
        <v>4600</v>
      </c>
    </row>
    <row r="411" spans="1:27" x14ac:dyDescent="0.3">
      <c r="A411" s="12" t="s">
        <v>479</v>
      </c>
      <c r="B411" s="19">
        <v>42360</v>
      </c>
      <c r="C411" s="13" t="s">
        <v>11</v>
      </c>
      <c r="D411" s="13" t="s">
        <v>12</v>
      </c>
      <c r="E411" s="13" t="s">
        <v>51</v>
      </c>
      <c r="F411" s="13" t="s">
        <v>81</v>
      </c>
      <c r="G411" s="13">
        <v>23.25</v>
      </c>
      <c r="H411" s="13">
        <v>15</v>
      </c>
      <c r="I411" s="13">
        <v>348.75</v>
      </c>
      <c r="J411" s="14" t="s">
        <v>15</v>
      </c>
      <c r="R411" s="13">
        <v>600</v>
      </c>
      <c r="T411" s="51"/>
      <c r="AA411" s="13">
        <v>756</v>
      </c>
    </row>
    <row r="412" spans="1:27" x14ac:dyDescent="0.3">
      <c r="A412" s="12" t="s">
        <v>480</v>
      </c>
      <c r="B412" s="19">
        <v>42360</v>
      </c>
      <c r="C412" s="13" t="s">
        <v>28</v>
      </c>
      <c r="D412" s="13" t="s">
        <v>45</v>
      </c>
      <c r="E412" s="13" t="s">
        <v>17</v>
      </c>
      <c r="F412" s="13" t="s">
        <v>54</v>
      </c>
      <c r="G412" s="13">
        <v>7</v>
      </c>
      <c r="H412" s="13">
        <v>8</v>
      </c>
      <c r="I412" s="13">
        <v>56</v>
      </c>
      <c r="J412" s="14" t="s">
        <v>26</v>
      </c>
      <c r="R412" s="13">
        <v>810</v>
      </c>
      <c r="T412" s="51"/>
      <c r="AA412" s="13">
        <v>285</v>
      </c>
    </row>
    <row r="413" spans="1:27" x14ac:dyDescent="0.3">
      <c r="A413" s="12" t="s">
        <v>481</v>
      </c>
      <c r="B413" s="19">
        <v>42360</v>
      </c>
      <c r="C413" s="13" t="s">
        <v>28</v>
      </c>
      <c r="D413" s="13" t="s">
        <v>45</v>
      </c>
      <c r="E413" s="13" t="s">
        <v>51</v>
      </c>
      <c r="F413" s="13" t="s">
        <v>81</v>
      </c>
      <c r="G413" s="13">
        <v>9.65</v>
      </c>
      <c r="H413" s="13">
        <v>14</v>
      </c>
      <c r="I413" s="13">
        <v>135.1</v>
      </c>
      <c r="J413" s="14" t="s">
        <v>26</v>
      </c>
      <c r="R413" s="13">
        <v>967.5</v>
      </c>
      <c r="T413" s="51"/>
      <c r="AA413" s="13">
        <v>12500</v>
      </c>
    </row>
    <row r="414" spans="1:27" x14ac:dyDescent="0.3">
      <c r="A414" s="12" t="s">
        <v>482</v>
      </c>
      <c r="B414" s="19">
        <v>42362</v>
      </c>
      <c r="C414" s="13" t="s">
        <v>31</v>
      </c>
      <c r="D414" s="13" t="s">
        <v>45</v>
      </c>
      <c r="E414" s="13" t="s">
        <v>13</v>
      </c>
      <c r="F414" s="13" t="s">
        <v>56</v>
      </c>
      <c r="G414" s="13">
        <v>34.799999999999997</v>
      </c>
      <c r="H414" s="13">
        <v>10</v>
      </c>
      <c r="I414" s="13">
        <v>348</v>
      </c>
      <c r="J414" s="14" t="s">
        <v>15</v>
      </c>
      <c r="R414" s="13">
        <v>459.99999999999994</v>
      </c>
      <c r="T414" s="51"/>
      <c r="AA414" s="13">
        <v>360</v>
      </c>
    </row>
    <row r="415" spans="1:27" x14ac:dyDescent="0.3">
      <c r="A415" s="12" t="s">
        <v>483</v>
      </c>
      <c r="B415" s="19">
        <v>42362</v>
      </c>
      <c r="C415" s="13" t="s">
        <v>28</v>
      </c>
      <c r="D415" s="13" t="s">
        <v>45</v>
      </c>
      <c r="E415" s="13" t="s">
        <v>34</v>
      </c>
      <c r="F415" s="13" t="s">
        <v>90</v>
      </c>
      <c r="G415" s="13">
        <v>49.3</v>
      </c>
      <c r="H415" s="13">
        <v>2</v>
      </c>
      <c r="I415" s="13">
        <v>98.6</v>
      </c>
      <c r="J415" s="14" t="s">
        <v>15</v>
      </c>
      <c r="R415" s="13">
        <v>2280</v>
      </c>
      <c r="T415" s="51"/>
      <c r="AA415" s="13">
        <v>2760</v>
      </c>
    </row>
    <row r="416" spans="1:27" x14ac:dyDescent="0.3">
      <c r="A416" s="12" t="s">
        <v>484</v>
      </c>
      <c r="B416" s="19">
        <v>42362</v>
      </c>
      <c r="C416" s="13" t="s">
        <v>28</v>
      </c>
      <c r="D416" s="13" t="s">
        <v>45</v>
      </c>
      <c r="E416" s="13" t="s">
        <v>51</v>
      </c>
      <c r="F416" s="13" t="s">
        <v>268</v>
      </c>
      <c r="G416" s="13">
        <v>7.45</v>
      </c>
      <c r="H416" s="13">
        <v>7</v>
      </c>
      <c r="I416" s="13">
        <v>52.15</v>
      </c>
      <c r="J416" s="14" t="s">
        <v>26</v>
      </c>
      <c r="R416" s="13">
        <v>2250</v>
      </c>
      <c r="T416" s="51"/>
      <c r="AA416" s="13">
        <v>405</v>
      </c>
    </row>
    <row r="417" spans="1:27" x14ac:dyDescent="0.3">
      <c r="A417" s="12" t="s">
        <v>485</v>
      </c>
      <c r="B417" s="19">
        <v>42362</v>
      </c>
      <c r="C417" s="13" t="s">
        <v>31</v>
      </c>
      <c r="D417" s="13" t="s">
        <v>45</v>
      </c>
      <c r="E417" s="13" t="s">
        <v>34</v>
      </c>
      <c r="F417" s="13" t="s">
        <v>64</v>
      </c>
      <c r="G417" s="13">
        <v>53</v>
      </c>
      <c r="H417" s="13">
        <v>10</v>
      </c>
      <c r="I417" s="13">
        <v>530</v>
      </c>
      <c r="J417" s="14" t="s">
        <v>26</v>
      </c>
      <c r="R417" s="13">
        <v>12379</v>
      </c>
      <c r="T417" s="51"/>
      <c r="AA417" s="13">
        <v>2205</v>
      </c>
    </row>
    <row r="418" spans="1:27" x14ac:dyDescent="0.3">
      <c r="A418" s="12" t="s">
        <v>486</v>
      </c>
      <c r="B418" s="19">
        <v>42362</v>
      </c>
      <c r="C418" s="13" t="s">
        <v>20</v>
      </c>
      <c r="D418" s="13" t="s">
        <v>45</v>
      </c>
      <c r="E418" s="13" t="s">
        <v>13</v>
      </c>
      <c r="F418" s="13" t="s">
        <v>14</v>
      </c>
      <c r="G418" s="13">
        <v>21</v>
      </c>
      <c r="H418" s="13">
        <v>50</v>
      </c>
      <c r="I418" s="13">
        <v>1050</v>
      </c>
      <c r="J418" s="14" t="s">
        <v>26</v>
      </c>
      <c r="R418" s="13">
        <v>598.5</v>
      </c>
      <c r="T418" s="51"/>
      <c r="AA418" s="13">
        <v>1117.5</v>
      </c>
    </row>
    <row r="419" spans="1:27" x14ac:dyDescent="0.3">
      <c r="A419" s="12" t="s">
        <v>487</v>
      </c>
      <c r="B419" s="19">
        <v>42365</v>
      </c>
      <c r="C419" s="13" t="s">
        <v>11</v>
      </c>
      <c r="D419" s="13" t="s">
        <v>85</v>
      </c>
      <c r="E419" s="13" t="s">
        <v>51</v>
      </c>
      <c r="F419" s="13" t="s">
        <v>118</v>
      </c>
      <c r="G419" s="13">
        <v>39</v>
      </c>
      <c r="H419" s="13">
        <v>40</v>
      </c>
      <c r="I419" s="13">
        <v>1560</v>
      </c>
      <c r="J419" s="14" t="s">
        <v>26</v>
      </c>
      <c r="R419" s="13">
        <v>2280</v>
      </c>
      <c r="T419" s="51"/>
      <c r="AA419" s="13">
        <v>8200</v>
      </c>
    </row>
    <row r="420" spans="1:27" x14ac:dyDescent="0.3">
      <c r="A420" s="12" t="s">
        <v>488</v>
      </c>
      <c r="B420" s="19">
        <v>42365</v>
      </c>
      <c r="C420" s="13" t="s">
        <v>11</v>
      </c>
      <c r="D420" s="13" t="s">
        <v>85</v>
      </c>
      <c r="E420" s="13" t="s">
        <v>51</v>
      </c>
      <c r="F420" s="13" t="s">
        <v>52</v>
      </c>
      <c r="G420" s="13">
        <v>123.79</v>
      </c>
      <c r="H420" s="13">
        <v>20</v>
      </c>
      <c r="I420" s="13">
        <v>2475.8000000000002</v>
      </c>
      <c r="J420" s="14" t="s">
        <v>26</v>
      </c>
      <c r="R420" s="13">
        <v>2100</v>
      </c>
      <c r="T420" s="51"/>
      <c r="AA420" s="13">
        <v>6213.6</v>
      </c>
    </row>
    <row r="421" spans="1:27" x14ac:dyDescent="0.3">
      <c r="A421" s="12" t="s">
        <v>489</v>
      </c>
      <c r="B421" s="19">
        <v>42366</v>
      </c>
      <c r="C421" s="13" t="s">
        <v>20</v>
      </c>
      <c r="D421" s="13" t="s">
        <v>12</v>
      </c>
      <c r="E421" s="13" t="s">
        <v>13</v>
      </c>
      <c r="F421" s="13" t="s">
        <v>66</v>
      </c>
      <c r="G421" s="13">
        <v>55</v>
      </c>
      <c r="H421" s="13">
        <v>15</v>
      </c>
      <c r="I421" s="13">
        <v>825</v>
      </c>
      <c r="J421" s="14" t="s">
        <v>15</v>
      </c>
      <c r="R421" s="13">
        <v>2031.25</v>
      </c>
      <c r="T421" s="51"/>
      <c r="AA421" s="13">
        <v>1960</v>
      </c>
    </row>
    <row r="422" spans="1:27" x14ac:dyDescent="0.3">
      <c r="A422" s="12" t="s">
        <v>490</v>
      </c>
      <c r="B422" s="19">
        <v>42366</v>
      </c>
      <c r="C422" s="13" t="s">
        <v>11</v>
      </c>
      <c r="D422" s="13" t="s">
        <v>12</v>
      </c>
      <c r="E422" s="13" t="s">
        <v>34</v>
      </c>
      <c r="F422" s="13" t="s">
        <v>188</v>
      </c>
      <c r="G422" s="13">
        <v>9.1999999999999993</v>
      </c>
      <c r="H422" s="13">
        <v>24</v>
      </c>
      <c r="I422" s="13">
        <v>220.79999999999998</v>
      </c>
      <c r="J422" s="14" t="s">
        <v>15</v>
      </c>
      <c r="R422" s="13">
        <v>4600</v>
      </c>
      <c r="T422" s="51"/>
      <c r="AA422" s="13">
        <v>207.12</v>
      </c>
    </row>
    <row r="423" spans="1:27" x14ac:dyDescent="0.3">
      <c r="A423" s="12" t="s">
        <v>491</v>
      </c>
      <c r="B423" s="19">
        <v>42366</v>
      </c>
      <c r="C423" s="13" t="s">
        <v>20</v>
      </c>
      <c r="D423" s="13" t="s">
        <v>12</v>
      </c>
      <c r="E423" s="13" t="s">
        <v>34</v>
      </c>
      <c r="F423" s="13" t="s">
        <v>68</v>
      </c>
      <c r="G423" s="13">
        <v>14</v>
      </c>
      <c r="H423" s="13">
        <v>15</v>
      </c>
      <c r="I423" s="13">
        <v>210</v>
      </c>
      <c r="J423" s="14" t="s">
        <v>15</v>
      </c>
      <c r="R423" s="13">
        <v>756</v>
      </c>
      <c r="T423" s="51"/>
      <c r="AA423" s="13">
        <v>4800</v>
      </c>
    </row>
    <row r="424" spans="1:27" x14ac:dyDescent="0.3">
      <c r="A424" s="12" t="s">
        <v>492</v>
      </c>
      <c r="B424" s="19">
        <v>42366</v>
      </c>
      <c r="C424" s="13" t="s">
        <v>28</v>
      </c>
      <c r="D424" s="13" t="s">
        <v>45</v>
      </c>
      <c r="E424" s="13" t="s">
        <v>51</v>
      </c>
      <c r="F424" s="13" t="s">
        <v>81</v>
      </c>
      <c r="G424" s="13">
        <v>45.6</v>
      </c>
      <c r="H424" s="13">
        <v>24</v>
      </c>
      <c r="I424" s="13">
        <v>1094.4000000000001</v>
      </c>
      <c r="J424" s="14" t="s">
        <v>26</v>
      </c>
      <c r="R424" s="13">
        <v>285</v>
      </c>
      <c r="T424" s="51"/>
      <c r="AA424" s="13">
        <v>500</v>
      </c>
    </row>
    <row r="425" spans="1:27" x14ac:dyDescent="0.3">
      <c r="A425" s="12" t="s">
        <v>493</v>
      </c>
      <c r="B425" s="19">
        <v>42366</v>
      </c>
      <c r="C425" s="13" t="s">
        <v>31</v>
      </c>
      <c r="D425" s="13" t="s">
        <v>45</v>
      </c>
      <c r="E425" s="13" t="s">
        <v>51</v>
      </c>
      <c r="F425" s="13" t="s">
        <v>81</v>
      </c>
      <c r="G425" s="13">
        <v>31</v>
      </c>
      <c r="H425" s="13">
        <v>36</v>
      </c>
      <c r="I425" s="13">
        <v>1116</v>
      </c>
      <c r="J425" s="14" t="s">
        <v>26</v>
      </c>
      <c r="R425" s="13">
        <v>12500</v>
      </c>
      <c r="T425" s="51"/>
      <c r="AA425" s="13">
        <v>883.19999999999993</v>
      </c>
    </row>
    <row r="426" spans="1:27" x14ac:dyDescent="0.3">
      <c r="A426" s="12" t="s">
        <v>494</v>
      </c>
      <c r="B426" s="19">
        <v>42366</v>
      </c>
      <c r="C426" s="13" t="s">
        <v>11</v>
      </c>
      <c r="D426" s="13" t="s">
        <v>45</v>
      </c>
      <c r="E426" s="13" t="s">
        <v>34</v>
      </c>
      <c r="F426" s="13" t="s">
        <v>75</v>
      </c>
      <c r="G426" s="13">
        <v>20</v>
      </c>
      <c r="H426" s="13">
        <v>4</v>
      </c>
      <c r="I426" s="13">
        <v>80</v>
      </c>
      <c r="J426" s="14" t="s">
        <v>26</v>
      </c>
      <c r="R426" s="13">
        <v>360</v>
      </c>
      <c r="T426" s="51"/>
      <c r="AA426" s="13">
        <v>315</v>
      </c>
    </row>
    <row r="427" spans="1:27" x14ac:dyDescent="0.3">
      <c r="A427" s="12" t="s">
        <v>495</v>
      </c>
      <c r="B427" s="19">
        <v>42005</v>
      </c>
      <c r="C427" s="13" t="s">
        <v>11</v>
      </c>
      <c r="D427" s="13" t="s">
        <v>12</v>
      </c>
      <c r="E427" s="13" t="s">
        <v>13</v>
      </c>
      <c r="F427" s="13" t="s">
        <v>14</v>
      </c>
      <c r="G427" s="13">
        <v>45.6</v>
      </c>
      <c r="H427" s="13">
        <v>126</v>
      </c>
      <c r="I427" s="13">
        <v>5745.6</v>
      </c>
      <c r="J427" s="14" t="s">
        <v>15</v>
      </c>
      <c r="R427" s="13">
        <v>2760</v>
      </c>
      <c r="T427" s="51"/>
      <c r="AA427" s="13">
        <v>3720</v>
      </c>
    </row>
    <row r="428" spans="1:27" x14ac:dyDescent="0.3">
      <c r="A428" s="12" t="s">
        <v>496</v>
      </c>
      <c r="B428" s="19">
        <v>42005</v>
      </c>
      <c r="C428" s="13" t="s">
        <v>20</v>
      </c>
      <c r="D428" s="13" t="s">
        <v>12</v>
      </c>
      <c r="E428" s="13" t="s">
        <v>21</v>
      </c>
      <c r="F428" s="13" t="s">
        <v>22</v>
      </c>
      <c r="G428" s="13">
        <v>19</v>
      </c>
      <c r="H428" s="13">
        <v>45</v>
      </c>
      <c r="I428" s="13">
        <v>855</v>
      </c>
      <c r="J428" s="14" t="s">
        <v>15</v>
      </c>
      <c r="R428" s="13">
        <v>405</v>
      </c>
      <c r="T428" s="51"/>
      <c r="AA428" s="13">
        <v>1425</v>
      </c>
    </row>
    <row r="429" spans="1:27" x14ac:dyDescent="0.3">
      <c r="A429" s="12" t="s">
        <v>497</v>
      </c>
      <c r="B429" s="19">
        <v>42005</v>
      </c>
      <c r="C429" s="13" t="s">
        <v>20</v>
      </c>
      <c r="D429" s="13" t="s">
        <v>12</v>
      </c>
      <c r="E429" s="13" t="s">
        <v>21</v>
      </c>
      <c r="F429" s="13" t="s">
        <v>22</v>
      </c>
      <c r="G429" s="13">
        <v>18.399999999999999</v>
      </c>
      <c r="H429" s="13">
        <v>14</v>
      </c>
      <c r="I429" s="13">
        <v>257.59999999999997</v>
      </c>
      <c r="J429" s="14" t="s">
        <v>15</v>
      </c>
      <c r="R429" s="13">
        <v>2205</v>
      </c>
      <c r="T429" s="51"/>
      <c r="AA429" s="13">
        <v>3120</v>
      </c>
    </row>
    <row r="430" spans="1:27" x14ac:dyDescent="0.3">
      <c r="A430" s="12" t="s">
        <v>498</v>
      </c>
      <c r="B430" s="19">
        <v>42005</v>
      </c>
      <c r="C430" s="13" t="s">
        <v>20</v>
      </c>
      <c r="D430" s="13" t="s">
        <v>12</v>
      </c>
      <c r="E430" s="13" t="s">
        <v>34</v>
      </c>
      <c r="F430" s="13" t="s">
        <v>241</v>
      </c>
      <c r="G430" s="13">
        <v>10</v>
      </c>
      <c r="H430" s="13">
        <v>120</v>
      </c>
      <c r="I430" s="13">
        <v>1200</v>
      </c>
      <c r="J430" s="14" t="s">
        <v>15</v>
      </c>
      <c r="R430" s="13">
        <v>1117.5</v>
      </c>
      <c r="T430" s="51"/>
      <c r="AA430" s="13">
        <v>4560</v>
      </c>
    </row>
    <row r="431" spans="1:27" x14ac:dyDescent="0.3">
      <c r="A431" s="12" t="s">
        <v>499</v>
      </c>
      <c r="B431" s="19">
        <v>42007</v>
      </c>
      <c r="C431" s="13" t="s">
        <v>20</v>
      </c>
      <c r="D431" s="13" t="s">
        <v>24</v>
      </c>
      <c r="E431" s="13" t="s">
        <v>17</v>
      </c>
      <c r="F431" s="13" t="s">
        <v>54</v>
      </c>
      <c r="G431" s="13">
        <v>23.25</v>
      </c>
      <c r="H431" s="13">
        <v>36</v>
      </c>
      <c r="I431" s="13">
        <v>837</v>
      </c>
      <c r="J431" s="14" t="s">
        <v>15</v>
      </c>
      <c r="R431" s="13">
        <v>8200</v>
      </c>
      <c r="T431" s="51"/>
      <c r="AA431" s="13">
        <v>472.5</v>
      </c>
    </row>
    <row r="432" spans="1:27" x14ac:dyDescent="0.3">
      <c r="A432" s="12" t="s">
        <v>500</v>
      </c>
      <c r="B432" s="19">
        <v>42007</v>
      </c>
      <c r="C432" s="13" t="s">
        <v>20</v>
      </c>
      <c r="D432" s="13" t="s">
        <v>24</v>
      </c>
      <c r="E432" s="13" t="s">
        <v>34</v>
      </c>
      <c r="F432" s="13" t="s">
        <v>241</v>
      </c>
      <c r="G432" s="13">
        <v>10</v>
      </c>
      <c r="H432" s="13">
        <v>24</v>
      </c>
      <c r="I432" s="13">
        <v>240</v>
      </c>
      <c r="J432" s="14" t="s">
        <v>15</v>
      </c>
      <c r="R432" s="13">
        <v>6213.6</v>
      </c>
      <c r="T432" s="51"/>
      <c r="AA432" s="13">
        <v>396</v>
      </c>
    </row>
    <row r="433" spans="1:27" x14ac:dyDescent="0.3">
      <c r="A433" s="12" t="s">
        <v>501</v>
      </c>
      <c r="B433" s="19">
        <v>42012</v>
      </c>
      <c r="C433" s="13" t="s">
        <v>11</v>
      </c>
      <c r="D433" s="13" t="s">
        <v>12</v>
      </c>
      <c r="E433" s="13" t="s">
        <v>13</v>
      </c>
      <c r="F433" s="13" t="s">
        <v>113</v>
      </c>
      <c r="G433" s="13">
        <v>2.5</v>
      </c>
      <c r="H433" s="13">
        <v>350</v>
      </c>
      <c r="I433" s="13">
        <v>875</v>
      </c>
      <c r="J433" s="14" t="s">
        <v>26</v>
      </c>
      <c r="R433" s="13">
        <v>1960</v>
      </c>
      <c r="T433" s="51"/>
      <c r="AA433" s="13">
        <v>1530</v>
      </c>
    </row>
    <row r="434" spans="1:27" x14ac:dyDescent="0.3">
      <c r="A434" s="12" t="s">
        <v>318</v>
      </c>
      <c r="B434" s="19">
        <v>42012</v>
      </c>
      <c r="C434" s="13" t="s">
        <v>28</v>
      </c>
      <c r="D434" s="13" t="s">
        <v>12</v>
      </c>
      <c r="E434" s="13" t="s">
        <v>34</v>
      </c>
      <c r="F434" s="13" t="s">
        <v>188</v>
      </c>
      <c r="G434" s="13">
        <v>9.1999999999999993</v>
      </c>
      <c r="H434" s="13">
        <v>18</v>
      </c>
      <c r="I434" s="13">
        <v>165.6</v>
      </c>
      <c r="J434" s="14" t="s">
        <v>26</v>
      </c>
      <c r="R434" s="13">
        <v>207.12</v>
      </c>
      <c r="T434" s="51"/>
      <c r="AA434" s="13">
        <v>3360</v>
      </c>
    </row>
    <row r="435" spans="1:27" x14ac:dyDescent="0.3">
      <c r="A435" s="12" t="s">
        <v>502</v>
      </c>
      <c r="B435" s="19">
        <v>42019</v>
      </c>
      <c r="C435" s="13" t="s">
        <v>31</v>
      </c>
      <c r="D435" s="13" t="s">
        <v>12</v>
      </c>
      <c r="E435" s="13" t="s">
        <v>17</v>
      </c>
      <c r="F435" s="13" t="s">
        <v>54</v>
      </c>
      <c r="G435" s="13">
        <v>15</v>
      </c>
      <c r="H435" s="13">
        <v>64</v>
      </c>
      <c r="I435" s="13">
        <v>960</v>
      </c>
      <c r="J435" s="14" t="s">
        <v>15</v>
      </c>
      <c r="R435" s="13">
        <v>4800</v>
      </c>
      <c r="T435" s="51"/>
      <c r="AA435" s="13">
        <v>1512</v>
      </c>
    </row>
    <row r="436" spans="1:27" x14ac:dyDescent="0.3">
      <c r="A436" s="12" t="s">
        <v>503</v>
      </c>
      <c r="B436" s="19">
        <v>42019</v>
      </c>
      <c r="C436" s="13" t="s">
        <v>11</v>
      </c>
      <c r="D436" s="13" t="s">
        <v>12</v>
      </c>
      <c r="E436" s="13" t="s">
        <v>21</v>
      </c>
      <c r="F436" s="13" t="s">
        <v>22</v>
      </c>
      <c r="G436" s="13">
        <v>15</v>
      </c>
      <c r="H436" s="13">
        <v>160</v>
      </c>
      <c r="I436" s="13">
        <v>2400</v>
      </c>
      <c r="J436" s="14" t="s">
        <v>15</v>
      </c>
      <c r="R436" s="13">
        <v>500</v>
      </c>
      <c r="T436" s="51"/>
      <c r="AA436" s="13">
        <v>780</v>
      </c>
    </row>
    <row r="437" spans="1:27" x14ac:dyDescent="0.3">
      <c r="A437" s="12" t="s">
        <v>504</v>
      </c>
      <c r="B437" s="19">
        <v>42019</v>
      </c>
      <c r="C437" s="13" t="s">
        <v>28</v>
      </c>
      <c r="D437" s="13" t="s">
        <v>12</v>
      </c>
      <c r="E437" s="13" t="s">
        <v>34</v>
      </c>
      <c r="F437" s="13" t="s">
        <v>64</v>
      </c>
      <c r="G437" s="13">
        <v>6</v>
      </c>
      <c r="H437" s="13">
        <v>6</v>
      </c>
      <c r="I437" s="13">
        <v>36</v>
      </c>
      <c r="J437" s="14" t="s">
        <v>15</v>
      </c>
      <c r="R437" s="13">
        <v>883.19999999999993</v>
      </c>
      <c r="T437" s="51"/>
      <c r="AA437" s="13">
        <v>8000</v>
      </c>
    </row>
    <row r="438" spans="1:27" x14ac:dyDescent="0.3">
      <c r="A438" s="12" t="s">
        <v>505</v>
      </c>
      <c r="B438" s="19">
        <v>42019</v>
      </c>
      <c r="C438" s="13" t="s">
        <v>20</v>
      </c>
      <c r="D438" s="13" t="s">
        <v>12</v>
      </c>
      <c r="E438" s="13" t="s">
        <v>51</v>
      </c>
      <c r="F438" s="13" t="s">
        <v>138</v>
      </c>
      <c r="G438" s="13">
        <v>32.799999999999997</v>
      </c>
      <c r="H438" s="13">
        <v>105</v>
      </c>
      <c r="I438" s="13">
        <v>3443.9999999999995</v>
      </c>
      <c r="J438" s="14" t="s">
        <v>15</v>
      </c>
      <c r="R438" s="13">
        <v>315</v>
      </c>
      <c r="T438" s="51"/>
      <c r="AA438" s="13">
        <v>8904</v>
      </c>
    </row>
    <row r="439" spans="1:27" x14ac:dyDescent="0.3">
      <c r="A439" s="12" t="s">
        <v>506</v>
      </c>
      <c r="B439" s="19">
        <v>42019</v>
      </c>
      <c r="C439" s="13" t="s">
        <v>11</v>
      </c>
      <c r="D439" s="13" t="s">
        <v>12</v>
      </c>
      <c r="E439" s="13" t="s">
        <v>21</v>
      </c>
      <c r="F439" s="13" t="s">
        <v>97</v>
      </c>
      <c r="G439" s="13">
        <v>13</v>
      </c>
      <c r="H439" s="13">
        <v>40</v>
      </c>
      <c r="I439" s="13">
        <v>520</v>
      </c>
      <c r="J439" s="14" t="s">
        <v>15</v>
      </c>
      <c r="R439" s="13">
        <v>3720</v>
      </c>
      <c r="T439" s="51"/>
      <c r="AA439" s="13">
        <v>340</v>
      </c>
    </row>
    <row r="440" spans="1:27" x14ac:dyDescent="0.3">
      <c r="A440" s="12" t="s">
        <v>507</v>
      </c>
      <c r="B440" s="19">
        <v>42019</v>
      </c>
      <c r="C440" s="13" t="s">
        <v>11</v>
      </c>
      <c r="D440" s="13" t="s">
        <v>12</v>
      </c>
      <c r="E440" s="13" t="s">
        <v>34</v>
      </c>
      <c r="F440" s="13" t="s">
        <v>77</v>
      </c>
      <c r="G440" s="13">
        <v>31.23</v>
      </c>
      <c r="H440" s="13">
        <v>300</v>
      </c>
      <c r="I440" s="13">
        <v>9369</v>
      </c>
      <c r="J440" s="14" t="s">
        <v>15</v>
      </c>
      <c r="R440" s="13">
        <v>1425</v>
      </c>
      <c r="T440" s="51"/>
      <c r="AA440" s="13">
        <v>1140</v>
      </c>
    </row>
    <row r="441" spans="1:27" x14ac:dyDescent="0.3">
      <c r="A441" s="12" t="s">
        <v>508</v>
      </c>
      <c r="B441" s="19">
        <v>42019</v>
      </c>
      <c r="C441" s="13" t="s">
        <v>20</v>
      </c>
      <c r="D441" s="13" t="s">
        <v>12</v>
      </c>
      <c r="E441" s="13" t="s">
        <v>34</v>
      </c>
      <c r="F441" s="13" t="s">
        <v>188</v>
      </c>
      <c r="G441" s="13">
        <v>9.1999999999999993</v>
      </c>
      <c r="H441" s="13">
        <v>24</v>
      </c>
      <c r="I441" s="13">
        <v>220.79999999999998</v>
      </c>
      <c r="J441" s="14" t="s">
        <v>15</v>
      </c>
      <c r="R441" s="13">
        <v>3120</v>
      </c>
      <c r="T441" s="51"/>
      <c r="AA441" s="13">
        <v>200</v>
      </c>
    </row>
    <row r="442" spans="1:27" x14ac:dyDescent="0.3">
      <c r="A442" s="12" t="s">
        <v>509</v>
      </c>
      <c r="B442" s="19">
        <v>42021</v>
      </c>
      <c r="C442" s="13" t="s">
        <v>11</v>
      </c>
      <c r="D442" s="13" t="s">
        <v>12</v>
      </c>
      <c r="E442" s="13" t="s">
        <v>13</v>
      </c>
      <c r="F442" s="13" t="s">
        <v>66</v>
      </c>
      <c r="G442" s="13">
        <v>55</v>
      </c>
      <c r="H442" s="13">
        <v>200</v>
      </c>
      <c r="I442" s="13">
        <v>11000</v>
      </c>
      <c r="J442" s="14" t="s">
        <v>26</v>
      </c>
      <c r="R442" s="13">
        <v>4560</v>
      </c>
      <c r="T442" s="51"/>
      <c r="AA442" s="13">
        <v>1512</v>
      </c>
    </row>
    <row r="443" spans="1:27" x14ac:dyDescent="0.3">
      <c r="A443" s="12" t="s">
        <v>510</v>
      </c>
      <c r="B443" s="19">
        <v>42021</v>
      </c>
      <c r="C443" s="13" t="s">
        <v>20</v>
      </c>
      <c r="D443" s="13" t="s">
        <v>12</v>
      </c>
      <c r="E443" s="13" t="s">
        <v>13</v>
      </c>
      <c r="F443" s="13" t="s">
        <v>99</v>
      </c>
      <c r="G443" s="13">
        <v>12.5</v>
      </c>
      <c r="H443" s="13">
        <v>112</v>
      </c>
      <c r="I443" s="13">
        <v>1400</v>
      </c>
      <c r="J443" s="14" t="s">
        <v>26</v>
      </c>
      <c r="R443" s="13">
        <v>472.5</v>
      </c>
      <c r="T443" s="51"/>
      <c r="AA443" s="13">
        <v>516</v>
      </c>
    </row>
    <row r="444" spans="1:27" x14ac:dyDescent="0.3">
      <c r="A444" s="12" t="s">
        <v>511</v>
      </c>
      <c r="B444" s="19">
        <v>42025</v>
      </c>
      <c r="C444" s="13" t="s">
        <v>11</v>
      </c>
      <c r="D444" s="13" t="s">
        <v>85</v>
      </c>
      <c r="E444" s="13" t="s">
        <v>34</v>
      </c>
      <c r="F444" s="13" t="s">
        <v>64</v>
      </c>
      <c r="G444" s="13">
        <v>33.25</v>
      </c>
      <c r="H444" s="13">
        <v>21</v>
      </c>
      <c r="I444" s="13">
        <v>698.25</v>
      </c>
      <c r="J444" s="14" t="s">
        <v>15</v>
      </c>
      <c r="R444" s="13">
        <v>396</v>
      </c>
      <c r="T444" s="51"/>
      <c r="AA444" s="13">
        <v>720</v>
      </c>
    </row>
    <row r="445" spans="1:27" x14ac:dyDescent="0.3">
      <c r="A445" s="12" t="s">
        <v>512</v>
      </c>
      <c r="B445" s="19">
        <v>42025</v>
      </c>
      <c r="C445" s="13" t="s">
        <v>11</v>
      </c>
      <c r="D445" s="13" t="s">
        <v>85</v>
      </c>
      <c r="E445" s="13" t="s">
        <v>13</v>
      </c>
      <c r="F445" s="13" t="s">
        <v>14</v>
      </c>
      <c r="G445" s="13">
        <v>38</v>
      </c>
      <c r="H445" s="13">
        <v>45</v>
      </c>
      <c r="I445" s="13">
        <v>1710</v>
      </c>
      <c r="J445" s="14" t="s">
        <v>15</v>
      </c>
      <c r="R445" s="13">
        <v>1530</v>
      </c>
      <c r="T445" s="51"/>
      <c r="AA445" s="13">
        <v>1158</v>
      </c>
    </row>
    <row r="446" spans="1:27" x14ac:dyDescent="0.3">
      <c r="A446" s="12" t="s">
        <v>513</v>
      </c>
      <c r="B446" s="19">
        <v>42033</v>
      </c>
      <c r="C446" s="13" t="s">
        <v>31</v>
      </c>
      <c r="D446" s="13" t="s">
        <v>45</v>
      </c>
      <c r="E446" s="13" t="s">
        <v>17</v>
      </c>
      <c r="F446" s="13" t="s">
        <v>18</v>
      </c>
      <c r="G446" s="13">
        <v>19</v>
      </c>
      <c r="H446" s="13">
        <v>50</v>
      </c>
      <c r="I446" s="13">
        <v>950</v>
      </c>
      <c r="J446" s="14" t="s">
        <v>26</v>
      </c>
      <c r="R446" s="13">
        <v>3360</v>
      </c>
      <c r="T446" s="51"/>
      <c r="AA446" s="13">
        <v>1050</v>
      </c>
    </row>
    <row r="447" spans="1:27" x14ac:dyDescent="0.3">
      <c r="A447" s="12" t="s">
        <v>514</v>
      </c>
      <c r="B447" s="19">
        <v>42033</v>
      </c>
      <c r="C447" s="13" t="s">
        <v>31</v>
      </c>
      <c r="D447" s="13" t="s">
        <v>45</v>
      </c>
      <c r="E447" s="13" t="s">
        <v>13</v>
      </c>
      <c r="F447" s="13" t="s">
        <v>14</v>
      </c>
      <c r="G447" s="13">
        <v>21</v>
      </c>
      <c r="H447" s="13">
        <v>48</v>
      </c>
      <c r="I447" s="13">
        <v>1008</v>
      </c>
      <c r="J447" s="14" t="s">
        <v>26</v>
      </c>
      <c r="R447" s="13">
        <v>1512</v>
      </c>
      <c r="T447" s="51"/>
      <c r="AA447" s="13">
        <v>2304</v>
      </c>
    </row>
    <row r="448" spans="1:27" x14ac:dyDescent="0.3">
      <c r="A448" s="12" t="s">
        <v>515</v>
      </c>
      <c r="B448" s="19">
        <v>42033</v>
      </c>
      <c r="C448" s="13" t="s">
        <v>31</v>
      </c>
      <c r="D448" s="13" t="s">
        <v>45</v>
      </c>
      <c r="E448" s="13" t="s">
        <v>13</v>
      </c>
      <c r="F448" s="13" t="s">
        <v>56</v>
      </c>
      <c r="G448" s="13">
        <v>34.799999999999997</v>
      </c>
      <c r="H448" s="13">
        <v>70</v>
      </c>
      <c r="I448" s="13">
        <v>2436</v>
      </c>
      <c r="J448" s="14" t="s">
        <v>26</v>
      </c>
      <c r="R448" s="13">
        <v>780</v>
      </c>
      <c r="T448" s="51"/>
      <c r="AA448" s="13">
        <v>2718.4500000000003</v>
      </c>
    </row>
    <row r="449" spans="1:27" x14ac:dyDescent="0.3">
      <c r="A449" s="12" t="s">
        <v>516</v>
      </c>
      <c r="B449" s="19">
        <v>42043</v>
      </c>
      <c r="C449" s="13" t="s">
        <v>20</v>
      </c>
      <c r="D449" s="13" t="s">
        <v>12</v>
      </c>
      <c r="E449" s="13" t="s">
        <v>21</v>
      </c>
      <c r="F449" s="13" t="s">
        <v>87</v>
      </c>
      <c r="G449" s="13">
        <v>21.05</v>
      </c>
      <c r="H449" s="13">
        <v>280</v>
      </c>
      <c r="I449" s="13">
        <v>5894</v>
      </c>
      <c r="J449" s="14" t="s">
        <v>26</v>
      </c>
      <c r="R449" s="13">
        <v>8000</v>
      </c>
      <c r="T449" s="51"/>
      <c r="AA449" s="13">
        <v>772.8</v>
      </c>
    </row>
    <row r="450" spans="1:27" x14ac:dyDescent="0.3">
      <c r="A450" s="12" t="s">
        <v>334</v>
      </c>
      <c r="B450" s="19">
        <v>42043</v>
      </c>
      <c r="C450" s="13" t="s">
        <v>20</v>
      </c>
      <c r="D450" s="13" t="s">
        <v>12</v>
      </c>
      <c r="E450" s="13" t="s">
        <v>13</v>
      </c>
      <c r="F450" s="13" t="s">
        <v>124</v>
      </c>
      <c r="G450" s="13">
        <v>21.5</v>
      </c>
      <c r="H450" s="13">
        <v>2</v>
      </c>
      <c r="I450" s="13">
        <v>43</v>
      </c>
      <c r="J450" s="14" t="s">
        <v>26</v>
      </c>
      <c r="R450" s="13">
        <v>8904</v>
      </c>
      <c r="T450" s="51"/>
      <c r="AA450" s="13">
        <v>3600</v>
      </c>
    </row>
    <row r="451" spans="1:27" x14ac:dyDescent="0.3">
      <c r="A451" s="12" t="s">
        <v>335</v>
      </c>
      <c r="B451" s="19">
        <v>42043</v>
      </c>
      <c r="C451" s="13" t="s">
        <v>28</v>
      </c>
      <c r="D451" s="13" t="s">
        <v>12</v>
      </c>
      <c r="E451" s="13" t="s">
        <v>34</v>
      </c>
      <c r="F451" s="13" t="s">
        <v>188</v>
      </c>
      <c r="G451" s="13">
        <v>9.1999999999999993</v>
      </c>
      <c r="H451" s="13">
        <v>40</v>
      </c>
      <c r="I451" s="13">
        <v>368</v>
      </c>
      <c r="J451" s="14" t="s">
        <v>26</v>
      </c>
      <c r="R451" s="13">
        <v>340</v>
      </c>
      <c r="T451" s="51"/>
      <c r="AA451" s="13">
        <v>6000</v>
      </c>
    </row>
    <row r="452" spans="1:27" x14ac:dyDescent="0.3">
      <c r="A452" s="12" t="s">
        <v>517</v>
      </c>
      <c r="B452" s="19">
        <v>42046</v>
      </c>
      <c r="C452" s="13" t="s">
        <v>11</v>
      </c>
      <c r="D452" s="13" t="s">
        <v>24</v>
      </c>
      <c r="E452" s="13" t="s">
        <v>51</v>
      </c>
      <c r="F452" s="13" t="s">
        <v>81</v>
      </c>
      <c r="G452" s="13">
        <v>18.399999999999999</v>
      </c>
      <c r="H452" s="13">
        <v>200</v>
      </c>
      <c r="I452" s="13">
        <v>3679.9999999999995</v>
      </c>
      <c r="J452" s="14" t="s">
        <v>26</v>
      </c>
      <c r="R452" s="13">
        <v>1140</v>
      </c>
      <c r="T452" s="51"/>
      <c r="AA452" s="13">
        <v>2330.1</v>
      </c>
    </row>
    <row r="453" spans="1:27" x14ac:dyDescent="0.3">
      <c r="A453" s="12" t="s">
        <v>518</v>
      </c>
      <c r="B453" s="19">
        <v>42050</v>
      </c>
      <c r="C453" s="13" t="s">
        <v>11</v>
      </c>
      <c r="D453" s="13" t="s">
        <v>45</v>
      </c>
      <c r="E453" s="13" t="s">
        <v>17</v>
      </c>
      <c r="F453" s="13" t="s">
        <v>54</v>
      </c>
      <c r="G453" s="13">
        <v>15</v>
      </c>
      <c r="H453" s="13">
        <v>150</v>
      </c>
      <c r="I453" s="13">
        <v>2250</v>
      </c>
      <c r="J453" s="14" t="s">
        <v>26</v>
      </c>
      <c r="R453" s="13">
        <v>200</v>
      </c>
      <c r="T453" s="51"/>
      <c r="AA453" s="13">
        <v>1080</v>
      </c>
    </row>
    <row r="454" spans="1:27" x14ac:dyDescent="0.3">
      <c r="A454" s="12" t="s">
        <v>338</v>
      </c>
      <c r="B454" s="19">
        <v>42050</v>
      </c>
      <c r="C454" s="13" t="s">
        <v>31</v>
      </c>
      <c r="D454" s="13" t="s">
        <v>45</v>
      </c>
      <c r="E454" s="13" t="s">
        <v>34</v>
      </c>
      <c r="F454" s="13" t="s">
        <v>339</v>
      </c>
      <c r="G454" s="13">
        <v>12.75</v>
      </c>
      <c r="H454" s="13">
        <v>135</v>
      </c>
      <c r="I454" s="13">
        <v>1721.25</v>
      </c>
      <c r="J454" s="14" t="s">
        <v>26</v>
      </c>
      <c r="R454" s="13">
        <v>1512</v>
      </c>
      <c r="T454" s="51"/>
      <c r="AA454" s="13">
        <v>1140</v>
      </c>
    </row>
    <row r="455" spans="1:27" x14ac:dyDescent="0.3">
      <c r="A455" s="12" t="s">
        <v>519</v>
      </c>
      <c r="B455" s="19">
        <v>42060</v>
      </c>
      <c r="C455" s="13" t="s">
        <v>28</v>
      </c>
      <c r="D455" s="13" t="s">
        <v>45</v>
      </c>
      <c r="E455" s="13" t="s">
        <v>17</v>
      </c>
      <c r="F455" s="13" t="s">
        <v>54</v>
      </c>
      <c r="G455" s="13">
        <v>9</v>
      </c>
      <c r="H455" s="13">
        <v>168</v>
      </c>
      <c r="I455" s="13">
        <v>1512</v>
      </c>
      <c r="J455" s="14" t="s">
        <v>15</v>
      </c>
      <c r="R455" s="13">
        <v>516</v>
      </c>
      <c r="T455" s="51"/>
      <c r="AA455" s="13">
        <v>1980</v>
      </c>
    </row>
    <row r="456" spans="1:27" x14ac:dyDescent="0.3">
      <c r="A456" s="12" t="s">
        <v>520</v>
      </c>
      <c r="B456" s="19">
        <v>42060</v>
      </c>
      <c r="C456" s="13" t="s">
        <v>11</v>
      </c>
      <c r="D456" s="13" t="s">
        <v>45</v>
      </c>
      <c r="E456" s="13" t="s">
        <v>21</v>
      </c>
      <c r="F456" s="13" t="s">
        <v>22</v>
      </c>
      <c r="G456" s="13">
        <v>6</v>
      </c>
      <c r="H456" s="13">
        <v>10</v>
      </c>
      <c r="I456" s="13">
        <v>60</v>
      </c>
      <c r="J456" s="14" t="s">
        <v>15</v>
      </c>
      <c r="R456" s="13">
        <v>720</v>
      </c>
      <c r="T456" s="51"/>
      <c r="AA456" s="13">
        <v>576</v>
      </c>
    </row>
    <row r="457" spans="1:27" x14ac:dyDescent="0.3">
      <c r="A457" s="12" t="s">
        <v>342</v>
      </c>
      <c r="B457" s="19">
        <v>42063</v>
      </c>
      <c r="C457" s="13" t="s">
        <v>28</v>
      </c>
      <c r="D457" s="13" t="s">
        <v>12</v>
      </c>
      <c r="E457" s="13" t="s">
        <v>13</v>
      </c>
      <c r="F457" s="13" t="s">
        <v>14</v>
      </c>
      <c r="G457" s="13">
        <v>21</v>
      </c>
      <c r="H457" s="13">
        <v>10</v>
      </c>
      <c r="I457" s="13">
        <v>210</v>
      </c>
      <c r="J457" s="14" t="s">
        <v>15</v>
      </c>
      <c r="R457" s="13">
        <v>1158</v>
      </c>
      <c r="T457" s="51"/>
      <c r="AA457" s="13">
        <v>540</v>
      </c>
    </row>
    <row r="458" spans="1:27" x14ac:dyDescent="0.3">
      <c r="A458" s="12" t="s">
        <v>521</v>
      </c>
      <c r="B458" s="19">
        <v>42063</v>
      </c>
      <c r="C458" s="13" t="s">
        <v>20</v>
      </c>
      <c r="D458" s="13" t="s">
        <v>12</v>
      </c>
      <c r="E458" s="13" t="s">
        <v>21</v>
      </c>
      <c r="F458" s="13" t="s">
        <v>22</v>
      </c>
      <c r="G458" s="13">
        <v>12</v>
      </c>
      <c r="H458" s="13">
        <v>10</v>
      </c>
      <c r="I458" s="13">
        <v>120</v>
      </c>
      <c r="J458" s="14" t="s">
        <v>15</v>
      </c>
      <c r="R458" s="13">
        <v>1050</v>
      </c>
      <c r="T458" s="51"/>
      <c r="AA458" s="13">
        <v>336</v>
      </c>
    </row>
    <row r="459" spans="1:27" x14ac:dyDescent="0.3">
      <c r="A459" s="12" t="s">
        <v>522</v>
      </c>
      <c r="B459" s="19">
        <v>42067</v>
      </c>
      <c r="C459" s="13" t="s">
        <v>28</v>
      </c>
      <c r="D459" s="13" t="s">
        <v>45</v>
      </c>
      <c r="E459" s="13" t="s">
        <v>34</v>
      </c>
      <c r="F459" s="13" t="s">
        <v>64</v>
      </c>
      <c r="G459" s="13">
        <v>30</v>
      </c>
      <c r="H459" s="13">
        <v>300</v>
      </c>
      <c r="I459" s="13">
        <v>9000</v>
      </c>
      <c r="J459" s="14" t="s">
        <v>26</v>
      </c>
      <c r="R459" s="13">
        <v>2304</v>
      </c>
      <c r="T459" s="51"/>
      <c r="AA459" s="13">
        <v>1875</v>
      </c>
    </row>
    <row r="460" spans="1:27" x14ac:dyDescent="0.3">
      <c r="A460" s="12" t="s">
        <v>523</v>
      </c>
      <c r="B460" s="19">
        <v>42067</v>
      </c>
      <c r="C460" s="13" t="s">
        <v>11</v>
      </c>
      <c r="D460" s="13" t="s">
        <v>45</v>
      </c>
      <c r="E460" s="13" t="s">
        <v>51</v>
      </c>
      <c r="F460" s="13" t="s">
        <v>81</v>
      </c>
      <c r="G460" s="13">
        <v>38</v>
      </c>
      <c r="H460" s="13">
        <v>100</v>
      </c>
      <c r="I460" s="13">
        <v>3800</v>
      </c>
      <c r="J460" s="14" t="s">
        <v>26</v>
      </c>
      <c r="R460" s="13">
        <v>2718.4500000000003</v>
      </c>
      <c r="T460" s="51"/>
      <c r="AA460" s="13">
        <v>2322</v>
      </c>
    </row>
    <row r="461" spans="1:27" x14ac:dyDescent="0.3">
      <c r="A461" s="12" t="s">
        <v>524</v>
      </c>
      <c r="B461" s="19">
        <v>42068</v>
      </c>
      <c r="C461" s="13" t="s">
        <v>11</v>
      </c>
      <c r="D461" s="13" t="s">
        <v>45</v>
      </c>
      <c r="E461" s="13" t="s">
        <v>17</v>
      </c>
      <c r="F461" s="13" t="s">
        <v>128</v>
      </c>
      <c r="G461" s="13">
        <v>4.5</v>
      </c>
      <c r="H461" s="13">
        <v>480</v>
      </c>
      <c r="I461" s="13">
        <v>2160</v>
      </c>
      <c r="J461" s="14" t="s">
        <v>15</v>
      </c>
      <c r="R461" s="13">
        <v>772.8</v>
      </c>
      <c r="T461" s="51"/>
      <c r="AA461" s="13">
        <v>945</v>
      </c>
    </row>
    <row r="462" spans="1:27" x14ac:dyDescent="0.3">
      <c r="A462" s="12" t="s">
        <v>525</v>
      </c>
      <c r="B462" s="19">
        <v>42068</v>
      </c>
      <c r="C462" s="13" t="s">
        <v>20</v>
      </c>
      <c r="D462" s="13" t="s">
        <v>45</v>
      </c>
      <c r="E462" s="13" t="s">
        <v>21</v>
      </c>
      <c r="F462" s="13" t="s">
        <v>22</v>
      </c>
      <c r="G462" s="13">
        <v>53</v>
      </c>
      <c r="H462" s="13">
        <v>36</v>
      </c>
      <c r="I462" s="13">
        <v>1908</v>
      </c>
      <c r="J462" s="14" t="s">
        <v>15</v>
      </c>
      <c r="R462" s="13">
        <v>3600</v>
      </c>
      <c r="T462" s="51"/>
      <c r="AA462" s="13">
        <v>1400</v>
      </c>
    </row>
    <row r="463" spans="1:27" x14ac:dyDescent="0.3">
      <c r="A463" s="12" t="s">
        <v>526</v>
      </c>
      <c r="B463" s="19">
        <v>42069</v>
      </c>
      <c r="C463" s="13" t="s">
        <v>20</v>
      </c>
      <c r="D463" s="13" t="s">
        <v>45</v>
      </c>
      <c r="E463" s="13" t="s">
        <v>13</v>
      </c>
      <c r="F463" s="13" t="s">
        <v>113</v>
      </c>
      <c r="G463" s="13">
        <v>2.5</v>
      </c>
      <c r="H463" s="13">
        <v>60</v>
      </c>
      <c r="I463" s="13">
        <v>150</v>
      </c>
      <c r="J463" s="14" t="s">
        <v>26</v>
      </c>
      <c r="R463" s="13">
        <v>6000</v>
      </c>
      <c r="T463" s="51"/>
      <c r="AA463" s="13">
        <v>13175</v>
      </c>
    </row>
    <row r="464" spans="1:27" x14ac:dyDescent="0.3">
      <c r="A464" s="12" t="s">
        <v>527</v>
      </c>
      <c r="B464" s="19">
        <v>42069</v>
      </c>
      <c r="C464" s="13" t="s">
        <v>20</v>
      </c>
      <c r="D464" s="13" t="s">
        <v>45</v>
      </c>
      <c r="E464" s="13" t="s">
        <v>13</v>
      </c>
      <c r="F464" s="13" t="s">
        <v>124</v>
      </c>
      <c r="G464" s="13">
        <v>21.5</v>
      </c>
      <c r="H464" s="13">
        <v>96</v>
      </c>
      <c r="I464" s="13">
        <v>2064</v>
      </c>
      <c r="J464" s="14" t="s">
        <v>26</v>
      </c>
      <c r="R464" s="13">
        <v>2330.1</v>
      </c>
      <c r="T464" s="51"/>
      <c r="AA464" s="13">
        <v>1000</v>
      </c>
    </row>
    <row r="465" spans="1:27" x14ac:dyDescent="0.3">
      <c r="A465" s="12" t="s">
        <v>528</v>
      </c>
      <c r="B465" s="19">
        <v>42076</v>
      </c>
      <c r="C465" s="13" t="s">
        <v>31</v>
      </c>
      <c r="D465" s="13" t="s">
        <v>12</v>
      </c>
      <c r="E465" s="13" t="s">
        <v>13</v>
      </c>
      <c r="F465" s="13" t="s">
        <v>41</v>
      </c>
      <c r="G465" s="13">
        <v>34</v>
      </c>
      <c r="H465" s="13">
        <v>80</v>
      </c>
      <c r="I465" s="13">
        <v>2720</v>
      </c>
      <c r="J465" s="14" t="s">
        <v>26</v>
      </c>
      <c r="R465" s="13">
        <v>1080</v>
      </c>
      <c r="T465" s="51"/>
      <c r="AA465" s="13">
        <v>7200</v>
      </c>
    </row>
    <row r="466" spans="1:27" x14ac:dyDescent="0.3">
      <c r="A466" s="12" t="s">
        <v>529</v>
      </c>
      <c r="B466" s="19">
        <v>42076</v>
      </c>
      <c r="C466" s="13" t="s">
        <v>28</v>
      </c>
      <c r="D466" s="13" t="s">
        <v>12</v>
      </c>
      <c r="E466" s="13" t="s">
        <v>34</v>
      </c>
      <c r="F466" s="13" t="s">
        <v>75</v>
      </c>
      <c r="G466" s="13">
        <v>20</v>
      </c>
      <c r="H466" s="13">
        <v>240</v>
      </c>
      <c r="I466" s="13">
        <v>4800</v>
      </c>
      <c r="J466" s="14" t="s">
        <v>26</v>
      </c>
      <c r="R466" s="13">
        <v>1140</v>
      </c>
      <c r="T466" s="51"/>
      <c r="AA466" s="13">
        <v>3106.8</v>
      </c>
    </row>
    <row r="467" spans="1:27" x14ac:dyDescent="0.3">
      <c r="A467" s="12" t="s">
        <v>530</v>
      </c>
      <c r="B467" s="19">
        <v>42080</v>
      </c>
      <c r="C467" s="13" t="s">
        <v>11</v>
      </c>
      <c r="D467" s="13" t="s">
        <v>45</v>
      </c>
      <c r="E467" s="13" t="s">
        <v>51</v>
      </c>
      <c r="F467" s="13" t="s">
        <v>81</v>
      </c>
      <c r="G467" s="13">
        <v>53</v>
      </c>
      <c r="H467" s="13">
        <v>9</v>
      </c>
      <c r="I467" s="13">
        <v>477</v>
      </c>
      <c r="J467" s="14" t="s">
        <v>26</v>
      </c>
      <c r="R467" s="13">
        <v>1980</v>
      </c>
      <c r="T467" s="51"/>
      <c r="AA467" s="13">
        <v>540</v>
      </c>
    </row>
    <row r="468" spans="1:27" x14ac:dyDescent="0.3">
      <c r="A468" s="12" t="s">
        <v>353</v>
      </c>
      <c r="B468" s="19">
        <v>42080</v>
      </c>
      <c r="C468" s="13" t="s">
        <v>31</v>
      </c>
      <c r="D468" s="13" t="s">
        <v>45</v>
      </c>
      <c r="E468" s="13" t="s">
        <v>17</v>
      </c>
      <c r="F468" s="13" t="s">
        <v>54</v>
      </c>
      <c r="G468" s="13">
        <v>18.399999999999999</v>
      </c>
      <c r="H468" s="13">
        <v>10</v>
      </c>
      <c r="I468" s="13">
        <v>184</v>
      </c>
      <c r="J468" s="14" t="s">
        <v>26</v>
      </c>
      <c r="R468" s="13">
        <v>576</v>
      </c>
      <c r="T468" s="51"/>
      <c r="AA468" s="13">
        <v>6840</v>
      </c>
    </row>
    <row r="469" spans="1:27" x14ac:dyDescent="0.3">
      <c r="A469" s="12" t="s">
        <v>531</v>
      </c>
      <c r="B469" s="19">
        <v>42080</v>
      </c>
      <c r="C469" s="13" t="s">
        <v>31</v>
      </c>
      <c r="D469" s="13" t="s">
        <v>45</v>
      </c>
      <c r="E469" s="13" t="s">
        <v>34</v>
      </c>
      <c r="F469" s="13" t="s">
        <v>241</v>
      </c>
      <c r="G469" s="13">
        <v>10</v>
      </c>
      <c r="H469" s="13">
        <v>28</v>
      </c>
      <c r="I469" s="13">
        <v>280</v>
      </c>
      <c r="J469" s="14" t="s">
        <v>26</v>
      </c>
      <c r="R469" s="13">
        <v>540</v>
      </c>
      <c r="T469" s="51"/>
      <c r="AA469" s="13">
        <v>178.8</v>
      </c>
    </row>
    <row r="470" spans="1:27" x14ac:dyDescent="0.3">
      <c r="A470" s="12" t="s">
        <v>532</v>
      </c>
      <c r="B470" s="19">
        <v>42082</v>
      </c>
      <c r="C470" s="13" t="s">
        <v>31</v>
      </c>
      <c r="D470" s="13" t="s">
        <v>12</v>
      </c>
      <c r="E470" s="13" t="s">
        <v>51</v>
      </c>
      <c r="F470" s="13" t="s">
        <v>268</v>
      </c>
      <c r="G470" s="13">
        <v>7.45</v>
      </c>
      <c r="H470" s="13">
        <v>144</v>
      </c>
      <c r="I470" s="13">
        <v>1072.8</v>
      </c>
      <c r="J470" s="14" t="s">
        <v>26</v>
      </c>
      <c r="R470" s="13">
        <v>336</v>
      </c>
      <c r="T470" s="51"/>
      <c r="AA470" s="13">
        <v>348.75</v>
      </c>
    </row>
    <row r="471" spans="1:27" x14ac:dyDescent="0.3">
      <c r="A471" s="12" t="s">
        <v>533</v>
      </c>
      <c r="B471" s="19">
        <v>42082</v>
      </c>
      <c r="C471" s="13" t="s">
        <v>20</v>
      </c>
      <c r="D471" s="13" t="s">
        <v>12</v>
      </c>
      <c r="E471" s="13" t="s">
        <v>34</v>
      </c>
      <c r="F471" s="13" t="s">
        <v>188</v>
      </c>
      <c r="G471" s="13">
        <v>9.1999999999999993</v>
      </c>
      <c r="H471" s="13">
        <v>10</v>
      </c>
      <c r="I471" s="13">
        <v>92</v>
      </c>
      <c r="J471" s="14" t="s">
        <v>26</v>
      </c>
      <c r="R471" s="13">
        <v>1875</v>
      </c>
      <c r="T471" s="51"/>
      <c r="AA471" s="13">
        <v>392</v>
      </c>
    </row>
    <row r="472" spans="1:27" x14ac:dyDescent="0.3">
      <c r="A472" s="12" t="s">
        <v>534</v>
      </c>
      <c r="B472" s="19">
        <v>42089</v>
      </c>
      <c r="C472" s="13" t="s">
        <v>20</v>
      </c>
      <c r="D472" s="13" t="s">
        <v>12</v>
      </c>
      <c r="E472" s="13" t="s">
        <v>17</v>
      </c>
      <c r="F472" s="13" t="s">
        <v>54</v>
      </c>
      <c r="G472" s="13">
        <v>38</v>
      </c>
      <c r="H472" s="13">
        <v>240</v>
      </c>
      <c r="I472" s="13">
        <v>9120</v>
      </c>
      <c r="J472" s="14" t="s">
        <v>26</v>
      </c>
      <c r="R472" s="13">
        <v>2322</v>
      </c>
      <c r="T472" s="51"/>
      <c r="AA472" s="13">
        <v>945.7</v>
      </c>
    </row>
    <row r="473" spans="1:27" x14ac:dyDescent="0.3">
      <c r="A473" s="12" t="s">
        <v>535</v>
      </c>
      <c r="B473" s="19">
        <v>42091</v>
      </c>
      <c r="C473" s="13" t="s">
        <v>31</v>
      </c>
      <c r="D473" s="13" t="s">
        <v>12</v>
      </c>
      <c r="E473" s="13" t="s">
        <v>13</v>
      </c>
      <c r="F473" s="13" t="s">
        <v>99</v>
      </c>
      <c r="G473" s="13">
        <v>12.5</v>
      </c>
      <c r="H473" s="13">
        <v>120</v>
      </c>
      <c r="I473" s="13">
        <v>1500</v>
      </c>
      <c r="J473" s="14" t="s">
        <v>26</v>
      </c>
      <c r="R473" s="13">
        <v>945</v>
      </c>
      <c r="T473" s="51"/>
      <c r="AA473" s="13">
        <v>348</v>
      </c>
    </row>
    <row r="474" spans="1:27" x14ac:dyDescent="0.3">
      <c r="A474" s="12" t="s">
        <v>359</v>
      </c>
      <c r="B474" s="19">
        <v>42108</v>
      </c>
      <c r="C474" s="13" t="s">
        <v>28</v>
      </c>
      <c r="D474" s="13" t="s">
        <v>12</v>
      </c>
      <c r="E474" s="13" t="s">
        <v>17</v>
      </c>
      <c r="F474" s="13" t="s">
        <v>128</v>
      </c>
      <c r="G474" s="13">
        <v>4.5</v>
      </c>
      <c r="H474" s="13">
        <v>10</v>
      </c>
      <c r="I474" s="13">
        <v>45</v>
      </c>
      <c r="J474" s="14" t="s">
        <v>26</v>
      </c>
      <c r="R474" s="13">
        <v>1400</v>
      </c>
      <c r="T474" s="51"/>
      <c r="AA474" s="13">
        <v>417.2</v>
      </c>
    </row>
    <row r="475" spans="1:27" x14ac:dyDescent="0.3">
      <c r="A475" s="12" t="s">
        <v>536</v>
      </c>
      <c r="B475" s="19">
        <v>42108</v>
      </c>
      <c r="C475" s="13" t="s">
        <v>28</v>
      </c>
      <c r="D475" s="13" t="s">
        <v>12</v>
      </c>
      <c r="E475" s="13" t="s">
        <v>13</v>
      </c>
      <c r="F475" s="13" t="s">
        <v>41</v>
      </c>
      <c r="G475" s="13">
        <v>34</v>
      </c>
      <c r="H475" s="13">
        <v>96</v>
      </c>
      <c r="I475" s="13">
        <v>3264</v>
      </c>
      <c r="J475" s="14" t="s">
        <v>26</v>
      </c>
      <c r="R475" s="13">
        <v>13175</v>
      </c>
      <c r="T475" s="51"/>
      <c r="AA475" s="13">
        <v>2120</v>
      </c>
    </row>
    <row r="476" spans="1:27" x14ac:dyDescent="0.3">
      <c r="A476" s="12" t="s">
        <v>537</v>
      </c>
      <c r="B476" s="19">
        <v>42108</v>
      </c>
      <c r="C476" s="13" t="s">
        <v>11</v>
      </c>
      <c r="D476" s="13" t="s">
        <v>12</v>
      </c>
      <c r="E476" s="13" t="s">
        <v>51</v>
      </c>
      <c r="F476" s="13" t="s">
        <v>81</v>
      </c>
      <c r="G476" s="13">
        <v>12</v>
      </c>
      <c r="H476" s="13">
        <v>36</v>
      </c>
      <c r="I476" s="13">
        <v>432</v>
      </c>
      <c r="J476" s="14" t="s">
        <v>26</v>
      </c>
      <c r="R476" s="13">
        <v>1000</v>
      </c>
      <c r="T476" s="51"/>
      <c r="AA476" s="13">
        <v>7350</v>
      </c>
    </row>
    <row r="477" spans="1:27" x14ac:dyDescent="0.3">
      <c r="A477" s="12" t="s">
        <v>538</v>
      </c>
      <c r="B477" s="19">
        <v>42108</v>
      </c>
      <c r="C477" s="13" t="s">
        <v>11</v>
      </c>
      <c r="D477" s="13" t="s">
        <v>12</v>
      </c>
      <c r="E477" s="13" t="s">
        <v>34</v>
      </c>
      <c r="F477" s="13" t="s">
        <v>136</v>
      </c>
      <c r="G477" s="13">
        <v>9.5</v>
      </c>
      <c r="H477" s="13">
        <v>54</v>
      </c>
      <c r="I477" s="13">
        <v>513</v>
      </c>
      <c r="J477" s="14" t="s">
        <v>26</v>
      </c>
      <c r="R477" s="13">
        <v>7200</v>
      </c>
      <c r="T477" s="51"/>
      <c r="AA477" s="13">
        <v>4680</v>
      </c>
    </row>
    <row r="478" spans="1:27" x14ac:dyDescent="0.3">
      <c r="A478" s="12" t="s">
        <v>539</v>
      </c>
      <c r="B478" s="19">
        <v>42111</v>
      </c>
      <c r="C478" s="13" t="s">
        <v>28</v>
      </c>
      <c r="D478" s="13" t="s">
        <v>45</v>
      </c>
      <c r="E478" s="13" t="s">
        <v>17</v>
      </c>
      <c r="F478" s="13" t="s">
        <v>54</v>
      </c>
      <c r="G478" s="13">
        <v>15</v>
      </c>
      <c r="H478" s="13">
        <v>30</v>
      </c>
      <c r="I478" s="13">
        <v>450</v>
      </c>
      <c r="J478" s="14" t="s">
        <v>26</v>
      </c>
      <c r="R478" s="13">
        <v>3106.8</v>
      </c>
      <c r="T478" s="51"/>
      <c r="AA478" s="13">
        <v>22282.2</v>
      </c>
    </row>
    <row r="479" spans="1:27" x14ac:dyDescent="0.3">
      <c r="A479" s="12" t="s">
        <v>540</v>
      </c>
      <c r="B479" s="19">
        <v>42111</v>
      </c>
      <c r="C479" s="13" t="s">
        <v>28</v>
      </c>
      <c r="D479" s="13" t="s">
        <v>45</v>
      </c>
      <c r="E479" s="13" t="s">
        <v>13</v>
      </c>
      <c r="F479" s="13" t="s">
        <v>14</v>
      </c>
      <c r="G479" s="13">
        <v>7</v>
      </c>
      <c r="H479" s="13">
        <v>60</v>
      </c>
      <c r="I479" s="13">
        <v>420</v>
      </c>
      <c r="J479" s="14" t="s">
        <v>26</v>
      </c>
      <c r="R479" s="13">
        <v>540</v>
      </c>
      <c r="T479" s="51"/>
      <c r="AA479" s="13">
        <v>7425</v>
      </c>
    </row>
    <row r="480" spans="1:27" x14ac:dyDescent="0.3">
      <c r="A480" s="12" t="s">
        <v>541</v>
      </c>
      <c r="B480" s="19">
        <v>42111</v>
      </c>
      <c r="C480" s="13" t="s">
        <v>11</v>
      </c>
      <c r="D480" s="13" t="s">
        <v>45</v>
      </c>
      <c r="E480" s="13" t="s">
        <v>13</v>
      </c>
      <c r="F480" s="13" t="s">
        <v>66</v>
      </c>
      <c r="G480" s="13">
        <v>55</v>
      </c>
      <c r="H480" s="13">
        <v>16</v>
      </c>
      <c r="I480" s="13">
        <v>880</v>
      </c>
      <c r="J480" s="14" t="s">
        <v>26</v>
      </c>
      <c r="R480" s="13">
        <v>6840</v>
      </c>
      <c r="T480" s="51"/>
      <c r="AA480" s="13">
        <v>1987.1999999999998</v>
      </c>
    </row>
    <row r="481" spans="1:27" x14ac:dyDescent="0.3">
      <c r="A481" s="12" t="s">
        <v>542</v>
      </c>
      <c r="B481" s="19">
        <v>42116</v>
      </c>
      <c r="C481" s="13" t="s">
        <v>31</v>
      </c>
      <c r="D481" s="13" t="s">
        <v>24</v>
      </c>
      <c r="E481" s="13" t="s">
        <v>34</v>
      </c>
      <c r="F481" s="13" t="s">
        <v>64</v>
      </c>
      <c r="G481" s="13">
        <v>9.65</v>
      </c>
      <c r="H481" s="13">
        <v>90</v>
      </c>
      <c r="I481" s="13">
        <v>868.5</v>
      </c>
      <c r="J481" s="14" t="s">
        <v>26</v>
      </c>
      <c r="R481" s="13">
        <v>178.8</v>
      </c>
      <c r="T481" s="51"/>
      <c r="AA481" s="13">
        <v>1050</v>
      </c>
    </row>
    <row r="482" spans="1:27" x14ac:dyDescent="0.3">
      <c r="A482" s="12" t="s">
        <v>543</v>
      </c>
      <c r="B482" s="19">
        <v>42116</v>
      </c>
      <c r="C482" s="13" t="s">
        <v>20</v>
      </c>
      <c r="D482" s="13" t="s">
        <v>24</v>
      </c>
      <c r="E482" s="13" t="s">
        <v>17</v>
      </c>
      <c r="F482" s="13" t="s">
        <v>72</v>
      </c>
      <c r="G482" s="13">
        <v>18</v>
      </c>
      <c r="H482" s="13">
        <v>18</v>
      </c>
      <c r="I482" s="13">
        <v>324</v>
      </c>
      <c r="J482" s="14" t="s">
        <v>26</v>
      </c>
      <c r="R482" s="13">
        <v>348.75</v>
      </c>
      <c r="T482" s="51"/>
      <c r="AA482" s="16">
        <v>5472</v>
      </c>
    </row>
    <row r="483" spans="1:27" x14ac:dyDescent="0.3">
      <c r="A483" s="12" t="s">
        <v>544</v>
      </c>
      <c r="B483" s="19">
        <v>42116</v>
      </c>
      <c r="C483" s="13" t="s">
        <v>11</v>
      </c>
      <c r="D483" s="13" t="s">
        <v>24</v>
      </c>
      <c r="E483" s="13" t="s">
        <v>34</v>
      </c>
      <c r="F483" s="13" t="s">
        <v>43</v>
      </c>
      <c r="G483" s="13">
        <v>12.5</v>
      </c>
      <c r="H483" s="13">
        <v>240</v>
      </c>
      <c r="I483" s="13">
        <v>3000</v>
      </c>
      <c r="J483" s="14" t="s">
        <v>26</v>
      </c>
      <c r="R483" s="13">
        <v>392</v>
      </c>
      <c r="T483" s="51"/>
    </row>
    <row r="484" spans="1:27" x14ac:dyDescent="0.3">
      <c r="A484" s="12" t="s">
        <v>545</v>
      </c>
      <c r="B484" s="19">
        <v>42118</v>
      </c>
      <c r="C484" s="13" t="s">
        <v>28</v>
      </c>
      <c r="D484" s="13" t="s">
        <v>45</v>
      </c>
      <c r="E484" s="13" t="s">
        <v>51</v>
      </c>
      <c r="F484" s="13" t="s">
        <v>118</v>
      </c>
      <c r="G484" s="13">
        <v>39</v>
      </c>
      <c r="H484" s="13">
        <v>250</v>
      </c>
      <c r="I484" s="13">
        <v>9750</v>
      </c>
      <c r="J484" s="14" t="s">
        <v>26</v>
      </c>
      <c r="R484" s="13">
        <v>945.7</v>
      </c>
      <c r="T484" s="51"/>
    </row>
    <row r="485" spans="1:27" x14ac:dyDescent="0.3">
      <c r="A485" s="12" t="s">
        <v>546</v>
      </c>
      <c r="B485" s="19">
        <v>42118</v>
      </c>
      <c r="C485" s="13" t="s">
        <v>20</v>
      </c>
      <c r="D485" s="13" t="s">
        <v>45</v>
      </c>
      <c r="E485" s="13" t="s">
        <v>17</v>
      </c>
      <c r="F485" s="13" t="s">
        <v>54</v>
      </c>
      <c r="G485" s="13">
        <v>26</v>
      </c>
      <c r="H485" s="13">
        <v>72</v>
      </c>
      <c r="I485" s="13">
        <v>1872</v>
      </c>
      <c r="J485" s="14" t="s">
        <v>26</v>
      </c>
      <c r="R485" s="13">
        <v>348</v>
      </c>
      <c r="T485" s="51"/>
    </row>
    <row r="486" spans="1:27" x14ac:dyDescent="0.3">
      <c r="A486" s="12" t="s">
        <v>547</v>
      </c>
      <c r="B486" s="19">
        <v>42118</v>
      </c>
      <c r="C486" s="13" t="s">
        <v>28</v>
      </c>
      <c r="D486" s="13" t="s">
        <v>45</v>
      </c>
      <c r="E486" s="13" t="s">
        <v>13</v>
      </c>
      <c r="F486" s="13" t="s">
        <v>14</v>
      </c>
      <c r="G486" s="13">
        <v>9.65</v>
      </c>
      <c r="H486" s="13">
        <v>18</v>
      </c>
      <c r="I486" s="13">
        <v>173.70000000000002</v>
      </c>
      <c r="J486" s="14" t="s">
        <v>26</v>
      </c>
      <c r="R486" s="13">
        <v>417.2</v>
      </c>
      <c r="T486" s="51"/>
    </row>
    <row r="487" spans="1:27" x14ac:dyDescent="0.3">
      <c r="A487" s="12" t="s">
        <v>548</v>
      </c>
      <c r="B487" s="19">
        <v>42118</v>
      </c>
      <c r="C487" s="13" t="s">
        <v>20</v>
      </c>
      <c r="D487" s="13" t="s">
        <v>45</v>
      </c>
      <c r="E487" s="13" t="s">
        <v>34</v>
      </c>
      <c r="F487" s="13" t="s">
        <v>35</v>
      </c>
      <c r="G487" s="13">
        <v>81</v>
      </c>
      <c r="H487" s="13">
        <v>45</v>
      </c>
      <c r="I487" s="13">
        <v>3645</v>
      </c>
      <c r="J487" s="14" t="s">
        <v>26</v>
      </c>
      <c r="R487" s="13">
        <v>2120</v>
      </c>
      <c r="T487" s="51"/>
    </row>
    <row r="488" spans="1:27" x14ac:dyDescent="0.3">
      <c r="A488" s="12" t="s">
        <v>549</v>
      </c>
      <c r="B488" s="19">
        <v>42125</v>
      </c>
      <c r="C488" s="13" t="s">
        <v>31</v>
      </c>
      <c r="D488" s="13" t="s">
        <v>24</v>
      </c>
      <c r="E488" s="13" t="s">
        <v>13</v>
      </c>
      <c r="F488" s="13" t="s">
        <v>66</v>
      </c>
      <c r="G488" s="13">
        <v>55</v>
      </c>
      <c r="H488" s="13">
        <v>300</v>
      </c>
      <c r="I488" s="13">
        <v>16500</v>
      </c>
      <c r="J488" s="14" t="s">
        <v>15</v>
      </c>
      <c r="R488" s="13">
        <v>7350</v>
      </c>
      <c r="T488" s="51"/>
    </row>
    <row r="489" spans="1:27" x14ac:dyDescent="0.3">
      <c r="A489" s="12" t="s">
        <v>550</v>
      </c>
      <c r="B489" s="19">
        <v>42126</v>
      </c>
      <c r="C489" s="13" t="s">
        <v>28</v>
      </c>
      <c r="D489" s="13" t="s">
        <v>45</v>
      </c>
      <c r="E489" s="13" t="s">
        <v>21</v>
      </c>
      <c r="F489" s="13" t="s">
        <v>375</v>
      </c>
      <c r="G489" s="13">
        <v>17</v>
      </c>
      <c r="H489" s="13">
        <v>216</v>
      </c>
      <c r="I489" s="13">
        <v>3672</v>
      </c>
      <c r="J489" s="14" t="s">
        <v>26</v>
      </c>
      <c r="R489" s="13">
        <v>4680</v>
      </c>
      <c r="T489" s="51"/>
    </row>
    <row r="490" spans="1:27" x14ac:dyDescent="0.3">
      <c r="A490" s="12" t="s">
        <v>551</v>
      </c>
      <c r="B490" s="19">
        <v>42126</v>
      </c>
      <c r="C490" s="13" t="s">
        <v>20</v>
      </c>
      <c r="D490" s="13" t="s">
        <v>45</v>
      </c>
      <c r="E490" s="13" t="s">
        <v>34</v>
      </c>
      <c r="F490" s="13" t="s">
        <v>64</v>
      </c>
      <c r="G490" s="13">
        <v>25.89</v>
      </c>
      <c r="H490" s="13">
        <v>150</v>
      </c>
      <c r="I490" s="13">
        <v>3883.5</v>
      </c>
      <c r="J490" s="14" t="s">
        <v>26</v>
      </c>
      <c r="R490" s="13">
        <v>22282.2</v>
      </c>
      <c r="T490" s="51"/>
    </row>
    <row r="491" spans="1:27" x14ac:dyDescent="0.3">
      <c r="A491" s="12" t="s">
        <v>552</v>
      </c>
      <c r="B491" s="19">
        <v>42132</v>
      </c>
      <c r="C491" s="13" t="s">
        <v>28</v>
      </c>
      <c r="D491" s="13" t="s">
        <v>45</v>
      </c>
      <c r="E491" s="13" t="s">
        <v>17</v>
      </c>
      <c r="F491" s="13" t="s">
        <v>54</v>
      </c>
      <c r="G491" s="13">
        <v>15</v>
      </c>
      <c r="H491" s="13">
        <v>28</v>
      </c>
      <c r="I491" s="13">
        <v>420</v>
      </c>
      <c r="J491" s="14" t="s">
        <v>26</v>
      </c>
      <c r="R491" s="13">
        <v>7425</v>
      </c>
      <c r="T491" s="51"/>
    </row>
    <row r="492" spans="1:27" x14ac:dyDescent="0.3">
      <c r="A492" s="12" t="s">
        <v>553</v>
      </c>
      <c r="B492" s="19">
        <v>42132</v>
      </c>
      <c r="C492" s="13" t="s">
        <v>11</v>
      </c>
      <c r="D492" s="13" t="s">
        <v>45</v>
      </c>
      <c r="E492" s="13" t="s">
        <v>13</v>
      </c>
      <c r="F492" s="13" t="s">
        <v>56</v>
      </c>
      <c r="G492" s="13">
        <v>34.799999999999997</v>
      </c>
      <c r="H492" s="13">
        <v>7</v>
      </c>
      <c r="I492" s="13">
        <v>243.59999999999997</v>
      </c>
      <c r="J492" s="14" t="s">
        <v>26</v>
      </c>
      <c r="R492" s="13">
        <v>1987.1999999999998</v>
      </c>
      <c r="T492" s="51"/>
    </row>
    <row r="493" spans="1:27" x14ac:dyDescent="0.3">
      <c r="A493" s="12" t="s">
        <v>379</v>
      </c>
      <c r="B493" s="19">
        <v>42133</v>
      </c>
      <c r="C493" s="13" t="s">
        <v>20</v>
      </c>
      <c r="D493" s="13" t="s">
        <v>45</v>
      </c>
      <c r="E493" s="13" t="s">
        <v>13</v>
      </c>
      <c r="F493" s="13" t="s">
        <v>113</v>
      </c>
      <c r="G493" s="13">
        <v>2.5</v>
      </c>
      <c r="H493" s="13">
        <v>15</v>
      </c>
      <c r="I493" s="13">
        <v>37.5</v>
      </c>
      <c r="J493" s="14" t="s">
        <v>26</v>
      </c>
      <c r="R493" s="13">
        <v>1050</v>
      </c>
      <c r="T493" s="51"/>
    </row>
    <row r="494" spans="1:27" x14ac:dyDescent="0.3">
      <c r="A494" s="12" t="s">
        <v>380</v>
      </c>
      <c r="B494" s="19">
        <v>42133</v>
      </c>
      <c r="C494" s="13" t="s">
        <v>28</v>
      </c>
      <c r="D494" s="13" t="s">
        <v>45</v>
      </c>
      <c r="E494" s="13" t="s">
        <v>34</v>
      </c>
      <c r="F494" s="13" t="s">
        <v>64</v>
      </c>
      <c r="G494" s="13">
        <v>6</v>
      </c>
      <c r="H494" s="13">
        <v>8</v>
      </c>
      <c r="I494" s="13">
        <v>48</v>
      </c>
      <c r="J494" s="14" t="s">
        <v>26</v>
      </c>
      <c r="R494" s="16">
        <v>5472</v>
      </c>
      <c r="T494" s="51"/>
    </row>
    <row r="495" spans="1:27" x14ac:dyDescent="0.3">
      <c r="A495" s="12" t="s">
        <v>554</v>
      </c>
      <c r="B495" s="19">
        <v>42133</v>
      </c>
      <c r="C495" s="13" t="s">
        <v>20</v>
      </c>
      <c r="D495" s="13" t="s">
        <v>45</v>
      </c>
      <c r="E495" s="13" t="s">
        <v>34</v>
      </c>
      <c r="F495" s="13" t="s">
        <v>241</v>
      </c>
      <c r="G495" s="13">
        <v>10</v>
      </c>
      <c r="H495" s="13">
        <v>135</v>
      </c>
      <c r="I495" s="13">
        <v>1350</v>
      </c>
      <c r="J495" s="14" t="s">
        <v>26</v>
      </c>
    </row>
    <row r="496" spans="1:27" x14ac:dyDescent="0.3">
      <c r="A496" s="12" t="s">
        <v>382</v>
      </c>
      <c r="B496" s="19">
        <v>42133</v>
      </c>
      <c r="C496" s="13" t="s">
        <v>28</v>
      </c>
      <c r="D496" s="13" t="s">
        <v>45</v>
      </c>
      <c r="E496" s="13" t="s">
        <v>34</v>
      </c>
      <c r="F496" s="13" t="s">
        <v>75</v>
      </c>
      <c r="G496" s="13">
        <v>20</v>
      </c>
      <c r="H496" s="13">
        <v>6</v>
      </c>
      <c r="I496" s="13">
        <v>120</v>
      </c>
      <c r="J496" s="14" t="s">
        <v>26</v>
      </c>
    </row>
    <row r="497" spans="1:10" x14ac:dyDescent="0.3">
      <c r="A497" s="12" t="s">
        <v>555</v>
      </c>
      <c r="B497" s="19">
        <v>42136</v>
      </c>
      <c r="C497" s="13" t="s">
        <v>20</v>
      </c>
      <c r="D497" s="13" t="s">
        <v>24</v>
      </c>
      <c r="E497" s="13" t="s">
        <v>17</v>
      </c>
      <c r="F497" s="13" t="s">
        <v>32</v>
      </c>
      <c r="G497" s="13">
        <v>263.5</v>
      </c>
      <c r="H497" s="13">
        <v>12</v>
      </c>
      <c r="I497" s="13">
        <v>3162</v>
      </c>
      <c r="J497" s="14" t="s">
        <v>15</v>
      </c>
    </row>
    <row r="498" spans="1:10" x14ac:dyDescent="0.3">
      <c r="A498" s="12" t="s">
        <v>556</v>
      </c>
      <c r="B498" s="19">
        <v>42136</v>
      </c>
      <c r="C498" s="13" t="s">
        <v>20</v>
      </c>
      <c r="D498" s="13" t="s">
        <v>12</v>
      </c>
      <c r="E498" s="13" t="s">
        <v>17</v>
      </c>
      <c r="F498" s="13" t="s">
        <v>128</v>
      </c>
      <c r="G498" s="13">
        <v>4.5</v>
      </c>
      <c r="H498" s="13">
        <v>70</v>
      </c>
      <c r="I498" s="13">
        <v>315</v>
      </c>
      <c r="J498" s="14" t="s">
        <v>15</v>
      </c>
    </row>
    <row r="499" spans="1:10" x14ac:dyDescent="0.3">
      <c r="A499" s="12" t="s">
        <v>557</v>
      </c>
      <c r="B499" s="19">
        <v>42136</v>
      </c>
      <c r="C499" s="13" t="s">
        <v>31</v>
      </c>
      <c r="D499" s="13" t="s">
        <v>12</v>
      </c>
      <c r="E499" s="13" t="s">
        <v>21</v>
      </c>
      <c r="F499" s="13" t="s">
        <v>87</v>
      </c>
      <c r="G499" s="13">
        <v>21.05</v>
      </c>
      <c r="H499" s="13">
        <v>324</v>
      </c>
      <c r="I499" s="13">
        <v>6820.2</v>
      </c>
      <c r="J499" s="14" t="s">
        <v>15</v>
      </c>
    </row>
    <row r="500" spans="1:10" x14ac:dyDescent="0.3">
      <c r="A500" s="12" t="s">
        <v>558</v>
      </c>
      <c r="B500" s="19">
        <v>42140</v>
      </c>
      <c r="C500" s="13" t="s">
        <v>28</v>
      </c>
      <c r="D500" s="13" t="s">
        <v>45</v>
      </c>
      <c r="E500" s="13" t="s">
        <v>13</v>
      </c>
      <c r="F500" s="13" t="s">
        <v>121</v>
      </c>
      <c r="G500" s="13">
        <v>32</v>
      </c>
      <c r="H500" s="13">
        <v>96</v>
      </c>
      <c r="I500" s="13">
        <v>3072</v>
      </c>
      <c r="J500" s="14" t="s">
        <v>26</v>
      </c>
    </row>
    <row r="501" spans="1:10" x14ac:dyDescent="0.3">
      <c r="A501" s="12" t="s">
        <v>559</v>
      </c>
      <c r="B501" s="19">
        <v>42140</v>
      </c>
      <c r="C501" s="13" t="s">
        <v>11</v>
      </c>
      <c r="D501" s="13" t="s">
        <v>45</v>
      </c>
      <c r="E501" s="13" t="s">
        <v>21</v>
      </c>
      <c r="F501" s="13" t="s">
        <v>22</v>
      </c>
      <c r="G501" s="13">
        <v>19</v>
      </c>
      <c r="H501" s="13">
        <v>240</v>
      </c>
      <c r="I501" s="13">
        <v>4560</v>
      </c>
      <c r="J501" s="14" t="s">
        <v>26</v>
      </c>
    </row>
    <row r="502" spans="1:10" x14ac:dyDescent="0.3">
      <c r="A502" s="12" t="s">
        <v>560</v>
      </c>
      <c r="B502" s="19">
        <v>42145</v>
      </c>
      <c r="C502" s="13" t="s">
        <v>31</v>
      </c>
      <c r="D502" s="13" t="s">
        <v>85</v>
      </c>
      <c r="E502" s="13" t="s">
        <v>51</v>
      </c>
      <c r="F502" s="13" t="s">
        <v>118</v>
      </c>
      <c r="G502" s="13">
        <v>39</v>
      </c>
      <c r="H502" s="13">
        <v>80</v>
      </c>
      <c r="I502" s="13">
        <v>3120</v>
      </c>
      <c r="J502" s="14" t="s">
        <v>26</v>
      </c>
    </row>
    <row r="503" spans="1:10" x14ac:dyDescent="0.3">
      <c r="A503" s="12" t="s">
        <v>561</v>
      </c>
      <c r="B503" s="19">
        <v>42145</v>
      </c>
      <c r="C503" s="13" t="s">
        <v>20</v>
      </c>
      <c r="D503" s="13" t="s">
        <v>85</v>
      </c>
      <c r="E503" s="13" t="s">
        <v>21</v>
      </c>
      <c r="F503" s="13" t="s">
        <v>22</v>
      </c>
      <c r="G503" s="13">
        <v>28.5</v>
      </c>
      <c r="H503" s="13">
        <v>70</v>
      </c>
      <c r="I503" s="13">
        <v>1995</v>
      </c>
      <c r="J503" s="14" t="s">
        <v>26</v>
      </c>
    </row>
    <row r="504" spans="1:10" x14ac:dyDescent="0.3">
      <c r="A504" s="12" t="s">
        <v>562</v>
      </c>
      <c r="B504" s="19">
        <v>42145</v>
      </c>
      <c r="C504" s="13" t="s">
        <v>20</v>
      </c>
      <c r="D504" s="13" t="s">
        <v>85</v>
      </c>
      <c r="E504" s="13" t="s">
        <v>34</v>
      </c>
      <c r="F504" s="13" t="s">
        <v>188</v>
      </c>
      <c r="G504" s="13">
        <v>9.1999999999999993</v>
      </c>
      <c r="H504" s="13">
        <v>70</v>
      </c>
      <c r="I504" s="13">
        <v>644</v>
      </c>
      <c r="J504" s="14" t="s">
        <v>26</v>
      </c>
    </row>
    <row r="505" spans="1:10" x14ac:dyDescent="0.3">
      <c r="A505" s="12" t="s">
        <v>563</v>
      </c>
      <c r="B505" s="19">
        <v>42145</v>
      </c>
      <c r="C505" s="13" t="s">
        <v>31</v>
      </c>
      <c r="D505" s="13" t="s">
        <v>85</v>
      </c>
      <c r="E505" s="13" t="s">
        <v>34</v>
      </c>
      <c r="F505" s="13" t="s">
        <v>241</v>
      </c>
      <c r="G505" s="13">
        <v>10</v>
      </c>
      <c r="H505" s="13">
        <v>24</v>
      </c>
      <c r="I505" s="13">
        <v>240</v>
      </c>
      <c r="J505" s="14" t="s">
        <v>26</v>
      </c>
    </row>
    <row r="506" spans="1:10" x14ac:dyDescent="0.3">
      <c r="A506" s="12" t="s">
        <v>564</v>
      </c>
      <c r="B506" s="19">
        <v>42152</v>
      </c>
      <c r="C506" s="13" t="s">
        <v>20</v>
      </c>
      <c r="D506" s="13" t="s">
        <v>45</v>
      </c>
      <c r="E506" s="13" t="s">
        <v>51</v>
      </c>
      <c r="F506" s="13" t="s">
        <v>138</v>
      </c>
      <c r="G506" s="13">
        <v>32.799999999999997</v>
      </c>
      <c r="H506" s="13">
        <v>36</v>
      </c>
      <c r="I506" s="13">
        <v>1180.8</v>
      </c>
      <c r="J506" s="14" t="s">
        <v>26</v>
      </c>
    </row>
    <row r="507" spans="1:10" x14ac:dyDescent="0.3">
      <c r="A507" s="12" t="s">
        <v>565</v>
      </c>
      <c r="B507" s="19">
        <v>42152</v>
      </c>
      <c r="C507" s="13" t="s">
        <v>20</v>
      </c>
      <c r="D507" s="13" t="s">
        <v>45</v>
      </c>
      <c r="E507" s="13" t="s">
        <v>34</v>
      </c>
      <c r="F507" s="13" t="s">
        <v>64</v>
      </c>
      <c r="G507" s="13">
        <v>53</v>
      </c>
      <c r="H507" s="13">
        <v>80</v>
      </c>
      <c r="I507" s="13">
        <v>4240</v>
      </c>
      <c r="J507" s="14" t="s">
        <v>26</v>
      </c>
    </row>
    <row r="508" spans="1:10" x14ac:dyDescent="0.3">
      <c r="A508" s="12" t="s">
        <v>566</v>
      </c>
      <c r="B508" s="19">
        <v>42152</v>
      </c>
      <c r="C508" s="13" t="s">
        <v>11</v>
      </c>
      <c r="D508" s="13" t="s">
        <v>45</v>
      </c>
      <c r="E508" s="13" t="s">
        <v>13</v>
      </c>
      <c r="F508" s="13" t="s">
        <v>14</v>
      </c>
      <c r="G508" s="13">
        <v>7</v>
      </c>
      <c r="H508" s="13">
        <v>120</v>
      </c>
      <c r="I508" s="13">
        <v>840</v>
      </c>
      <c r="J508" s="14" t="s">
        <v>26</v>
      </c>
    </row>
    <row r="509" spans="1:10" x14ac:dyDescent="0.3">
      <c r="A509" s="12" t="s">
        <v>567</v>
      </c>
      <c r="B509" s="19">
        <v>42152</v>
      </c>
      <c r="C509" s="13" t="s">
        <v>28</v>
      </c>
      <c r="D509" s="13" t="s">
        <v>45</v>
      </c>
      <c r="E509" s="13" t="s">
        <v>17</v>
      </c>
      <c r="F509" s="13" t="s">
        <v>54</v>
      </c>
      <c r="G509" s="13">
        <v>15</v>
      </c>
      <c r="H509" s="13">
        <v>24</v>
      </c>
      <c r="I509" s="13">
        <v>360</v>
      </c>
      <c r="J509" s="14" t="s">
        <v>26</v>
      </c>
    </row>
    <row r="510" spans="1:10" x14ac:dyDescent="0.3">
      <c r="A510" s="12" t="s">
        <v>395</v>
      </c>
      <c r="B510" s="19">
        <v>42152</v>
      </c>
      <c r="C510" s="13" t="s">
        <v>11</v>
      </c>
      <c r="D510" s="13" t="s">
        <v>45</v>
      </c>
      <c r="E510" s="13" t="s">
        <v>34</v>
      </c>
      <c r="F510" s="13" t="s">
        <v>136</v>
      </c>
      <c r="G510" s="13">
        <v>9.5</v>
      </c>
      <c r="H510" s="13">
        <v>25</v>
      </c>
      <c r="I510" s="13">
        <v>237.5</v>
      </c>
      <c r="J510" s="14" t="s">
        <v>26</v>
      </c>
    </row>
    <row r="511" spans="1:10" x14ac:dyDescent="0.3">
      <c r="A511" s="12" t="s">
        <v>568</v>
      </c>
      <c r="B511" s="19">
        <v>42158</v>
      </c>
      <c r="C511" s="13" t="s">
        <v>28</v>
      </c>
      <c r="D511" s="13" t="s">
        <v>12</v>
      </c>
      <c r="E511" s="13" t="s">
        <v>51</v>
      </c>
      <c r="F511" s="13" t="s">
        <v>81</v>
      </c>
      <c r="G511" s="13">
        <v>7</v>
      </c>
      <c r="H511" s="13">
        <v>210</v>
      </c>
      <c r="I511" s="13">
        <v>1470</v>
      </c>
      <c r="J511" s="14" t="s">
        <v>26</v>
      </c>
    </row>
    <row r="512" spans="1:10" x14ac:dyDescent="0.3">
      <c r="A512" s="12" t="s">
        <v>569</v>
      </c>
      <c r="B512" s="19">
        <v>42158</v>
      </c>
      <c r="C512" s="13" t="s">
        <v>11</v>
      </c>
      <c r="D512" s="13" t="s">
        <v>12</v>
      </c>
      <c r="E512" s="13" t="s">
        <v>51</v>
      </c>
      <c r="F512" s="13" t="s">
        <v>81</v>
      </c>
      <c r="G512" s="13">
        <v>19</v>
      </c>
      <c r="H512" s="13">
        <v>75</v>
      </c>
      <c r="I512" s="13">
        <v>1425</v>
      </c>
      <c r="J512" s="14" t="s">
        <v>26</v>
      </c>
    </row>
    <row r="513" spans="1:10" x14ac:dyDescent="0.3">
      <c r="A513" s="12" t="s">
        <v>570</v>
      </c>
      <c r="B513" s="19">
        <v>42161</v>
      </c>
      <c r="C513" s="13" t="s">
        <v>20</v>
      </c>
      <c r="D513" s="13" t="s">
        <v>85</v>
      </c>
      <c r="E513" s="13" t="s">
        <v>34</v>
      </c>
      <c r="F513" s="13" t="s">
        <v>64</v>
      </c>
      <c r="G513" s="13">
        <v>31</v>
      </c>
      <c r="H513" s="13">
        <v>40</v>
      </c>
      <c r="I513" s="13">
        <v>1240</v>
      </c>
      <c r="J513" s="14" t="s">
        <v>26</v>
      </c>
    </row>
    <row r="514" spans="1:10" x14ac:dyDescent="0.3">
      <c r="A514" s="12" t="s">
        <v>399</v>
      </c>
      <c r="B514" s="19">
        <v>42172</v>
      </c>
      <c r="C514" s="13" t="s">
        <v>11</v>
      </c>
      <c r="D514" s="13" t="s">
        <v>45</v>
      </c>
      <c r="E514" s="13" t="s">
        <v>17</v>
      </c>
      <c r="F514" s="13" t="s">
        <v>72</v>
      </c>
      <c r="G514" s="13">
        <v>18</v>
      </c>
      <c r="H514" s="13">
        <v>20</v>
      </c>
      <c r="I514" s="13">
        <v>360</v>
      </c>
      <c r="J514" s="14" t="s">
        <v>26</v>
      </c>
    </row>
    <row r="515" spans="1:10" x14ac:dyDescent="0.3">
      <c r="A515" s="12" t="s">
        <v>571</v>
      </c>
      <c r="B515" s="19">
        <v>42172</v>
      </c>
      <c r="C515" s="13" t="s">
        <v>28</v>
      </c>
      <c r="D515" s="13" t="s">
        <v>45</v>
      </c>
      <c r="E515" s="13" t="s">
        <v>21</v>
      </c>
      <c r="F515" s="13" t="s">
        <v>22</v>
      </c>
      <c r="G515" s="13">
        <v>19.5</v>
      </c>
      <c r="H515" s="13">
        <v>12</v>
      </c>
      <c r="I515" s="13">
        <v>234</v>
      </c>
      <c r="J515" s="14" t="s">
        <v>26</v>
      </c>
    </row>
    <row r="516" spans="1:10" x14ac:dyDescent="0.3">
      <c r="A516" s="12" t="s">
        <v>572</v>
      </c>
      <c r="B516" s="19">
        <v>42174</v>
      </c>
      <c r="C516" s="13" t="s">
        <v>11</v>
      </c>
      <c r="D516" s="13" t="s">
        <v>12</v>
      </c>
      <c r="E516" s="13" t="s">
        <v>17</v>
      </c>
      <c r="F516" s="13" t="s">
        <v>25</v>
      </c>
      <c r="G516" s="13">
        <v>7.75</v>
      </c>
      <c r="H516" s="13">
        <v>100</v>
      </c>
      <c r="I516" s="13">
        <v>775</v>
      </c>
      <c r="J516" s="14" t="s">
        <v>15</v>
      </c>
    </row>
    <row r="517" spans="1:10" x14ac:dyDescent="0.3">
      <c r="A517" s="12" t="s">
        <v>402</v>
      </c>
      <c r="B517" s="19">
        <v>42179</v>
      </c>
      <c r="C517" s="13" t="s">
        <v>20</v>
      </c>
      <c r="D517" s="13" t="s">
        <v>12</v>
      </c>
      <c r="E517" s="13" t="s">
        <v>34</v>
      </c>
      <c r="F517" s="13" t="s">
        <v>136</v>
      </c>
      <c r="G517" s="13">
        <v>9.5</v>
      </c>
      <c r="H517" s="13">
        <v>75</v>
      </c>
      <c r="I517" s="13">
        <v>712.5</v>
      </c>
      <c r="J517" s="14" t="s">
        <v>15</v>
      </c>
    </row>
    <row r="518" spans="1:10" x14ac:dyDescent="0.3">
      <c r="A518" s="12" t="s">
        <v>573</v>
      </c>
      <c r="B518" s="19">
        <v>42180</v>
      </c>
      <c r="C518" s="13" t="s">
        <v>31</v>
      </c>
      <c r="D518" s="13" t="s">
        <v>12</v>
      </c>
      <c r="E518" s="13" t="s">
        <v>17</v>
      </c>
      <c r="F518" s="13" t="s">
        <v>72</v>
      </c>
      <c r="G518" s="13">
        <v>18</v>
      </c>
      <c r="H518" s="13">
        <v>40</v>
      </c>
      <c r="I518" s="13">
        <v>720</v>
      </c>
      <c r="J518" s="14" t="s">
        <v>15</v>
      </c>
    </row>
    <row r="519" spans="1:10" x14ac:dyDescent="0.3">
      <c r="A519" s="12" t="s">
        <v>574</v>
      </c>
      <c r="B519" s="19">
        <v>42180</v>
      </c>
      <c r="C519" s="13" t="s">
        <v>31</v>
      </c>
      <c r="D519" s="13" t="s">
        <v>12</v>
      </c>
      <c r="E519" s="13" t="s">
        <v>21</v>
      </c>
      <c r="F519" s="13" t="s">
        <v>97</v>
      </c>
      <c r="G519" s="13">
        <v>13</v>
      </c>
      <c r="H519" s="13">
        <v>160</v>
      </c>
      <c r="I519" s="13">
        <v>2080</v>
      </c>
      <c r="J519" s="14" t="s">
        <v>15</v>
      </c>
    </row>
    <row r="520" spans="1:10" x14ac:dyDescent="0.3">
      <c r="A520" s="12" t="s">
        <v>575</v>
      </c>
      <c r="B520" s="19">
        <v>42193</v>
      </c>
      <c r="C520" s="13" t="s">
        <v>31</v>
      </c>
      <c r="D520" s="13" t="s">
        <v>45</v>
      </c>
      <c r="E520" s="13" t="s">
        <v>34</v>
      </c>
      <c r="F520" s="13" t="s">
        <v>90</v>
      </c>
      <c r="G520" s="13">
        <v>49.3</v>
      </c>
      <c r="H520" s="13">
        <v>100</v>
      </c>
      <c r="I520" s="13">
        <v>4930</v>
      </c>
      <c r="J520" s="14" t="s">
        <v>26</v>
      </c>
    </row>
    <row r="521" spans="1:10" x14ac:dyDescent="0.3">
      <c r="A521" s="12" t="s">
        <v>576</v>
      </c>
      <c r="B521" s="19">
        <v>42200</v>
      </c>
      <c r="C521" s="13" t="s">
        <v>31</v>
      </c>
      <c r="D521" s="13" t="s">
        <v>12</v>
      </c>
      <c r="E521" s="13" t="s">
        <v>51</v>
      </c>
      <c r="F521" s="13" t="s">
        <v>81</v>
      </c>
      <c r="G521" s="13">
        <v>24</v>
      </c>
      <c r="H521" s="13">
        <v>180</v>
      </c>
      <c r="I521" s="13">
        <v>4320</v>
      </c>
      <c r="J521" s="14" t="s">
        <v>26</v>
      </c>
    </row>
    <row r="522" spans="1:10" x14ac:dyDescent="0.3">
      <c r="A522" s="12" t="s">
        <v>577</v>
      </c>
      <c r="B522" s="19">
        <v>42200</v>
      </c>
      <c r="C522" s="13" t="s">
        <v>31</v>
      </c>
      <c r="D522" s="13" t="s">
        <v>12</v>
      </c>
      <c r="E522" s="13" t="s">
        <v>21</v>
      </c>
      <c r="F522" s="13" t="s">
        <v>111</v>
      </c>
      <c r="G522" s="13">
        <v>22</v>
      </c>
      <c r="H522" s="13">
        <v>180</v>
      </c>
      <c r="I522" s="13">
        <v>3960</v>
      </c>
      <c r="J522" s="14" t="s">
        <v>26</v>
      </c>
    </row>
    <row r="523" spans="1:10" x14ac:dyDescent="0.3">
      <c r="A523" s="12" t="s">
        <v>578</v>
      </c>
      <c r="B523" s="19">
        <v>42200</v>
      </c>
      <c r="C523" s="13" t="s">
        <v>11</v>
      </c>
      <c r="D523" s="13" t="s">
        <v>12</v>
      </c>
      <c r="E523" s="13" t="s">
        <v>34</v>
      </c>
      <c r="F523" s="13" t="s">
        <v>90</v>
      </c>
      <c r="G523" s="13">
        <v>49.3</v>
      </c>
      <c r="H523" s="13">
        <v>80</v>
      </c>
      <c r="I523" s="13">
        <v>3944</v>
      </c>
      <c r="J523" s="14" t="s">
        <v>26</v>
      </c>
    </row>
    <row r="524" spans="1:10" x14ac:dyDescent="0.3">
      <c r="A524" s="12" t="s">
        <v>579</v>
      </c>
      <c r="B524" s="19">
        <v>42214</v>
      </c>
      <c r="C524" s="13" t="s">
        <v>11</v>
      </c>
      <c r="D524" s="13" t="s">
        <v>45</v>
      </c>
      <c r="E524" s="13" t="s">
        <v>17</v>
      </c>
      <c r="F524" s="13" t="s">
        <v>54</v>
      </c>
      <c r="G524" s="13">
        <v>15</v>
      </c>
      <c r="H524" s="13">
        <v>40</v>
      </c>
      <c r="I524" s="13">
        <v>600</v>
      </c>
      <c r="J524" s="14" t="s">
        <v>26</v>
      </c>
    </row>
    <row r="525" spans="1:10" x14ac:dyDescent="0.3">
      <c r="A525" s="12" t="s">
        <v>580</v>
      </c>
      <c r="B525" s="19">
        <v>42214</v>
      </c>
      <c r="C525" s="13" t="s">
        <v>31</v>
      </c>
      <c r="D525" s="13" t="s">
        <v>45</v>
      </c>
      <c r="E525" s="13" t="s">
        <v>13</v>
      </c>
      <c r="F525" s="13" t="s">
        <v>14</v>
      </c>
      <c r="G525" s="13">
        <v>9</v>
      </c>
      <c r="H525" s="13">
        <v>90</v>
      </c>
      <c r="I525" s="13">
        <v>810</v>
      </c>
      <c r="J525" s="14" t="s">
        <v>26</v>
      </c>
    </row>
    <row r="526" spans="1:10" x14ac:dyDescent="0.3">
      <c r="A526" s="12" t="s">
        <v>581</v>
      </c>
      <c r="B526" s="19">
        <v>42214</v>
      </c>
      <c r="C526" s="13" t="s">
        <v>11</v>
      </c>
      <c r="D526" s="13" t="s">
        <v>45</v>
      </c>
      <c r="E526" s="13" t="s">
        <v>13</v>
      </c>
      <c r="F526" s="13" t="s">
        <v>124</v>
      </c>
      <c r="G526" s="13">
        <v>21.5</v>
      </c>
      <c r="H526" s="13">
        <v>45</v>
      </c>
      <c r="I526" s="13">
        <v>967.5</v>
      </c>
      <c r="J526" s="14" t="s">
        <v>26</v>
      </c>
    </row>
    <row r="527" spans="1:10" x14ac:dyDescent="0.3">
      <c r="A527" s="12" t="s">
        <v>582</v>
      </c>
      <c r="B527" s="19">
        <v>42214</v>
      </c>
      <c r="C527" s="13" t="s">
        <v>28</v>
      </c>
      <c r="D527" s="13" t="s">
        <v>45</v>
      </c>
      <c r="E527" s="13" t="s">
        <v>34</v>
      </c>
      <c r="F527" s="13" t="s">
        <v>188</v>
      </c>
      <c r="G527" s="13">
        <v>9.1999999999999993</v>
      </c>
      <c r="H527" s="13">
        <v>50</v>
      </c>
      <c r="I527" s="13">
        <v>459.99999999999994</v>
      </c>
      <c r="J527" s="14" t="s">
        <v>26</v>
      </c>
    </row>
    <row r="528" spans="1:10" x14ac:dyDescent="0.3">
      <c r="A528" s="12" t="s">
        <v>583</v>
      </c>
      <c r="B528" s="19">
        <v>42215</v>
      </c>
      <c r="C528" s="13" t="s">
        <v>28</v>
      </c>
      <c r="D528" s="13" t="s">
        <v>12</v>
      </c>
      <c r="E528" s="13" t="s">
        <v>17</v>
      </c>
      <c r="F528" s="13" t="s">
        <v>18</v>
      </c>
      <c r="G528" s="13">
        <v>19</v>
      </c>
      <c r="H528" s="13">
        <v>120</v>
      </c>
      <c r="I528" s="13">
        <v>2280</v>
      </c>
      <c r="J528" s="14" t="s">
        <v>26</v>
      </c>
    </row>
    <row r="529" spans="1:10" x14ac:dyDescent="0.3">
      <c r="A529" s="12" t="s">
        <v>109</v>
      </c>
      <c r="B529" s="19">
        <v>42215</v>
      </c>
      <c r="C529" s="13" t="s">
        <v>31</v>
      </c>
      <c r="D529" s="13" t="s">
        <v>12</v>
      </c>
      <c r="E529" s="13" t="s">
        <v>34</v>
      </c>
      <c r="F529" s="13" t="s">
        <v>43</v>
      </c>
      <c r="G529" s="13">
        <v>12.5</v>
      </c>
      <c r="H529" s="13">
        <v>180</v>
      </c>
      <c r="I529" s="13">
        <v>2250</v>
      </c>
      <c r="J529" s="14" t="s">
        <v>26</v>
      </c>
    </row>
    <row r="530" spans="1:10" x14ac:dyDescent="0.3">
      <c r="A530" s="12" t="s">
        <v>584</v>
      </c>
      <c r="B530" s="19">
        <v>42221</v>
      </c>
      <c r="C530" s="13" t="s">
        <v>11</v>
      </c>
      <c r="D530" s="13" t="s">
        <v>85</v>
      </c>
      <c r="E530" s="13" t="s">
        <v>51</v>
      </c>
      <c r="F530" s="13" t="s">
        <v>52</v>
      </c>
      <c r="G530" s="13">
        <v>123.79</v>
      </c>
      <c r="H530" s="13">
        <v>100</v>
      </c>
      <c r="I530" s="13">
        <v>12379</v>
      </c>
      <c r="J530" s="14" t="s">
        <v>26</v>
      </c>
    </row>
    <row r="531" spans="1:10" x14ac:dyDescent="0.3">
      <c r="A531" s="12" t="s">
        <v>585</v>
      </c>
      <c r="B531" s="19">
        <v>42221</v>
      </c>
      <c r="C531" s="13" t="s">
        <v>20</v>
      </c>
      <c r="D531" s="13" t="s">
        <v>85</v>
      </c>
      <c r="E531" s="13" t="s">
        <v>51</v>
      </c>
      <c r="F531" s="13" t="s">
        <v>81</v>
      </c>
      <c r="G531" s="13">
        <v>33.25</v>
      </c>
      <c r="H531" s="13">
        <v>18</v>
      </c>
      <c r="I531" s="13">
        <v>598.5</v>
      </c>
      <c r="J531" s="14" t="s">
        <v>26</v>
      </c>
    </row>
    <row r="532" spans="1:10" x14ac:dyDescent="0.3">
      <c r="A532" s="12" t="s">
        <v>417</v>
      </c>
      <c r="B532" s="19">
        <v>42228</v>
      </c>
      <c r="C532" s="13" t="s">
        <v>11</v>
      </c>
      <c r="D532" s="13" t="s">
        <v>12</v>
      </c>
      <c r="E532" s="13" t="s">
        <v>51</v>
      </c>
      <c r="F532" s="13" t="s">
        <v>81</v>
      </c>
      <c r="G532" s="13">
        <v>38</v>
      </c>
      <c r="H532" s="13">
        <v>60</v>
      </c>
      <c r="I532" s="13">
        <v>2280</v>
      </c>
      <c r="J532" s="14" t="s">
        <v>15</v>
      </c>
    </row>
    <row r="533" spans="1:10" x14ac:dyDescent="0.3">
      <c r="A533" s="12" t="s">
        <v>586</v>
      </c>
      <c r="B533" s="19">
        <v>42228</v>
      </c>
      <c r="C533" s="13" t="s">
        <v>28</v>
      </c>
      <c r="D533" s="13" t="s">
        <v>12</v>
      </c>
      <c r="E533" s="13" t="s">
        <v>13</v>
      </c>
      <c r="F533" s="13" t="s">
        <v>14</v>
      </c>
      <c r="G533" s="13">
        <v>21</v>
      </c>
      <c r="H533" s="13">
        <v>100</v>
      </c>
      <c r="I533" s="13">
        <v>2100</v>
      </c>
      <c r="J533" s="14" t="s">
        <v>15</v>
      </c>
    </row>
    <row r="534" spans="1:10" x14ac:dyDescent="0.3">
      <c r="A534" s="12" t="s">
        <v>419</v>
      </c>
      <c r="B534" s="19">
        <v>42228</v>
      </c>
      <c r="C534" s="13" t="s">
        <v>31</v>
      </c>
      <c r="D534" s="13" t="s">
        <v>12</v>
      </c>
      <c r="E534" s="13" t="s">
        <v>34</v>
      </c>
      <c r="F534" s="13" t="s">
        <v>64</v>
      </c>
      <c r="G534" s="13">
        <v>16.25</v>
      </c>
      <c r="H534" s="13">
        <v>125</v>
      </c>
      <c r="I534" s="13">
        <v>2031.25</v>
      </c>
      <c r="J534" s="14" t="s">
        <v>15</v>
      </c>
    </row>
    <row r="535" spans="1:10" x14ac:dyDescent="0.3">
      <c r="A535" s="12" t="s">
        <v>587</v>
      </c>
      <c r="B535" s="19">
        <v>42234</v>
      </c>
      <c r="C535" s="13" t="s">
        <v>11</v>
      </c>
      <c r="D535" s="13" t="s">
        <v>12</v>
      </c>
      <c r="E535" s="13" t="s">
        <v>17</v>
      </c>
      <c r="F535" s="13" t="s">
        <v>29</v>
      </c>
      <c r="G535" s="13">
        <v>46</v>
      </c>
      <c r="H535" s="13">
        <v>100</v>
      </c>
      <c r="I535" s="13">
        <v>4600</v>
      </c>
      <c r="J535" s="14" t="s">
        <v>26</v>
      </c>
    </row>
    <row r="536" spans="1:10" x14ac:dyDescent="0.3">
      <c r="A536" s="12" t="s">
        <v>588</v>
      </c>
      <c r="B536" s="19">
        <v>42234</v>
      </c>
      <c r="C536" s="13" t="s">
        <v>11</v>
      </c>
      <c r="D536" s="13" t="s">
        <v>12</v>
      </c>
      <c r="E536" s="13" t="s">
        <v>17</v>
      </c>
      <c r="F536" s="13" t="s">
        <v>54</v>
      </c>
      <c r="G536" s="13">
        <v>12</v>
      </c>
      <c r="H536" s="13">
        <v>63</v>
      </c>
      <c r="I536" s="13">
        <v>756</v>
      </c>
      <c r="J536" s="14" t="s">
        <v>26</v>
      </c>
    </row>
    <row r="537" spans="1:10" x14ac:dyDescent="0.3">
      <c r="A537" s="12" t="s">
        <v>422</v>
      </c>
      <c r="B537" s="19">
        <v>42235</v>
      </c>
      <c r="C537" s="13" t="s">
        <v>20</v>
      </c>
      <c r="D537" s="13" t="s">
        <v>12</v>
      </c>
      <c r="E537" s="13" t="s">
        <v>13</v>
      </c>
      <c r="F537" s="13" t="s">
        <v>14</v>
      </c>
      <c r="G537" s="13">
        <v>19</v>
      </c>
      <c r="H537" s="13">
        <v>15</v>
      </c>
      <c r="I537" s="13">
        <v>285</v>
      </c>
      <c r="J537" s="14" t="s">
        <v>15</v>
      </c>
    </row>
    <row r="538" spans="1:10" x14ac:dyDescent="0.3">
      <c r="A538" s="12" t="s">
        <v>589</v>
      </c>
      <c r="B538" s="19">
        <v>42235</v>
      </c>
      <c r="C538" s="13" t="s">
        <v>31</v>
      </c>
      <c r="D538" s="13" t="s">
        <v>85</v>
      </c>
      <c r="E538" s="13" t="s">
        <v>17</v>
      </c>
      <c r="F538" s="13" t="s">
        <v>54</v>
      </c>
      <c r="G538" s="13">
        <v>62.5</v>
      </c>
      <c r="H538" s="13">
        <v>200</v>
      </c>
      <c r="I538" s="13">
        <v>12500</v>
      </c>
      <c r="J538" s="14" t="s">
        <v>15</v>
      </c>
    </row>
    <row r="539" spans="1:10" x14ac:dyDescent="0.3">
      <c r="A539" s="12" t="s">
        <v>424</v>
      </c>
      <c r="B539" s="19">
        <v>42236</v>
      </c>
      <c r="C539" s="13" t="s">
        <v>31</v>
      </c>
      <c r="D539" s="13" t="s">
        <v>12</v>
      </c>
      <c r="E539" s="13" t="s">
        <v>17</v>
      </c>
      <c r="F539" s="13" t="s">
        <v>37</v>
      </c>
      <c r="G539" s="13">
        <v>18</v>
      </c>
      <c r="H539" s="13">
        <v>20</v>
      </c>
      <c r="I539" s="13">
        <v>360</v>
      </c>
      <c r="J539" s="14" t="s">
        <v>26</v>
      </c>
    </row>
    <row r="540" spans="1:10" x14ac:dyDescent="0.3">
      <c r="A540" s="12" t="s">
        <v>590</v>
      </c>
      <c r="B540" s="19">
        <v>42236</v>
      </c>
      <c r="C540" s="13" t="s">
        <v>11</v>
      </c>
      <c r="D540" s="13" t="s">
        <v>12</v>
      </c>
      <c r="E540" s="13" t="s">
        <v>34</v>
      </c>
      <c r="F540" s="13" t="s">
        <v>188</v>
      </c>
      <c r="G540" s="13">
        <v>9.1999999999999993</v>
      </c>
      <c r="H540" s="13">
        <v>300</v>
      </c>
      <c r="I540" s="13">
        <v>2760</v>
      </c>
      <c r="J540" s="14" t="s">
        <v>26</v>
      </c>
    </row>
    <row r="541" spans="1:10" x14ac:dyDescent="0.3">
      <c r="A541" s="12" t="s">
        <v>591</v>
      </c>
      <c r="B541" s="19">
        <v>42237</v>
      </c>
      <c r="C541" s="13" t="s">
        <v>20</v>
      </c>
      <c r="D541" s="13" t="s">
        <v>12</v>
      </c>
      <c r="E541" s="13" t="s">
        <v>17</v>
      </c>
      <c r="F541" s="13" t="s">
        <v>128</v>
      </c>
      <c r="G541" s="13">
        <v>4.5</v>
      </c>
      <c r="H541" s="13">
        <v>90</v>
      </c>
      <c r="I541" s="13">
        <v>405</v>
      </c>
      <c r="J541" s="14" t="s">
        <v>26</v>
      </c>
    </row>
    <row r="542" spans="1:10" x14ac:dyDescent="0.3">
      <c r="A542" s="12" t="s">
        <v>592</v>
      </c>
      <c r="B542" s="19">
        <v>42237</v>
      </c>
      <c r="C542" s="13" t="s">
        <v>20</v>
      </c>
      <c r="D542" s="13" t="s">
        <v>12</v>
      </c>
      <c r="E542" s="13" t="s">
        <v>21</v>
      </c>
      <c r="F542" s="13" t="s">
        <v>22</v>
      </c>
      <c r="G542" s="13">
        <v>21</v>
      </c>
      <c r="H542" s="13">
        <v>105</v>
      </c>
      <c r="I542" s="13">
        <v>2205</v>
      </c>
      <c r="J542" s="14" t="s">
        <v>26</v>
      </c>
    </row>
    <row r="543" spans="1:10" x14ac:dyDescent="0.3">
      <c r="A543" s="12" t="s">
        <v>593</v>
      </c>
      <c r="B543" s="19">
        <v>42238</v>
      </c>
      <c r="C543" s="13" t="s">
        <v>20</v>
      </c>
      <c r="D543" s="13" t="s">
        <v>12</v>
      </c>
      <c r="E543" s="13" t="s">
        <v>51</v>
      </c>
      <c r="F543" s="13" t="s">
        <v>268</v>
      </c>
      <c r="G543" s="13">
        <v>7.45</v>
      </c>
      <c r="H543" s="13">
        <v>150</v>
      </c>
      <c r="I543" s="13">
        <v>1117.5</v>
      </c>
      <c r="J543" s="14" t="s">
        <v>26</v>
      </c>
    </row>
    <row r="544" spans="1:10" x14ac:dyDescent="0.3">
      <c r="A544" s="12" t="s">
        <v>594</v>
      </c>
      <c r="B544" s="19">
        <v>42238</v>
      </c>
      <c r="C544" s="13" t="s">
        <v>31</v>
      </c>
      <c r="D544" s="13" t="s">
        <v>12</v>
      </c>
      <c r="E544" s="13" t="s">
        <v>51</v>
      </c>
      <c r="F544" s="13" t="s">
        <v>138</v>
      </c>
      <c r="G544" s="13">
        <v>32.799999999999997</v>
      </c>
      <c r="H544" s="13">
        <v>250</v>
      </c>
      <c r="I544" s="13">
        <v>8200</v>
      </c>
      <c r="J544" s="14" t="s">
        <v>26</v>
      </c>
    </row>
    <row r="545" spans="1:10" x14ac:dyDescent="0.3">
      <c r="A545" s="12" t="s">
        <v>595</v>
      </c>
      <c r="B545" s="19">
        <v>42238</v>
      </c>
      <c r="C545" s="13" t="s">
        <v>20</v>
      </c>
      <c r="D545" s="13" t="s">
        <v>12</v>
      </c>
      <c r="E545" s="13" t="s">
        <v>17</v>
      </c>
      <c r="F545" s="13" t="s">
        <v>54</v>
      </c>
      <c r="G545" s="13">
        <v>25.89</v>
      </c>
      <c r="H545" s="13">
        <v>240</v>
      </c>
      <c r="I545" s="13">
        <v>6213.6</v>
      </c>
      <c r="J545" s="14" t="s">
        <v>26</v>
      </c>
    </row>
    <row r="546" spans="1:10" x14ac:dyDescent="0.3">
      <c r="A546" s="12" t="s">
        <v>596</v>
      </c>
      <c r="B546" s="19">
        <v>42241</v>
      </c>
      <c r="C546" s="13" t="s">
        <v>11</v>
      </c>
      <c r="D546" s="13" t="s">
        <v>12</v>
      </c>
      <c r="E546" s="13" t="s">
        <v>17</v>
      </c>
      <c r="F546" s="13" t="s">
        <v>54</v>
      </c>
      <c r="G546" s="13">
        <v>14</v>
      </c>
      <c r="H546" s="13">
        <v>140</v>
      </c>
      <c r="I546" s="13">
        <v>1960</v>
      </c>
      <c r="J546" s="14" t="s">
        <v>26</v>
      </c>
    </row>
    <row r="547" spans="1:10" x14ac:dyDescent="0.3">
      <c r="A547" s="12" t="s">
        <v>597</v>
      </c>
      <c r="B547" s="19">
        <v>42241</v>
      </c>
      <c r="C547" s="13" t="s">
        <v>31</v>
      </c>
      <c r="D547" s="13" t="s">
        <v>12</v>
      </c>
      <c r="E547" s="13" t="s">
        <v>21</v>
      </c>
      <c r="F547" s="13" t="s">
        <v>22</v>
      </c>
      <c r="G547" s="13">
        <v>25.89</v>
      </c>
      <c r="H547" s="13">
        <v>8</v>
      </c>
      <c r="I547" s="13">
        <v>207.12</v>
      </c>
      <c r="J547" s="14" t="s">
        <v>26</v>
      </c>
    </row>
    <row r="548" spans="1:10" x14ac:dyDescent="0.3">
      <c r="A548" s="12" t="s">
        <v>598</v>
      </c>
      <c r="B548" s="19">
        <v>42245</v>
      </c>
      <c r="C548" s="13" t="s">
        <v>11</v>
      </c>
      <c r="D548" s="13" t="s">
        <v>12</v>
      </c>
      <c r="E548" s="13" t="s">
        <v>17</v>
      </c>
      <c r="F548" s="13" t="s">
        <v>54</v>
      </c>
      <c r="G548" s="13">
        <v>15</v>
      </c>
      <c r="H548" s="13">
        <v>320</v>
      </c>
      <c r="I548" s="13">
        <v>4800</v>
      </c>
      <c r="J548" s="14" t="s">
        <v>26</v>
      </c>
    </row>
    <row r="549" spans="1:10" x14ac:dyDescent="0.3">
      <c r="A549" s="12" t="s">
        <v>535</v>
      </c>
      <c r="B549" s="19">
        <v>42245</v>
      </c>
      <c r="C549" s="13" t="s">
        <v>31</v>
      </c>
      <c r="D549" s="13" t="s">
        <v>12</v>
      </c>
      <c r="E549" s="13" t="s">
        <v>13</v>
      </c>
      <c r="F549" s="13" t="s">
        <v>99</v>
      </c>
      <c r="G549" s="13">
        <v>12.5</v>
      </c>
      <c r="H549" s="13">
        <v>40</v>
      </c>
      <c r="I549" s="13">
        <v>500</v>
      </c>
      <c r="J549" s="14" t="s">
        <v>26</v>
      </c>
    </row>
    <row r="550" spans="1:10" x14ac:dyDescent="0.3">
      <c r="A550" s="12" t="s">
        <v>599</v>
      </c>
      <c r="B550" s="19">
        <v>42245</v>
      </c>
      <c r="C550" s="13" t="s">
        <v>31</v>
      </c>
      <c r="D550" s="13" t="s">
        <v>12</v>
      </c>
      <c r="E550" s="13" t="s">
        <v>17</v>
      </c>
      <c r="F550" s="13" t="s">
        <v>54</v>
      </c>
      <c r="G550" s="13">
        <v>18.399999999999999</v>
      </c>
      <c r="H550" s="13">
        <v>48</v>
      </c>
      <c r="I550" s="13">
        <v>883.19999999999993</v>
      </c>
      <c r="J550" s="14" t="s">
        <v>26</v>
      </c>
    </row>
    <row r="551" spans="1:10" x14ac:dyDescent="0.3">
      <c r="A551" s="12" t="s">
        <v>600</v>
      </c>
      <c r="B551" s="19">
        <v>42258</v>
      </c>
      <c r="C551" s="13" t="s">
        <v>28</v>
      </c>
      <c r="D551" s="13" t="s">
        <v>45</v>
      </c>
      <c r="E551" s="13" t="s">
        <v>21</v>
      </c>
      <c r="F551" s="13" t="s">
        <v>22</v>
      </c>
      <c r="G551" s="13">
        <v>9</v>
      </c>
      <c r="H551" s="13">
        <v>35</v>
      </c>
      <c r="I551" s="13">
        <v>315</v>
      </c>
      <c r="J551" s="14" t="s">
        <v>26</v>
      </c>
    </row>
    <row r="552" spans="1:10" x14ac:dyDescent="0.3">
      <c r="A552" s="12" t="s">
        <v>601</v>
      </c>
      <c r="B552" s="19">
        <v>42269</v>
      </c>
      <c r="C552" s="13" t="s">
        <v>11</v>
      </c>
      <c r="D552" s="13" t="s">
        <v>12</v>
      </c>
      <c r="E552" s="13" t="s">
        <v>17</v>
      </c>
      <c r="F552" s="13" t="s">
        <v>54</v>
      </c>
      <c r="G552" s="13">
        <v>31</v>
      </c>
      <c r="H552" s="13">
        <v>120</v>
      </c>
      <c r="I552" s="13">
        <v>3720</v>
      </c>
      <c r="J552" s="14" t="s">
        <v>26</v>
      </c>
    </row>
    <row r="553" spans="1:10" x14ac:dyDescent="0.3">
      <c r="A553" s="12" t="s">
        <v>602</v>
      </c>
      <c r="B553" s="19">
        <v>42269</v>
      </c>
      <c r="C553" s="13" t="s">
        <v>20</v>
      </c>
      <c r="D553" s="13" t="s">
        <v>12</v>
      </c>
      <c r="E553" s="13" t="s">
        <v>34</v>
      </c>
      <c r="F553" s="13" t="s">
        <v>136</v>
      </c>
      <c r="G553" s="13">
        <v>9.5</v>
      </c>
      <c r="H553" s="13">
        <v>150</v>
      </c>
      <c r="I553" s="13">
        <v>1425</v>
      </c>
      <c r="J553" s="14" t="s">
        <v>26</v>
      </c>
    </row>
    <row r="554" spans="1:10" x14ac:dyDescent="0.3">
      <c r="A554" s="12" t="s">
        <v>603</v>
      </c>
      <c r="B554" s="19">
        <v>42272</v>
      </c>
      <c r="C554" s="13" t="s">
        <v>20</v>
      </c>
      <c r="D554" s="13" t="s">
        <v>12</v>
      </c>
      <c r="E554" s="13" t="s">
        <v>21</v>
      </c>
      <c r="F554" s="13" t="s">
        <v>97</v>
      </c>
      <c r="G554" s="13">
        <v>13</v>
      </c>
      <c r="H554" s="13">
        <v>240</v>
      </c>
      <c r="I554" s="13">
        <v>3120</v>
      </c>
      <c r="J554" s="14" t="s">
        <v>15</v>
      </c>
    </row>
    <row r="555" spans="1:10" x14ac:dyDescent="0.3">
      <c r="A555" s="12" t="s">
        <v>604</v>
      </c>
      <c r="B555" s="19">
        <v>42272</v>
      </c>
      <c r="C555" s="13" t="s">
        <v>31</v>
      </c>
      <c r="D555" s="13" t="s">
        <v>12</v>
      </c>
      <c r="E555" s="13" t="s">
        <v>51</v>
      </c>
      <c r="F555" s="13" t="s">
        <v>81</v>
      </c>
      <c r="G555" s="13">
        <v>38</v>
      </c>
      <c r="H555" s="13">
        <v>120</v>
      </c>
      <c r="I555" s="13">
        <v>4560</v>
      </c>
      <c r="J555" s="14" t="s">
        <v>15</v>
      </c>
    </row>
    <row r="556" spans="1:10" x14ac:dyDescent="0.3">
      <c r="A556" s="12" t="s">
        <v>605</v>
      </c>
      <c r="B556" s="19">
        <v>42284</v>
      </c>
      <c r="C556" s="13" t="s">
        <v>20</v>
      </c>
      <c r="D556" s="13" t="s">
        <v>12</v>
      </c>
      <c r="E556" s="13" t="s">
        <v>17</v>
      </c>
      <c r="F556" s="13" t="s">
        <v>128</v>
      </c>
      <c r="G556" s="13">
        <v>4.5</v>
      </c>
      <c r="H556" s="13">
        <v>105</v>
      </c>
      <c r="I556" s="13">
        <v>472.5</v>
      </c>
      <c r="J556" s="14" t="s">
        <v>15</v>
      </c>
    </row>
    <row r="557" spans="1:10" x14ac:dyDescent="0.3">
      <c r="A557" s="12" t="s">
        <v>606</v>
      </c>
      <c r="B557" s="19">
        <v>42284</v>
      </c>
      <c r="C557" s="13" t="s">
        <v>11</v>
      </c>
      <c r="D557" s="13" t="s">
        <v>12</v>
      </c>
      <c r="E557" s="13" t="s">
        <v>21</v>
      </c>
      <c r="F557" s="13" t="s">
        <v>111</v>
      </c>
      <c r="G557" s="13">
        <v>22</v>
      </c>
      <c r="H557" s="13">
        <v>18</v>
      </c>
      <c r="I557" s="13">
        <v>396</v>
      </c>
      <c r="J557" s="14" t="s">
        <v>15</v>
      </c>
    </row>
    <row r="558" spans="1:10" x14ac:dyDescent="0.3">
      <c r="A558" s="12" t="s">
        <v>607</v>
      </c>
      <c r="B558" s="19">
        <v>42284</v>
      </c>
      <c r="C558" s="13" t="s">
        <v>31</v>
      </c>
      <c r="D558" s="13" t="s">
        <v>12</v>
      </c>
      <c r="E558" s="13" t="s">
        <v>34</v>
      </c>
      <c r="F558" s="13" t="s">
        <v>339</v>
      </c>
      <c r="G558" s="13">
        <v>12.75</v>
      </c>
      <c r="H558" s="13">
        <v>120</v>
      </c>
      <c r="I558" s="13">
        <v>1530</v>
      </c>
      <c r="J558" s="14" t="s">
        <v>15</v>
      </c>
    </row>
    <row r="559" spans="1:10" x14ac:dyDescent="0.3">
      <c r="A559" s="12" t="s">
        <v>399</v>
      </c>
      <c r="B559" s="19">
        <v>42286</v>
      </c>
      <c r="C559" s="13" t="s">
        <v>11</v>
      </c>
      <c r="D559" s="13" t="s">
        <v>45</v>
      </c>
      <c r="E559" s="13" t="s">
        <v>17</v>
      </c>
      <c r="F559" s="13" t="s">
        <v>54</v>
      </c>
      <c r="G559" s="13">
        <v>15</v>
      </c>
      <c r="H559" s="13">
        <v>224</v>
      </c>
      <c r="I559" s="13">
        <v>3360</v>
      </c>
      <c r="J559" s="14" t="s">
        <v>26</v>
      </c>
    </row>
    <row r="560" spans="1:10" x14ac:dyDescent="0.3">
      <c r="A560" s="12" t="s">
        <v>608</v>
      </c>
      <c r="B560" s="19">
        <v>42286</v>
      </c>
      <c r="C560" s="13" t="s">
        <v>20</v>
      </c>
      <c r="D560" s="13" t="s">
        <v>45</v>
      </c>
      <c r="E560" s="13" t="s">
        <v>51</v>
      </c>
      <c r="F560" s="13" t="s">
        <v>81</v>
      </c>
      <c r="G560" s="13">
        <v>24</v>
      </c>
      <c r="H560" s="13">
        <v>63</v>
      </c>
      <c r="I560" s="13">
        <v>1512</v>
      </c>
      <c r="J560" s="14" t="s">
        <v>26</v>
      </c>
    </row>
    <row r="561" spans="1:10" x14ac:dyDescent="0.3">
      <c r="A561" s="12" t="s">
        <v>443</v>
      </c>
      <c r="B561" s="19">
        <v>42286</v>
      </c>
      <c r="C561" s="13" t="s">
        <v>11</v>
      </c>
      <c r="D561" s="13" t="s">
        <v>45</v>
      </c>
      <c r="E561" s="13" t="s">
        <v>34</v>
      </c>
      <c r="F561" s="13" t="s">
        <v>64</v>
      </c>
      <c r="G561" s="13">
        <v>19.5</v>
      </c>
      <c r="H561" s="13">
        <v>40</v>
      </c>
      <c r="I561" s="13">
        <v>780</v>
      </c>
      <c r="J561" s="14" t="s">
        <v>26</v>
      </c>
    </row>
    <row r="562" spans="1:10" x14ac:dyDescent="0.3">
      <c r="A562" s="12" t="s">
        <v>609</v>
      </c>
      <c r="B562" s="19">
        <v>42287</v>
      </c>
      <c r="C562" s="13" t="s">
        <v>11</v>
      </c>
      <c r="D562" s="13" t="s">
        <v>12</v>
      </c>
      <c r="E562" s="13" t="s">
        <v>21</v>
      </c>
      <c r="F562" s="13" t="s">
        <v>47</v>
      </c>
      <c r="G562" s="13">
        <v>40</v>
      </c>
      <c r="H562" s="13">
        <v>200</v>
      </c>
      <c r="I562" s="13">
        <v>8000</v>
      </c>
      <c r="J562" s="14" t="s">
        <v>26</v>
      </c>
    </row>
    <row r="563" spans="1:10" x14ac:dyDescent="0.3">
      <c r="A563" s="12" t="s">
        <v>610</v>
      </c>
      <c r="B563" s="19">
        <v>42287</v>
      </c>
      <c r="C563" s="13" t="s">
        <v>11</v>
      </c>
      <c r="D563" s="13" t="s">
        <v>12</v>
      </c>
      <c r="E563" s="13" t="s">
        <v>34</v>
      </c>
      <c r="F563" s="13" t="s">
        <v>64</v>
      </c>
      <c r="G563" s="13">
        <v>53</v>
      </c>
      <c r="H563" s="13">
        <v>168</v>
      </c>
      <c r="I563" s="13">
        <v>8904</v>
      </c>
      <c r="J563" s="14" t="s">
        <v>26</v>
      </c>
    </row>
    <row r="564" spans="1:10" x14ac:dyDescent="0.3">
      <c r="A564" s="12" t="s">
        <v>446</v>
      </c>
      <c r="B564" s="19">
        <v>42287</v>
      </c>
      <c r="C564" s="13" t="s">
        <v>20</v>
      </c>
      <c r="D564" s="13" t="s">
        <v>12</v>
      </c>
      <c r="E564" s="13" t="s">
        <v>13</v>
      </c>
      <c r="F564" s="13" t="s">
        <v>41</v>
      </c>
      <c r="G564" s="13">
        <v>34</v>
      </c>
      <c r="H564" s="13">
        <v>10</v>
      </c>
      <c r="I564" s="13">
        <v>340</v>
      </c>
      <c r="J564" s="14" t="s">
        <v>26</v>
      </c>
    </row>
    <row r="565" spans="1:10" x14ac:dyDescent="0.3">
      <c r="A565" s="12" t="s">
        <v>611</v>
      </c>
      <c r="B565" s="19">
        <v>42294</v>
      </c>
      <c r="C565" s="13" t="s">
        <v>28</v>
      </c>
      <c r="D565" s="13" t="s">
        <v>24</v>
      </c>
      <c r="E565" s="13" t="s">
        <v>21</v>
      </c>
      <c r="F565" s="13" t="s">
        <v>22</v>
      </c>
      <c r="G565" s="13">
        <v>28.5</v>
      </c>
      <c r="H565" s="13">
        <v>40</v>
      </c>
      <c r="I565" s="13">
        <v>1140</v>
      </c>
      <c r="J565" s="14" t="s">
        <v>26</v>
      </c>
    </row>
    <row r="566" spans="1:10" x14ac:dyDescent="0.3">
      <c r="A566" s="12" t="s">
        <v>612</v>
      </c>
      <c r="B566" s="19">
        <v>42294</v>
      </c>
      <c r="C566" s="13" t="s">
        <v>20</v>
      </c>
      <c r="D566" s="13" t="s">
        <v>24</v>
      </c>
      <c r="E566" s="13" t="s">
        <v>34</v>
      </c>
      <c r="F566" s="13" t="s">
        <v>241</v>
      </c>
      <c r="G566" s="13">
        <v>10</v>
      </c>
      <c r="H566" s="13">
        <v>20</v>
      </c>
      <c r="I566" s="13">
        <v>200</v>
      </c>
      <c r="J566" s="14" t="s">
        <v>26</v>
      </c>
    </row>
    <row r="567" spans="1:10" x14ac:dyDescent="0.3">
      <c r="A567" s="12" t="s">
        <v>613</v>
      </c>
      <c r="B567" s="19">
        <v>42298</v>
      </c>
      <c r="C567" s="13" t="s">
        <v>28</v>
      </c>
      <c r="D567" s="13" t="s">
        <v>12</v>
      </c>
      <c r="E567" s="13" t="s">
        <v>17</v>
      </c>
      <c r="F567" s="13" t="s">
        <v>72</v>
      </c>
      <c r="G567" s="13">
        <v>18</v>
      </c>
      <c r="H567" s="13">
        <v>84</v>
      </c>
      <c r="I567" s="13">
        <v>1512</v>
      </c>
      <c r="J567" s="14" t="s">
        <v>26</v>
      </c>
    </row>
    <row r="568" spans="1:10" x14ac:dyDescent="0.3">
      <c r="A568" s="12" t="s">
        <v>614</v>
      </c>
      <c r="B568" s="19">
        <v>42298</v>
      </c>
      <c r="C568" s="13" t="s">
        <v>11</v>
      </c>
      <c r="D568" s="13" t="s">
        <v>12</v>
      </c>
      <c r="E568" s="13" t="s">
        <v>13</v>
      </c>
      <c r="F568" s="13" t="s">
        <v>124</v>
      </c>
      <c r="G568" s="13">
        <v>21.5</v>
      </c>
      <c r="H568" s="13">
        <v>24</v>
      </c>
      <c r="I568" s="13">
        <v>516</v>
      </c>
      <c r="J568" s="14" t="s">
        <v>26</v>
      </c>
    </row>
    <row r="569" spans="1:10" x14ac:dyDescent="0.3">
      <c r="A569" s="12" t="s">
        <v>615</v>
      </c>
      <c r="B569" s="19">
        <v>42301</v>
      </c>
      <c r="C569" s="13" t="s">
        <v>11</v>
      </c>
      <c r="D569" s="13" t="s">
        <v>12</v>
      </c>
      <c r="E569" s="13" t="s">
        <v>51</v>
      </c>
      <c r="F569" s="13" t="s">
        <v>81</v>
      </c>
      <c r="G569" s="13">
        <v>24</v>
      </c>
      <c r="H569" s="13">
        <v>30</v>
      </c>
      <c r="I569" s="13">
        <v>720</v>
      </c>
      <c r="J569" s="14" t="s">
        <v>26</v>
      </c>
    </row>
    <row r="570" spans="1:10" x14ac:dyDescent="0.3">
      <c r="A570" s="12" t="s">
        <v>452</v>
      </c>
      <c r="B570" s="19">
        <v>42301</v>
      </c>
      <c r="C570" s="13" t="s">
        <v>20</v>
      </c>
      <c r="D570" s="13" t="s">
        <v>12</v>
      </c>
      <c r="E570" s="13" t="s">
        <v>51</v>
      </c>
      <c r="F570" s="13" t="s">
        <v>81</v>
      </c>
      <c r="G570" s="13">
        <v>7</v>
      </c>
      <c r="H570" s="13">
        <v>4</v>
      </c>
      <c r="I570" s="13">
        <v>28</v>
      </c>
      <c r="J570" s="14" t="s">
        <v>26</v>
      </c>
    </row>
    <row r="571" spans="1:10" x14ac:dyDescent="0.3">
      <c r="A571" s="12" t="s">
        <v>616</v>
      </c>
      <c r="B571" s="19">
        <v>42301</v>
      </c>
      <c r="C571" s="13" t="s">
        <v>28</v>
      </c>
      <c r="D571" s="13" t="s">
        <v>12</v>
      </c>
      <c r="E571" s="13" t="s">
        <v>51</v>
      </c>
      <c r="F571" s="13" t="s">
        <v>81</v>
      </c>
      <c r="G571" s="13">
        <v>9.65</v>
      </c>
      <c r="H571" s="13">
        <v>120</v>
      </c>
      <c r="I571" s="13">
        <v>1158</v>
      </c>
      <c r="J571" s="14" t="s">
        <v>26</v>
      </c>
    </row>
    <row r="572" spans="1:10" x14ac:dyDescent="0.3">
      <c r="A572" s="12" t="s">
        <v>617</v>
      </c>
      <c r="B572" s="19">
        <v>42304</v>
      </c>
      <c r="C572" s="13" t="s">
        <v>28</v>
      </c>
      <c r="D572" s="13" t="s">
        <v>45</v>
      </c>
      <c r="E572" s="13" t="s">
        <v>13</v>
      </c>
      <c r="F572" s="13" t="s">
        <v>14</v>
      </c>
      <c r="G572" s="13">
        <v>21</v>
      </c>
      <c r="H572" s="13">
        <v>50</v>
      </c>
      <c r="I572" s="13">
        <v>1050</v>
      </c>
      <c r="J572" s="14" t="s">
        <v>15</v>
      </c>
    </row>
    <row r="573" spans="1:10" x14ac:dyDescent="0.3">
      <c r="A573" s="12" t="s">
        <v>618</v>
      </c>
      <c r="B573" s="19">
        <v>42305</v>
      </c>
      <c r="C573" s="13" t="s">
        <v>28</v>
      </c>
      <c r="D573" s="13" t="s">
        <v>12</v>
      </c>
      <c r="E573" s="13" t="s">
        <v>51</v>
      </c>
      <c r="F573" s="13" t="s">
        <v>81</v>
      </c>
      <c r="G573" s="13">
        <v>24</v>
      </c>
      <c r="H573" s="13">
        <v>96</v>
      </c>
      <c r="I573" s="13">
        <v>2304</v>
      </c>
      <c r="J573" s="14" t="s">
        <v>26</v>
      </c>
    </row>
    <row r="574" spans="1:10" x14ac:dyDescent="0.3">
      <c r="A574" s="12" t="s">
        <v>619</v>
      </c>
      <c r="B574" s="19">
        <v>42305</v>
      </c>
      <c r="C574" s="13" t="s">
        <v>28</v>
      </c>
      <c r="D574" s="13" t="s">
        <v>12</v>
      </c>
      <c r="E574" s="13" t="s">
        <v>21</v>
      </c>
      <c r="F574" s="13" t="s">
        <v>22</v>
      </c>
      <c r="G574" s="13">
        <v>25.89</v>
      </c>
      <c r="H574" s="13">
        <v>105</v>
      </c>
      <c r="I574" s="13">
        <v>2718.4500000000003</v>
      </c>
      <c r="J574" s="14" t="s">
        <v>26</v>
      </c>
    </row>
    <row r="575" spans="1:10" x14ac:dyDescent="0.3">
      <c r="A575" s="12" t="s">
        <v>620</v>
      </c>
      <c r="B575" s="19">
        <v>42305</v>
      </c>
      <c r="C575" s="13" t="s">
        <v>11</v>
      </c>
      <c r="D575" s="13" t="s">
        <v>12</v>
      </c>
      <c r="E575" s="13" t="s">
        <v>51</v>
      </c>
      <c r="F575" s="13" t="s">
        <v>81</v>
      </c>
      <c r="G575" s="13">
        <v>18.399999999999999</v>
      </c>
      <c r="H575" s="13">
        <v>42</v>
      </c>
      <c r="I575" s="13">
        <v>772.8</v>
      </c>
      <c r="J575" s="14" t="s">
        <v>26</v>
      </c>
    </row>
    <row r="576" spans="1:10" x14ac:dyDescent="0.3">
      <c r="A576" s="12" t="s">
        <v>621</v>
      </c>
      <c r="B576" s="19">
        <v>42308</v>
      </c>
      <c r="C576" s="13" t="s">
        <v>20</v>
      </c>
      <c r="D576" s="13" t="s">
        <v>12</v>
      </c>
      <c r="E576" s="13" t="s">
        <v>17</v>
      </c>
      <c r="F576" s="13" t="s">
        <v>134</v>
      </c>
      <c r="G576" s="13">
        <v>18</v>
      </c>
      <c r="H576" s="13">
        <v>200</v>
      </c>
      <c r="I576" s="13">
        <v>3600</v>
      </c>
      <c r="J576" s="14" t="s">
        <v>26</v>
      </c>
    </row>
    <row r="577" spans="1:10" x14ac:dyDescent="0.3">
      <c r="A577" s="12" t="s">
        <v>622</v>
      </c>
      <c r="B577" s="19">
        <v>42308</v>
      </c>
      <c r="C577" s="13" t="s">
        <v>11</v>
      </c>
      <c r="D577" s="13" t="s">
        <v>12</v>
      </c>
      <c r="E577" s="13" t="s">
        <v>21</v>
      </c>
      <c r="F577" s="13" t="s">
        <v>39</v>
      </c>
      <c r="G577" s="13">
        <v>25</v>
      </c>
      <c r="H577" s="13">
        <v>240</v>
      </c>
      <c r="I577" s="13">
        <v>6000</v>
      </c>
      <c r="J577" s="14" t="s">
        <v>26</v>
      </c>
    </row>
    <row r="578" spans="1:10" x14ac:dyDescent="0.3">
      <c r="A578" s="12" t="s">
        <v>623</v>
      </c>
      <c r="B578" s="19">
        <v>42308</v>
      </c>
      <c r="C578" s="13" t="s">
        <v>20</v>
      </c>
      <c r="D578" s="13" t="s">
        <v>12</v>
      </c>
      <c r="E578" s="13" t="s">
        <v>13</v>
      </c>
      <c r="F578" s="13" t="s">
        <v>14</v>
      </c>
      <c r="G578" s="13">
        <v>25.89</v>
      </c>
      <c r="H578" s="13">
        <v>90</v>
      </c>
      <c r="I578" s="13">
        <v>2330.1</v>
      </c>
      <c r="J578" s="14" t="s">
        <v>26</v>
      </c>
    </row>
    <row r="579" spans="1:10" x14ac:dyDescent="0.3">
      <c r="A579" s="12" t="s">
        <v>624</v>
      </c>
      <c r="B579" s="19">
        <v>42321</v>
      </c>
      <c r="C579" s="13" t="s">
        <v>31</v>
      </c>
      <c r="D579" s="13" t="s">
        <v>45</v>
      </c>
      <c r="E579" s="13" t="s">
        <v>17</v>
      </c>
      <c r="F579" s="13" t="s">
        <v>134</v>
      </c>
      <c r="G579" s="13">
        <v>18</v>
      </c>
      <c r="H579" s="13">
        <v>60</v>
      </c>
      <c r="I579" s="13">
        <v>1080</v>
      </c>
      <c r="J579" s="14" t="s">
        <v>26</v>
      </c>
    </row>
    <row r="580" spans="1:10" x14ac:dyDescent="0.3">
      <c r="A580" s="12" t="s">
        <v>625</v>
      </c>
      <c r="B580" s="19">
        <v>42321</v>
      </c>
      <c r="C580" s="13" t="s">
        <v>11</v>
      </c>
      <c r="D580" s="13" t="s">
        <v>45</v>
      </c>
      <c r="E580" s="13" t="s">
        <v>34</v>
      </c>
      <c r="F580" s="13" t="s">
        <v>64</v>
      </c>
      <c r="G580" s="13">
        <v>38</v>
      </c>
      <c r="H580" s="13">
        <v>30</v>
      </c>
      <c r="I580" s="13">
        <v>1140</v>
      </c>
      <c r="J580" s="14" t="s">
        <v>26</v>
      </c>
    </row>
    <row r="581" spans="1:10" x14ac:dyDescent="0.3">
      <c r="A581" s="12" t="s">
        <v>626</v>
      </c>
      <c r="B581" s="19">
        <v>42321</v>
      </c>
      <c r="C581" s="13" t="s">
        <v>28</v>
      </c>
      <c r="D581" s="13" t="s">
        <v>45</v>
      </c>
      <c r="E581" s="13" t="s">
        <v>13</v>
      </c>
      <c r="F581" s="13" t="s">
        <v>66</v>
      </c>
      <c r="G581" s="13">
        <v>55</v>
      </c>
      <c r="H581" s="13">
        <v>36</v>
      </c>
      <c r="I581" s="13">
        <v>1980</v>
      </c>
      <c r="J581" s="14" t="s">
        <v>26</v>
      </c>
    </row>
    <row r="582" spans="1:10" x14ac:dyDescent="0.3">
      <c r="A582" s="12" t="s">
        <v>627</v>
      </c>
      <c r="B582" s="19">
        <v>42325</v>
      </c>
      <c r="C582" s="13" t="s">
        <v>28</v>
      </c>
      <c r="D582" s="13" t="s">
        <v>45</v>
      </c>
      <c r="E582" s="13" t="s">
        <v>17</v>
      </c>
      <c r="F582" s="13" t="s">
        <v>79</v>
      </c>
      <c r="G582" s="13">
        <v>18</v>
      </c>
      <c r="H582" s="13">
        <v>32</v>
      </c>
      <c r="I582" s="13">
        <v>576</v>
      </c>
      <c r="J582" s="14" t="s">
        <v>26</v>
      </c>
    </row>
    <row r="583" spans="1:10" x14ac:dyDescent="0.3">
      <c r="A583" s="12" t="s">
        <v>628</v>
      </c>
      <c r="B583" s="19">
        <v>42325</v>
      </c>
      <c r="C583" s="13" t="s">
        <v>11</v>
      </c>
      <c r="D583" s="13" t="s">
        <v>45</v>
      </c>
      <c r="E583" s="13" t="s">
        <v>13</v>
      </c>
      <c r="F583" s="13" t="s">
        <v>186</v>
      </c>
      <c r="G583" s="13">
        <v>36</v>
      </c>
      <c r="H583" s="13">
        <v>15</v>
      </c>
      <c r="I583" s="13">
        <v>540</v>
      </c>
      <c r="J583" s="14" t="s">
        <v>26</v>
      </c>
    </row>
    <row r="584" spans="1:10" x14ac:dyDescent="0.3">
      <c r="A584" s="12" t="s">
        <v>629</v>
      </c>
      <c r="B584" s="19">
        <v>42339</v>
      </c>
      <c r="C584" s="13" t="s">
        <v>28</v>
      </c>
      <c r="D584" s="13" t="s">
        <v>45</v>
      </c>
      <c r="E584" s="13" t="s">
        <v>13</v>
      </c>
      <c r="F584" s="13" t="s">
        <v>14</v>
      </c>
      <c r="G584" s="13">
        <v>21</v>
      </c>
      <c r="H584" s="13">
        <v>16</v>
      </c>
      <c r="I584" s="13">
        <v>336</v>
      </c>
      <c r="J584" s="14" t="s">
        <v>26</v>
      </c>
    </row>
    <row r="585" spans="1:10" x14ac:dyDescent="0.3">
      <c r="A585" s="12" t="s">
        <v>630</v>
      </c>
      <c r="B585" s="19">
        <v>42339</v>
      </c>
      <c r="C585" s="13" t="s">
        <v>11</v>
      </c>
      <c r="D585" s="13" t="s">
        <v>45</v>
      </c>
      <c r="E585" s="13" t="s">
        <v>13</v>
      </c>
      <c r="F585" s="13" t="s">
        <v>99</v>
      </c>
      <c r="G585" s="13">
        <v>12.5</v>
      </c>
      <c r="H585" s="13">
        <v>150</v>
      </c>
      <c r="I585" s="13">
        <v>1875</v>
      </c>
      <c r="J585" s="14" t="s">
        <v>26</v>
      </c>
    </row>
    <row r="586" spans="1:10" x14ac:dyDescent="0.3">
      <c r="A586" s="12" t="s">
        <v>631</v>
      </c>
      <c r="B586" s="19">
        <v>42339</v>
      </c>
      <c r="C586" s="13" t="s">
        <v>28</v>
      </c>
      <c r="D586" s="13" t="s">
        <v>45</v>
      </c>
      <c r="E586" s="13" t="s">
        <v>13</v>
      </c>
      <c r="F586" s="13" t="s">
        <v>124</v>
      </c>
      <c r="G586" s="13">
        <v>21.5</v>
      </c>
      <c r="H586" s="13">
        <v>108</v>
      </c>
      <c r="I586" s="13">
        <v>2322</v>
      </c>
      <c r="J586" s="14" t="s">
        <v>26</v>
      </c>
    </row>
    <row r="587" spans="1:10" x14ac:dyDescent="0.3">
      <c r="A587" s="12" t="s">
        <v>632</v>
      </c>
      <c r="B587" s="19">
        <v>42340</v>
      </c>
      <c r="C587" s="13" t="s">
        <v>20</v>
      </c>
      <c r="D587" s="13" t="s">
        <v>12</v>
      </c>
      <c r="E587" s="13" t="s">
        <v>13</v>
      </c>
      <c r="F587" s="13" t="s">
        <v>14</v>
      </c>
      <c r="G587" s="13">
        <v>21</v>
      </c>
      <c r="H587" s="13">
        <v>45</v>
      </c>
      <c r="I587" s="13">
        <v>945</v>
      </c>
      <c r="J587" s="14" t="s">
        <v>26</v>
      </c>
    </row>
    <row r="588" spans="1:10" x14ac:dyDescent="0.3">
      <c r="A588" s="12" t="s">
        <v>633</v>
      </c>
      <c r="B588" s="19">
        <v>42346</v>
      </c>
      <c r="C588" s="13" t="s">
        <v>20</v>
      </c>
      <c r="D588" s="13" t="s">
        <v>12</v>
      </c>
      <c r="E588" s="13" t="s">
        <v>51</v>
      </c>
      <c r="F588" s="13" t="s">
        <v>81</v>
      </c>
      <c r="G588" s="13">
        <v>14</v>
      </c>
      <c r="H588" s="13">
        <v>100</v>
      </c>
      <c r="I588" s="13">
        <v>1400</v>
      </c>
      <c r="J588" s="14" t="s">
        <v>26</v>
      </c>
    </row>
    <row r="589" spans="1:10" x14ac:dyDescent="0.3">
      <c r="A589" s="12" t="s">
        <v>634</v>
      </c>
      <c r="B589" s="19">
        <v>42348</v>
      </c>
      <c r="C589" s="13" t="s">
        <v>31</v>
      </c>
      <c r="D589" s="13" t="s">
        <v>24</v>
      </c>
      <c r="E589" s="13" t="s">
        <v>13</v>
      </c>
      <c r="F589" s="13" t="s">
        <v>99</v>
      </c>
      <c r="G589" s="13">
        <v>12.5</v>
      </c>
      <c r="H589" s="13">
        <v>4</v>
      </c>
      <c r="I589" s="13">
        <v>50</v>
      </c>
      <c r="J589" s="14" t="s">
        <v>26</v>
      </c>
    </row>
    <row r="590" spans="1:10" x14ac:dyDescent="0.3">
      <c r="A590" s="12" t="s">
        <v>635</v>
      </c>
      <c r="B590" s="19">
        <v>42349</v>
      </c>
      <c r="C590" s="13" t="s">
        <v>11</v>
      </c>
      <c r="D590" s="13" t="s">
        <v>12</v>
      </c>
      <c r="E590" s="13" t="s">
        <v>17</v>
      </c>
      <c r="F590" s="13" t="s">
        <v>32</v>
      </c>
      <c r="G590" s="13">
        <v>263.5</v>
      </c>
      <c r="H590" s="13">
        <v>50</v>
      </c>
      <c r="I590" s="13">
        <v>13175</v>
      </c>
      <c r="J590" s="14" t="s">
        <v>26</v>
      </c>
    </row>
    <row r="591" spans="1:10" x14ac:dyDescent="0.3">
      <c r="A591" s="12" t="s">
        <v>636</v>
      </c>
      <c r="B591" s="19">
        <v>42349</v>
      </c>
      <c r="C591" s="13" t="s">
        <v>11</v>
      </c>
      <c r="D591" s="13" t="s">
        <v>12</v>
      </c>
      <c r="E591" s="13" t="s">
        <v>13</v>
      </c>
      <c r="F591" s="13" t="s">
        <v>99</v>
      </c>
      <c r="G591" s="13">
        <v>12.5</v>
      </c>
      <c r="H591" s="13">
        <v>80</v>
      </c>
      <c r="I591" s="13">
        <v>1000</v>
      </c>
      <c r="J591" s="14" t="s">
        <v>26</v>
      </c>
    </row>
    <row r="592" spans="1:10" x14ac:dyDescent="0.3">
      <c r="A592" s="12" t="s">
        <v>474</v>
      </c>
      <c r="B592" s="19">
        <v>42350</v>
      </c>
      <c r="C592" s="13" t="s">
        <v>20</v>
      </c>
      <c r="D592" s="13" t="s">
        <v>12</v>
      </c>
      <c r="E592" s="13" t="s">
        <v>21</v>
      </c>
      <c r="F592" s="13" t="s">
        <v>47</v>
      </c>
      <c r="G592" s="13">
        <v>40</v>
      </c>
      <c r="H592" s="13">
        <v>180</v>
      </c>
      <c r="I592" s="13">
        <v>7200</v>
      </c>
      <c r="J592" s="14" t="s">
        <v>15</v>
      </c>
    </row>
    <row r="593" spans="1:10" x14ac:dyDescent="0.3">
      <c r="A593" s="12" t="s">
        <v>637</v>
      </c>
      <c r="B593" s="19">
        <v>42350</v>
      </c>
      <c r="C593" s="13" t="s">
        <v>28</v>
      </c>
      <c r="D593" s="13" t="s">
        <v>12</v>
      </c>
      <c r="E593" s="13" t="s">
        <v>21</v>
      </c>
      <c r="F593" s="13" t="s">
        <v>22</v>
      </c>
      <c r="G593" s="13">
        <v>25.89</v>
      </c>
      <c r="H593" s="13">
        <v>120</v>
      </c>
      <c r="I593" s="13">
        <v>3106.8</v>
      </c>
      <c r="J593" s="14" t="s">
        <v>15</v>
      </c>
    </row>
    <row r="594" spans="1:10" x14ac:dyDescent="0.3">
      <c r="A594" s="12" t="s">
        <v>638</v>
      </c>
      <c r="B594" s="19">
        <v>42353</v>
      </c>
      <c r="C594" s="13" t="s">
        <v>31</v>
      </c>
      <c r="D594" s="13" t="s">
        <v>12</v>
      </c>
      <c r="E594" s="13" t="s">
        <v>17</v>
      </c>
      <c r="F594" s="13" t="s">
        <v>54</v>
      </c>
      <c r="G594" s="13">
        <v>30</v>
      </c>
      <c r="H594" s="13">
        <v>18</v>
      </c>
      <c r="I594" s="13">
        <v>540</v>
      </c>
      <c r="J594" s="14" t="s">
        <v>15</v>
      </c>
    </row>
    <row r="595" spans="1:10" x14ac:dyDescent="0.3">
      <c r="A595" s="12" t="s">
        <v>639</v>
      </c>
      <c r="B595" s="19">
        <v>42353</v>
      </c>
      <c r="C595" s="13" t="s">
        <v>20</v>
      </c>
      <c r="D595" s="13" t="s">
        <v>12</v>
      </c>
      <c r="E595" s="13" t="s">
        <v>21</v>
      </c>
      <c r="F595" s="13" t="s">
        <v>22</v>
      </c>
      <c r="G595" s="13">
        <v>38</v>
      </c>
      <c r="H595" s="13">
        <v>180</v>
      </c>
      <c r="I595" s="13">
        <v>6840</v>
      </c>
      <c r="J595" s="14" t="s">
        <v>15</v>
      </c>
    </row>
    <row r="596" spans="1:10" x14ac:dyDescent="0.3">
      <c r="A596" s="12" t="s">
        <v>640</v>
      </c>
      <c r="B596" s="19">
        <v>42355</v>
      </c>
      <c r="C596" s="13" t="s">
        <v>11</v>
      </c>
      <c r="D596" s="13" t="s">
        <v>12</v>
      </c>
      <c r="E596" s="13" t="s">
        <v>51</v>
      </c>
      <c r="F596" s="13" t="s">
        <v>268</v>
      </c>
      <c r="G596" s="13">
        <v>7.45</v>
      </c>
      <c r="H596" s="13">
        <v>24</v>
      </c>
      <c r="I596" s="13">
        <v>178.8</v>
      </c>
      <c r="J596" s="14" t="s">
        <v>15</v>
      </c>
    </row>
    <row r="597" spans="1:10" x14ac:dyDescent="0.3">
      <c r="A597" s="12" t="s">
        <v>479</v>
      </c>
      <c r="B597" s="19">
        <v>42355</v>
      </c>
      <c r="C597" s="13" t="s">
        <v>11</v>
      </c>
      <c r="D597" s="13" t="s">
        <v>12</v>
      </c>
      <c r="E597" s="13" t="s">
        <v>51</v>
      </c>
      <c r="F597" s="13" t="s">
        <v>81</v>
      </c>
      <c r="G597" s="13">
        <v>23.25</v>
      </c>
      <c r="H597" s="13">
        <v>15</v>
      </c>
      <c r="I597" s="13">
        <v>348.75</v>
      </c>
      <c r="J597" s="14" t="s">
        <v>15</v>
      </c>
    </row>
    <row r="598" spans="1:10" x14ac:dyDescent="0.3">
      <c r="A598" s="12" t="s">
        <v>641</v>
      </c>
      <c r="B598" s="19">
        <v>42355</v>
      </c>
      <c r="C598" s="13" t="s">
        <v>28</v>
      </c>
      <c r="D598" s="13" t="s">
        <v>45</v>
      </c>
      <c r="E598" s="13" t="s">
        <v>17</v>
      </c>
      <c r="F598" s="13" t="s">
        <v>54</v>
      </c>
      <c r="G598" s="13">
        <v>7</v>
      </c>
      <c r="H598" s="13">
        <v>56</v>
      </c>
      <c r="I598" s="13">
        <v>392</v>
      </c>
      <c r="J598" s="14" t="s">
        <v>26</v>
      </c>
    </row>
    <row r="599" spans="1:10" x14ac:dyDescent="0.3">
      <c r="A599" s="12" t="s">
        <v>642</v>
      </c>
      <c r="B599" s="19">
        <v>42355</v>
      </c>
      <c r="C599" s="13" t="s">
        <v>28</v>
      </c>
      <c r="D599" s="13" t="s">
        <v>45</v>
      </c>
      <c r="E599" s="13" t="s">
        <v>51</v>
      </c>
      <c r="F599" s="13" t="s">
        <v>81</v>
      </c>
      <c r="G599" s="13">
        <v>9.65</v>
      </c>
      <c r="H599" s="13">
        <v>98</v>
      </c>
      <c r="I599" s="13">
        <v>945.7</v>
      </c>
      <c r="J599" s="14" t="s">
        <v>26</v>
      </c>
    </row>
    <row r="600" spans="1:10" x14ac:dyDescent="0.3">
      <c r="A600" s="12" t="s">
        <v>482</v>
      </c>
      <c r="B600" s="19">
        <v>42357</v>
      </c>
      <c r="C600" s="13" t="s">
        <v>31</v>
      </c>
      <c r="D600" s="13" t="s">
        <v>45</v>
      </c>
      <c r="E600" s="13" t="s">
        <v>13</v>
      </c>
      <c r="F600" s="13" t="s">
        <v>56</v>
      </c>
      <c r="G600" s="13">
        <v>34.799999999999997</v>
      </c>
      <c r="H600" s="13">
        <v>10</v>
      </c>
      <c r="I600" s="13">
        <v>348</v>
      </c>
      <c r="J600" s="14" t="s">
        <v>15</v>
      </c>
    </row>
    <row r="601" spans="1:10" x14ac:dyDescent="0.3">
      <c r="A601" s="12" t="s">
        <v>483</v>
      </c>
      <c r="B601" s="19">
        <v>42357</v>
      </c>
      <c r="C601" s="13" t="s">
        <v>28</v>
      </c>
      <c r="D601" s="13" t="s">
        <v>45</v>
      </c>
      <c r="E601" s="13" t="s">
        <v>34</v>
      </c>
      <c r="F601" s="13" t="s">
        <v>90</v>
      </c>
      <c r="G601" s="13">
        <v>49.3</v>
      </c>
      <c r="H601" s="13">
        <v>2</v>
      </c>
      <c r="I601" s="13">
        <v>98.6</v>
      </c>
      <c r="J601" s="14" t="s">
        <v>15</v>
      </c>
    </row>
    <row r="602" spans="1:10" x14ac:dyDescent="0.3">
      <c r="A602" s="12" t="s">
        <v>643</v>
      </c>
      <c r="B602" s="19">
        <v>42357</v>
      </c>
      <c r="C602" s="13" t="s">
        <v>28</v>
      </c>
      <c r="D602" s="13" t="s">
        <v>45</v>
      </c>
      <c r="E602" s="13" t="s">
        <v>51</v>
      </c>
      <c r="F602" s="13" t="s">
        <v>268</v>
      </c>
      <c r="G602" s="13">
        <v>7.45</v>
      </c>
      <c r="H602" s="13">
        <v>56</v>
      </c>
      <c r="I602" s="13">
        <v>417.2</v>
      </c>
      <c r="J602" s="14" t="s">
        <v>26</v>
      </c>
    </row>
    <row r="603" spans="1:10" x14ac:dyDescent="0.3">
      <c r="A603" s="12" t="s">
        <v>644</v>
      </c>
      <c r="B603" s="19">
        <v>42357</v>
      </c>
      <c r="C603" s="13" t="s">
        <v>31</v>
      </c>
      <c r="D603" s="13" t="s">
        <v>45</v>
      </c>
      <c r="E603" s="13" t="s">
        <v>34</v>
      </c>
      <c r="F603" s="13" t="s">
        <v>64</v>
      </c>
      <c r="G603" s="13">
        <v>53</v>
      </c>
      <c r="H603" s="13">
        <v>40</v>
      </c>
      <c r="I603" s="13">
        <v>2120</v>
      </c>
      <c r="J603" s="14" t="s">
        <v>26</v>
      </c>
    </row>
    <row r="604" spans="1:10" x14ac:dyDescent="0.3">
      <c r="A604" s="12" t="s">
        <v>645</v>
      </c>
      <c r="B604" s="19">
        <v>42357</v>
      </c>
      <c r="C604" s="13" t="s">
        <v>20</v>
      </c>
      <c r="D604" s="13" t="s">
        <v>45</v>
      </c>
      <c r="E604" s="13" t="s">
        <v>13</v>
      </c>
      <c r="F604" s="13" t="s">
        <v>14</v>
      </c>
      <c r="G604" s="13">
        <v>21</v>
      </c>
      <c r="H604" s="13">
        <v>350</v>
      </c>
      <c r="I604" s="13">
        <v>7350</v>
      </c>
      <c r="J604" s="14" t="s">
        <v>26</v>
      </c>
    </row>
    <row r="605" spans="1:10" x14ac:dyDescent="0.3">
      <c r="A605" s="12" t="s">
        <v>646</v>
      </c>
      <c r="B605" s="19">
        <v>42360</v>
      </c>
      <c r="C605" s="13" t="s">
        <v>11</v>
      </c>
      <c r="D605" s="13" t="s">
        <v>85</v>
      </c>
      <c r="E605" s="13" t="s">
        <v>51</v>
      </c>
      <c r="F605" s="13" t="s">
        <v>118</v>
      </c>
      <c r="G605" s="13">
        <v>39</v>
      </c>
      <c r="H605" s="13">
        <v>120</v>
      </c>
      <c r="I605" s="13">
        <v>4680</v>
      </c>
      <c r="J605" s="14" t="s">
        <v>26</v>
      </c>
    </row>
    <row r="606" spans="1:10" x14ac:dyDescent="0.3">
      <c r="A606" s="12" t="s">
        <v>647</v>
      </c>
      <c r="B606" s="19">
        <v>42360</v>
      </c>
      <c r="C606" s="13" t="s">
        <v>11</v>
      </c>
      <c r="D606" s="13" t="s">
        <v>85</v>
      </c>
      <c r="E606" s="13" t="s">
        <v>51</v>
      </c>
      <c r="F606" s="13" t="s">
        <v>52</v>
      </c>
      <c r="G606" s="13">
        <v>123.79</v>
      </c>
      <c r="H606" s="13">
        <v>180</v>
      </c>
      <c r="I606" s="13">
        <v>22282.2</v>
      </c>
      <c r="J606" s="14" t="s">
        <v>26</v>
      </c>
    </row>
    <row r="607" spans="1:10" x14ac:dyDescent="0.3">
      <c r="A607" s="12" t="s">
        <v>648</v>
      </c>
      <c r="B607" s="19">
        <v>42361</v>
      </c>
      <c r="C607" s="13" t="s">
        <v>20</v>
      </c>
      <c r="D607" s="13" t="s">
        <v>12</v>
      </c>
      <c r="E607" s="13" t="s">
        <v>13</v>
      </c>
      <c r="F607" s="13" t="s">
        <v>66</v>
      </c>
      <c r="G607" s="13">
        <v>55</v>
      </c>
      <c r="H607" s="13">
        <v>135</v>
      </c>
      <c r="I607" s="13">
        <v>7425</v>
      </c>
      <c r="J607" s="14" t="s">
        <v>15</v>
      </c>
    </row>
    <row r="608" spans="1:10" x14ac:dyDescent="0.3">
      <c r="A608" s="12" t="s">
        <v>649</v>
      </c>
      <c r="B608" s="19">
        <v>42361</v>
      </c>
      <c r="C608" s="13" t="s">
        <v>11</v>
      </c>
      <c r="D608" s="13" t="s">
        <v>12</v>
      </c>
      <c r="E608" s="13" t="s">
        <v>34</v>
      </c>
      <c r="F608" s="13" t="s">
        <v>188</v>
      </c>
      <c r="G608" s="13">
        <v>9.1999999999999993</v>
      </c>
      <c r="H608" s="13">
        <v>216</v>
      </c>
      <c r="I608" s="13">
        <v>1987.1999999999998</v>
      </c>
      <c r="J608" s="14" t="s">
        <v>15</v>
      </c>
    </row>
    <row r="609" spans="1:10" x14ac:dyDescent="0.3">
      <c r="A609" s="12" t="s">
        <v>650</v>
      </c>
      <c r="B609" s="19">
        <v>42361</v>
      </c>
      <c r="C609" s="13" t="s">
        <v>20</v>
      </c>
      <c r="D609" s="13" t="s">
        <v>12</v>
      </c>
      <c r="E609" s="13" t="s">
        <v>34</v>
      </c>
      <c r="F609" s="13" t="s">
        <v>68</v>
      </c>
      <c r="G609" s="13">
        <v>14</v>
      </c>
      <c r="H609" s="13">
        <v>75</v>
      </c>
      <c r="I609" s="13">
        <v>1050</v>
      </c>
      <c r="J609" s="14" t="s">
        <v>15</v>
      </c>
    </row>
    <row r="610" spans="1:10" x14ac:dyDescent="0.3">
      <c r="A610" s="15" t="s">
        <v>651</v>
      </c>
      <c r="B610" s="20">
        <v>42361</v>
      </c>
      <c r="C610" s="16" t="s">
        <v>28</v>
      </c>
      <c r="D610" s="16" t="s">
        <v>45</v>
      </c>
      <c r="E610" s="16" t="s">
        <v>51</v>
      </c>
      <c r="F610" s="16" t="s">
        <v>81</v>
      </c>
      <c r="G610" s="16">
        <v>45.6</v>
      </c>
      <c r="H610" s="16">
        <v>120</v>
      </c>
      <c r="I610" s="16">
        <v>5472</v>
      </c>
      <c r="J610" s="17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4CE98-CF58-4F04-B0C2-4D7414D14A22}">
  <sheetPr codeName="Hoja5"/>
  <dimension ref="A1:AP19109"/>
  <sheetViews>
    <sheetView topLeftCell="S1" zoomScale="80" zoomScaleNormal="80" workbookViewId="0">
      <pane ySplit="1" topLeftCell="A2" activePane="bottomLeft" state="frozen"/>
      <selection pane="bottomLeft" activeCell="AO6" sqref="AO6"/>
    </sheetView>
  </sheetViews>
  <sheetFormatPr baseColWidth="10" defaultRowHeight="14.4" x14ac:dyDescent="0.3"/>
  <cols>
    <col min="3" max="3" width="11.44140625" style="33"/>
    <col min="4" max="4" width="15.6640625" customWidth="1"/>
    <col min="6" max="6" width="19.44140625" customWidth="1"/>
    <col min="8" max="8" width="11.88671875" bestFit="1" customWidth="1"/>
    <col min="16" max="16" width="13.109375" customWidth="1"/>
    <col min="18" max="18" width="14.109375" customWidth="1"/>
    <col min="19" max="19" width="42" customWidth="1"/>
    <col min="26" max="26" width="15.5546875" customWidth="1"/>
    <col min="28" max="28" width="14.109375" customWidth="1"/>
    <col min="29" max="29" width="33.5546875" customWidth="1"/>
    <col min="41" max="41" width="15.6640625" customWidth="1"/>
  </cols>
  <sheetData>
    <row r="1" spans="1:42" ht="42.75" customHeight="1" x14ac:dyDescent="0.3">
      <c r="A1" s="22" t="s">
        <v>0</v>
      </c>
      <c r="B1" s="23" t="s">
        <v>1</v>
      </c>
      <c r="C1" s="52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5" t="s">
        <v>9</v>
      </c>
    </row>
    <row r="2" spans="1:42" x14ac:dyDescent="0.3">
      <c r="A2" s="12" t="s">
        <v>10</v>
      </c>
      <c r="B2" s="19">
        <v>42011</v>
      </c>
      <c r="C2" s="46" t="s">
        <v>11</v>
      </c>
      <c r="D2" s="13" t="s">
        <v>12</v>
      </c>
      <c r="E2" s="13" t="s">
        <v>13</v>
      </c>
      <c r="F2" s="13" t="s">
        <v>14</v>
      </c>
      <c r="G2" s="13">
        <v>7</v>
      </c>
      <c r="H2" s="13">
        <v>20</v>
      </c>
      <c r="I2" s="13">
        <v>140</v>
      </c>
      <c r="J2" s="14" t="s">
        <v>15</v>
      </c>
    </row>
    <row r="3" spans="1:42" x14ac:dyDescent="0.3">
      <c r="A3" s="12" t="s">
        <v>16</v>
      </c>
      <c r="B3" s="19">
        <v>42015</v>
      </c>
      <c r="C3" s="46" t="s">
        <v>11</v>
      </c>
      <c r="D3" s="13" t="s">
        <v>12</v>
      </c>
      <c r="E3" s="13" t="s">
        <v>17</v>
      </c>
      <c r="F3" s="13" t="s">
        <v>18</v>
      </c>
      <c r="G3" s="13">
        <v>19</v>
      </c>
      <c r="H3" s="13">
        <v>12</v>
      </c>
      <c r="I3" s="13">
        <v>228</v>
      </c>
      <c r="J3" s="14" t="s">
        <v>15</v>
      </c>
    </row>
    <row r="4" spans="1:42" x14ac:dyDescent="0.3">
      <c r="A4" s="12" t="s">
        <v>19</v>
      </c>
      <c r="B4" s="19">
        <v>42015</v>
      </c>
      <c r="C4" s="46" t="s">
        <v>20</v>
      </c>
      <c r="D4" s="13" t="s">
        <v>12</v>
      </c>
      <c r="E4" s="13" t="s">
        <v>21</v>
      </c>
      <c r="F4" s="13" t="s">
        <v>22</v>
      </c>
      <c r="G4" s="13">
        <v>12</v>
      </c>
      <c r="H4" s="13">
        <v>35</v>
      </c>
      <c r="I4" s="13">
        <v>420</v>
      </c>
      <c r="J4" s="14" t="s">
        <v>15</v>
      </c>
    </row>
    <row r="5" spans="1:42" x14ac:dyDescent="0.3">
      <c r="A5" s="12" t="s">
        <v>23</v>
      </c>
      <c r="B5" s="19">
        <v>42017</v>
      </c>
      <c r="C5" s="46" t="s">
        <v>20</v>
      </c>
      <c r="D5" s="13" t="s">
        <v>24</v>
      </c>
      <c r="E5" s="13" t="s">
        <v>17</v>
      </c>
      <c r="F5" s="13" t="s">
        <v>25</v>
      </c>
      <c r="G5" s="13">
        <v>7.75</v>
      </c>
      <c r="H5" s="13">
        <v>20</v>
      </c>
      <c r="I5" s="13">
        <v>155</v>
      </c>
      <c r="J5" s="14" t="s">
        <v>26</v>
      </c>
      <c r="P5" s="86" t="s">
        <v>1</v>
      </c>
      <c r="R5" s="86" t="s">
        <v>1</v>
      </c>
      <c r="S5" s="86" t="s">
        <v>5</v>
      </c>
      <c r="Z5" s="86" t="s">
        <v>1</v>
      </c>
      <c r="AB5" s="86" t="s">
        <v>1</v>
      </c>
      <c r="AC5" s="86" t="s">
        <v>5</v>
      </c>
      <c r="AK5" s="86" t="s">
        <v>732</v>
      </c>
      <c r="AL5" s="86" t="s">
        <v>733</v>
      </c>
      <c r="AM5" s="86" t="s">
        <v>656</v>
      </c>
      <c r="AO5" s="86" t="s">
        <v>1</v>
      </c>
      <c r="AP5" s="86" t="s">
        <v>2</v>
      </c>
    </row>
    <row r="6" spans="1:42" x14ac:dyDescent="0.3">
      <c r="A6" s="12" t="s">
        <v>27</v>
      </c>
      <c r="B6" s="19">
        <v>42017</v>
      </c>
      <c r="C6" s="46" t="s">
        <v>28</v>
      </c>
      <c r="D6" s="13" t="s">
        <v>24</v>
      </c>
      <c r="E6" s="13" t="s">
        <v>17</v>
      </c>
      <c r="F6" s="13" t="s">
        <v>29</v>
      </c>
      <c r="G6" s="13">
        <v>46</v>
      </c>
      <c r="H6" s="13">
        <v>7</v>
      </c>
      <c r="I6" s="13">
        <v>322</v>
      </c>
      <c r="J6" s="14" t="s">
        <v>26</v>
      </c>
      <c r="P6" t="s">
        <v>755</v>
      </c>
      <c r="R6" s="19">
        <v>42340</v>
      </c>
      <c r="S6" s="13" t="s">
        <v>32</v>
      </c>
      <c r="Z6" t="s">
        <v>756</v>
      </c>
      <c r="AB6" s="19">
        <v>42011</v>
      </c>
      <c r="AC6" s="13" t="s">
        <v>14</v>
      </c>
      <c r="AK6">
        <v>4</v>
      </c>
      <c r="AL6">
        <v>2015</v>
      </c>
      <c r="AM6" t="b">
        <f>AND(MONTH(B2)=$AK$6,YEAR(B2)=$AL$6)</f>
        <v>0</v>
      </c>
      <c r="AO6" s="19">
        <v>42096</v>
      </c>
      <c r="AP6" s="46" t="s">
        <v>28</v>
      </c>
    </row>
    <row r="7" spans="1:42" x14ac:dyDescent="0.3">
      <c r="A7" s="12" t="s">
        <v>30</v>
      </c>
      <c r="B7" s="19">
        <v>42023</v>
      </c>
      <c r="C7" s="46" t="s">
        <v>31</v>
      </c>
      <c r="D7" s="13" t="s">
        <v>24</v>
      </c>
      <c r="E7" s="13" t="s">
        <v>17</v>
      </c>
      <c r="F7" s="13" t="s">
        <v>32</v>
      </c>
      <c r="G7" s="13">
        <v>263.5</v>
      </c>
      <c r="H7" s="13">
        <v>2</v>
      </c>
      <c r="I7" s="13">
        <v>527</v>
      </c>
      <c r="J7" s="14" t="s">
        <v>15</v>
      </c>
      <c r="R7" s="19">
        <v>42340</v>
      </c>
      <c r="S7" s="13" t="s">
        <v>41</v>
      </c>
      <c r="AB7" s="19">
        <v>42015</v>
      </c>
      <c r="AC7" s="13" t="s">
        <v>18</v>
      </c>
      <c r="AO7" s="19">
        <v>42099</v>
      </c>
      <c r="AP7" s="46" t="s">
        <v>28</v>
      </c>
    </row>
    <row r="8" spans="1:42" x14ac:dyDescent="0.3">
      <c r="A8" s="12" t="s">
        <v>33</v>
      </c>
      <c r="B8" s="19">
        <v>42023</v>
      </c>
      <c r="C8" s="46" t="s">
        <v>20</v>
      </c>
      <c r="D8" s="13" t="s">
        <v>24</v>
      </c>
      <c r="E8" s="13" t="s">
        <v>34</v>
      </c>
      <c r="F8" s="13" t="s">
        <v>35</v>
      </c>
      <c r="G8" s="13">
        <v>81</v>
      </c>
      <c r="H8" s="13">
        <v>5</v>
      </c>
      <c r="I8" s="13">
        <v>405</v>
      </c>
      <c r="J8" s="14" t="s">
        <v>15</v>
      </c>
      <c r="R8" s="19">
        <v>42340</v>
      </c>
      <c r="S8" s="13" t="s">
        <v>56</v>
      </c>
      <c r="AB8" s="19">
        <v>42015</v>
      </c>
      <c r="AC8" s="13" t="s">
        <v>22</v>
      </c>
      <c r="AO8" s="19">
        <v>42099</v>
      </c>
      <c r="AP8" s="46" t="s">
        <v>20</v>
      </c>
    </row>
    <row r="9" spans="1:42" x14ac:dyDescent="0.3">
      <c r="A9" s="12" t="s">
        <v>36</v>
      </c>
      <c r="B9" s="19">
        <v>42023</v>
      </c>
      <c r="C9" s="46" t="s">
        <v>20</v>
      </c>
      <c r="D9" s="13" t="s">
        <v>12</v>
      </c>
      <c r="E9" s="13" t="s">
        <v>17</v>
      </c>
      <c r="F9" s="13" t="s">
        <v>37</v>
      </c>
      <c r="G9" s="13">
        <v>18</v>
      </c>
      <c r="H9" s="13">
        <v>28</v>
      </c>
      <c r="I9" s="13">
        <v>504</v>
      </c>
      <c r="J9" s="14" t="s">
        <v>26</v>
      </c>
      <c r="R9" s="19">
        <v>42340</v>
      </c>
      <c r="S9" s="13" t="s">
        <v>35</v>
      </c>
      <c r="AB9" s="19">
        <v>42017</v>
      </c>
      <c r="AC9" s="13" t="s">
        <v>25</v>
      </c>
      <c r="AO9" s="19">
        <v>42099</v>
      </c>
      <c r="AP9" s="46" t="s">
        <v>11</v>
      </c>
    </row>
    <row r="10" spans="1:42" x14ac:dyDescent="0.3">
      <c r="A10" s="12" t="s">
        <v>38</v>
      </c>
      <c r="B10" s="19">
        <v>42023</v>
      </c>
      <c r="C10" s="46" t="s">
        <v>11</v>
      </c>
      <c r="D10" s="13" t="s">
        <v>12</v>
      </c>
      <c r="E10" s="13" t="s">
        <v>21</v>
      </c>
      <c r="F10" s="13" t="s">
        <v>39</v>
      </c>
      <c r="G10" s="13">
        <v>25</v>
      </c>
      <c r="H10" s="13">
        <v>6</v>
      </c>
      <c r="I10" s="13">
        <v>150</v>
      </c>
      <c r="J10" s="14" t="s">
        <v>26</v>
      </c>
      <c r="R10" s="19">
        <v>42345</v>
      </c>
      <c r="S10" s="13" t="s">
        <v>37</v>
      </c>
      <c r="AB10" s="19">
        <v>42017</v>
      </c>
      <c r="AC10" s="13" t="s">
        <v>29</v>
      </c>
      <c r="AO10" s="19">
        <v>42099</v>
      </c>
      <c r="AP10" s="46" t="s">
        <v>20</v>
      </c>
    </row>
    <row r="11" spans="1:42" x14ac:dyDescent="0.3">
      <c r="A11" s="12" t="s">
        <v>40</v>
      </c>
      <c r="B11" s="19">
        <v>42023</v>
      </c>
      <c r="C11" s="46" t="s">
        <v>20</v>
      </c>
      <c r="D11" s="13" t="s">
        <v>12</v>
      </c>
      <c r="E11" s="13" t="s">
        <v>13</v>
      </c>
      <c r="F11" s="13" t="s">
        <v>41</v>
      </c>
      <c r="G11" s="13">
        <v>34</v>
      </c>
      <c r="H11" s="13">
        <v>30</v>
      </c>
      <c r="I11" s="13">
        <v>1020</v>
      </c>
      <c r="J11" s="14" t="s">
        <v>26</v>
      </c>
      <c r="R11" s="19">
        <v>42345</v>
      </c>
      <c r="S11" s="13" t="s">
        <v>54</v>
      </c>
      <c r="AB11" s="19">
        <v>42023</v>
      </c>
      <c r="AC11" s="13" t="s">
        <v>32</v>
      </c>
      <c r="AO11" s="19">
        <v>42100</v>
      </c>
      <c r="AP11" s="46" t="s">
        <v>28</v>
      </c>
    </row>
    <row r="12" spans="1:42" x14ac:dyDescent="0.3">
      <c r="A12" s="12" t="s">
        <v>42</v>
      </c>
      <c r="B12" s="19">
        <v>42023</v>
      </c>
      <c r="C12" s="46" t="s">
        <v>31</v>
      </c>
      <c r="D12" s="13" t="s">
        <v>12</v>
      </c>
      <c r="E12" s="13" t="s">
        <v>34</v>
      </c>
      <c r="F12" s="13" t="s">
        <v>43</v>
      </c>
      <c r="G12" s="13">
        <v>12.5</v>
      </c>
      <c r="H12" s="13">
        <v>24</v>
      </c>
      <c r="I12" s="13">
        <v>300</v>
      </c>
      <c r="J12" s="14" t="s">
        <v>26</v>
      </c>
      <c r="R12" s="19">
        <v>42347</v>
      </c>
      <c r="S12" s="13" t="s">
        <v>87</v>
      </c>
      <c r="AB12" s="19">
        <v>42023</v>
      </c>
      <c r="AC12" s="13" t="s">
        <v>35</v>
      </c>
      <c r="AO12" s="19">
        <v>42100</v>
      </c>
      <c r="AP12" s="46" t="s">
        <v>11</v>
      </c>
    </row>
    <row r="13" spans="1:42" x14ac:dyDescent="0.3">
      <c r="A13" s="12" t="s">
        <v>44</v>
      </c>
      <c r="B13" s="19">
        <v>42023</v>
      </c>
      <c r="C13" s="46" t="s">
        <v>31</v>
      </c>
      <c r="D13" s="13" t="s">
        <v>45</v>
      </c>
      <c r="E13" s="13" t="s">
        <v>17</v>
      </c>
      <c r="F13" s="13" t="s">
        <v>18</v>
      </c>
      <c r="G13" s="13">
        <v>19</v>
      </c>
      <c r="H13" s="13">
        <v>10</v>
      </c>
      <c r="I13" s="13">
        <v>190</v>
      </c>
      <c r="J13" s="14" t="s">
        <v>15</v>
      </c>
      <c r="R13" s="19">
        <v>42347</v>
      </c>
      <c r="S13" s="13" t="s">
        <v>299</v>
      </c>
      <c r="AB13" s="19">
        <v>42023</v>
      </c>
      <c r="AC13" s="13" t="s">
        <v>37</v>
      </c>
      <c r="AO13" s="19">
        <v>42100</v>
      </c>
      <c r="AP13" s="46" t="s">
        <v>11</v>
      </c>
    </row>
    <row r="14" spans="1:42" x14ac:dyDescent="0.3">
      <c r="A14" s="12" t="s">
        <v>46</v>
      </c>
      <c r="B14" s="19">
        <v>42023</v>
      </c>
      <c r="C14" s="46" t="s">
        <v>11</v>
      </c>
      <c r="D14" s="13" t="s">
        <v>45</v>
      </c>
      <c r="E14" s="13" t="s">
        <v>21</v>
      </c>
      <c r="F14" s="13" t="s">
        <v>47</v>
      </c>
      <c r="G14" s="13">
        <v>40</v>
      </c>
      <c r="H14" s="13">
        <v>20</v>
      </c>
      <c r="I14" s="13">
        <v>800</v>
      </c>
      <c r="J14" s="14" t="s">
        <v>15</v>
      </c>
      <c r="R14" s="19">
        <v>42347</v>
      </c>
      <c r="S14" s="13" t="s">
        <v>64</v>
      </c>
      <c r="AB14" s="19">
        <v>42023</v>
      </c>
      <c r="AC14" s="13" t="s">
        <v>39</v>
      </c>
      <c r="AO14" s="19">
        <v>42100</v>
      </c>
      <c r="AP14" s="46" t="s">
        <v>11</v>
      </c>
    </row>
    <row r="15" spans="1:42" x14ac:dyDescent="0.3">
      <c r="A15" s="12" t="s">
        <v>48</v>
      </c>
      <c r="B15" s="19">
        <v>42023</v>
      </c>
      <c r="C15" s="46" t="s">
        <v>11</v>
      </c>
      <c r="D15" s="13" t="s">
        <v>45</v>
      </c>
      <c r="E15" s="13" t="s">
        <v>13</v>
      </c>
      <c r="F15" s="13" t="s">
        <v>41</v>
      </c>
      <c r="G15" s="13">
        <v>34</v>
      </c>
      <c r="H15" s="13">
        <v>21</v>
      </c>
      <c r="I15" s="13">
        <v>714</v>
      </c>
      <c r="J15" s="14" t="s">
        <v>15</v>
      </c>
      <c r="R15" s="19">
        <v>42352</v>
      </c>
      <c r="S15" s="13" t="s">
        <v>81</v>
      </c>
      <c r="AB15" s="19">
        <v>42023</v>
      </c>
      <c r="AC15" s="13" t="s">
        <v>41</v>
      </c>
      <c r="AO15" s="19">
        <v>42100</v>
      </c>
      <c r="AP15" s="46" t="s">
        <v>28</v>
      </c>
    </row>
    <row r="16" spans="1:42" x14ac:dyDescent="0.3">
      <c r="A16" s="12" t="s">
        <v>49</v>
      </c>
      <c r="B16" s="19">
        <v>42023</v>
      </c>
      <c r="C16" s="46" t="s">
        <v>20</v>
      </c>
      <c r="D16" s="13" t="s">
        <v>45</v>
      </c>
      <c r="E16" s="13" t="s">
        <v>13</v>
      </c>
      <c r="F16" s="13" t="s">
        <v>14</v>
      </c>
      <c r="G16" s="13">
        <v>6</v>
      </c>
      <c r="H16" s="13">
        <v>10</v>
      </c>
      <c r="I16" s="13">
        <v>60</v>
      </c>
      <c r="J16" s="14" t="s">
        <v>15</v>
      </c>
      <c r="R16" s="19">
        <v>42352</v>
      </c>
      <c r="S16" s="13" t="s">
        <v>14</v>
      </c>
      <c r="AB16" s="19">
        <v>42023</v>
      </c>
      <c r="AC16" s="13" t="s">
        <v>43</v>
      </c>
      <c r="AO16" s="19">
        <v>42100</v>
      </c>
      <c r="AP16" s="46" t="s">
        <v>20</v>
      </c>
    </row>
    <row r="17" spans="1:42" x14ac:dyDescent="0.3">
      <c r="A17" s="12" t="s">
        <v>50</v>
      </c>
      <c r="B17" s="19">
        <v>42025</v>
      </c>
      <c r="C17" s="46" t="s">
        <v>11</v>
      </c>
      <c r="D17" s="13" t="s">
        <v>12</v>
      </c>
      <c r="E17" s="13" t="s">
        <v>51</v>
      </c>
      <c r="F17" s="13" t="s">
        <v>52</v>
      </c>
      <c r="G17" s="13">
        <v>123.79</v>
      </c>
      <c r="H17" s="13">
        <v>8</v>
      </c>
      <c r="I17" s="13">
        <v>990.32</v>
      </c>
      <c r="J17" s="14" t="s">
        <v>26</v>
      </c>
      <c r="R17" s="19">
        <v>42352</v>
      </c>
      <c r="S17" s="13" t="s">
        <v>64</v>
      </c>
      <c r="AB17" s="19">
        <v>42023</v>
      </c>
      <c r="AC17" s="13" t="s">
        <v>18</v>
      </c>
      <c r="AO17" s="19">
        <v>42108</v>
      </c>
      <c r="AP17" s="46" t="s">
        <v>31</v>
      </c>
    </row>
    <row r="18" spans="1:42" x14ac:dyDescent="0.3">
      <c r="A18" s="12" t="s">
        <v>53</v>
      </c>
      <c r="B18" s="19">
        <v>42025</v>
      </c>
      <c r="C18" s="46" t="s">
        <v>31</v>
      </c>
      <c r="D18" s="13" t="s">
        <v>12</v>
      </c>
      <c r="E18" s="13" t="s">
        <v>17</v>
      </c>
      <c r="F18" s="13" t="s">
        <v>54</v>
      </c>
      <c r="G18" s="13">
        <v>25.89</v>
      </c>
      <c r="H18" s="13">
        <v>20</v>
      </c>
      <c r="I18" s="13">
        <v>517.79999999999995</v>
      </c>
      <c r="J18" s="14" t="s">
        <v>26</v>
      </c>
      <c r="R18" s="19">
        <v>42354</v>
      </c>
      <c r="S18" s="13" t="s">
        <v>128</v>
      </c>
      <c r="AB18" s="19">
        <v>42023</v>
      </c>
      <c r="AC18" s="13" t="s">
        <v>47</v>
      </c>
      <c r="AO18" s="19">
        <v>42108</v>
      </c>
      <c r="AP18" s="46" t="s">
        <v>20</v>
      </c>
    </row>
    <row r="19" spans="1:42" x14ac:dyDescent="0.3">
      <c r="A19" s="12" t="s">
        <v>55</v>
      </c>
      <c r="B19" s="19">
        <v>42029</v>
      </c>
      <c r="C19" s="46" t="s">
        <v>28</v>
      </c>
      <c r="D19" s="13" t="s">
        <v>12</v>
      </c>
      <c r="E19" s="13" t="s">
        <v>13</v>
      </c>
      <c r="F19" s="13" t="s">
        <v>56</v>
      </c>
      <c r="G19" s="13">
        <v>34.799999999999997</v>
      </c>
      <c r="H19" s="13">
        <v>15</v>
      </c>
      <c r="I19" s="13">
        <v>522</v>
      </c>
      <c r="J19" s="14" t="s">
        <v>26</v>
      </c>
      <c r="R19" s="19">
        <v>42354</v>
      </c>
      <c r="S19" s="13" t="s">
        <v>144</v>
      </c>
      <c r="AB19" s="19">
        <v>42023</v>
      </c>
      <c r="AC19" s="13" t="s">
        <v>41</v>
      </c>
      <c r="AO19" s="19">
        <v>42108</v>
      </c>
      <c r="AP19" s="46" t="s">
        <v>31</v>
      </c>
    </row>
    <row r="20" spans="1:42" x14ac:dyDescent="0.3">
      <c r="A20" s="12" t="s">
        <v>57</v>
      </c>
      <c r="B20" s="19">
        <v>42029</v>
      </c>
      <c r="C20" s="46" t="s">
        <v>20</v>
      </c>
      <c r="D20" s="13" t="s">
        <v>12</v>
      </c>
      <c r="E20" s="13" t="s">
        <v>17</v>
      </c>
      <c r="F20" s="13" t="s">
        <v>54</v>
      </c>
      <c r="G20" s="13">
        <v>13.25</v>
      </c>
      <c r="H20" s="13">
        <v>30</v>
      </c>
      <c r="I20" s="13">
        <v>397.5</v>
      </c>
      <c r="J20" s="14" t="s">
        <v>26</v>
      </c>
      <c r="R20" s="19">
        <v>42355</v>
      </c>
      <c r="S20" s="13" t="s">
        <v>138</v>
      </c>
      <c r="AB20" s="19">
        <v>42023</v>
      </c>
      <c r="AC20" s="13" t="s">
        <v>14</v>
      </c>
      <c r="AO20" s="19">
        <v>42109</v>
      </c>
      <c r="AP20" s="46" t="s">
        <v>20</v>
      </c>
    </row>
    <row r="21" spans="1:42" x14ac:dyDescent="0.3">
      <c r="A21" s="12" t="s">
        <v>58</v>
      </c>
      <c r="B21" s="19">
        <v>42033</v>
      </c>
      <c r="C21" s="46" t="s">
        <v>11</v>
      </c>
      <c r="D21" s="13" t="s">
        <v>45</v>
      </c>
      <c r="E21" s="13" t="s">
        <v>51</v>
      </c>
      <c r="F21" s="13" t="s">
        <v>59</v>
      </c>
      <c r="G21" s="13">
        <v>97</v>
      </c>
      <c r="H21" s="13">
        <v>3</v>
      </c>
      <c r="I21" s="13">
        <v>291</v>
      </c>
      <c r="J21" s="14" t="s">
        <v>26</v>
      </c>
      <c r="R21" s="19">
        <v>42355</v>
      </c>
      <c r="S21" s="13" t="s">
        <v>22</v>
      </c>
      <c r="AB21" s="19">
        <v>42025</v>
      </c>
      <c r="AC21" s="13" t="s">
        <v>52</v>
      </c>
      <c r="AO21" s="19">
        <v>42109</v>
      </c>
      <c r="AP21" s="46" t="s">
        <v>31</v>
      </c>
    </row>
    <row r="22" spans="1:42" x14ac:dyDescent="0.3">
      <c r="A22" s="12" t="s">
        <v>60</v>
      </c>
      <c r="B22" s="19">
        <v>42033</v>
      </c>
      <c r="C22" s="46" t="s">
        <v>28</v>
      </c>
      <c r="D22" s="13" t="s">
        <v>45</v>
      </c>
      <c r="E22" s="13" t="s">
        <v>21</v>
      </c>
      <c r="F22" s="13" t="s">
        <v>61</v>
      </c>
      <c r="G22" s="13">
        <v>21.35</v>
      </c>
      <c r="H22" s="13">
        <v>30</v>
      </c>
      <c r="I22" s="13">
        <v>640.5</v>
      </c>
      <c r="J22" s="14" t="s">
        <v>26</v>
      </c>
      <c r="R22" s="19">
        <v>42355</v>
      </c>
      <c r="S22" s="13" t="s">
        <v>14</v>
      </c>
      <c r="AB22" s="19">
        <v>42025</v>
      </c>
      <c r="AC22" s="13" t="s">
        <v>54</v>
      </c>
      <c r="AO22" s="19">
        <v>42109</v>
      </c>
      <c r="AP22" s="46" t="s">
        <v>20</v>
      </c>
    </row>
    <row r="23" spans="1:42" x14ac:dyDescent="0.3">
      <c r="A23" s="12" t="s">
        <v>62</v>
      </c>
      <c r="B23" s="19">
        <v>42036</v>
      </c>
      <c r="C23" s="46" t="s">
        <v>11</v>
      </c>
      <c r="D23" s="13" t="s">
        <v>12</v>
      </c>
      <c r="E23" s="13" t="s">
        <v>17</v>
      </c>
      <c r="F23" s="13" t="s">
        <v>18</v>
      </c>
      <c r="G23" s="13">
        <v>19</v>
      </c>
      <c r="H23" s="13">
        <v>5</v>
      </c>
      <c r="I23" s="13">
        <v>95</v>
      </c>
      <c r="J23" s="14" t="s">
        <v>15</v>
      </c>
      <c r="R23" s="19">
        <v>42368</v>
      </c>
      <c r="S23" s="13" t="s">
        <v>72</v>
      </c>
      <c r="AB23" s="19">
        <v>42029</v>
      </c>
      <c r="AC23" s="13" t="s">
        <v>56</v>
      </c>
      <c r="AO23" s="19">
        <v>42109</v>
      </c>
      <c r="AP23" s="46" t="s">
        <v>28</v>
      </c>
    </row>
    <row r="24" spans="1:42" x14ac:dyDescent="0.3">
      <c r="A24" s="12" t="s">
        <v>63</v>
      </c>
      <c r="B24" s="19">
        <v>42036</v>
      </c>
      <c r="C24" s="46" t="s">
        <v>11</v>
      </c>
      <c r="D24" s="13" t="s">
        <v>12</v>
      </c>
      <c r="E24" s="13" t="s">
        <v>34</v>
      </c>
      <c r="F24" s="13" t="s">
        <v>64</v>
      </c>
      <c r="G24" s="13">
        <v>19.5</v>
      </c>
      <c r="H24" s="13">
        <v>10</v>
      </c>
      <c r="I24" s="13">
        <v>195</v>
      </c>
      <c r="J24" s="14" t="s">
        <v>15</v>
      </c>
      <c r="R24" s="19">
        <v>42368</v>
      </c>
      <c r="S24" s="13" t="s">
        <v>52</v>
      </c>
      <c r="AB24" s="19">
        <v>42029</v>
      </c>
      <c r="AC24" s="13" t="s">
        <v>54</v>
      </c>
      <c r="AO24" s="19">
        <v>42110</v>
      </c>
      <c r="AP24" s="46" t="s">
        <v>20</v>
      </c>
    </row>
    <row r="25" spans="1:42" x14ac:dyDescent="0.3">
      <c r="A25" s="12" t="s">
        <v>65</v>
      </c>
      <c r="B25" s="19">
        <v>42036</v>
      </c>
      <c r="C25" s="46" t="s">
        <v>28</v>
      </c>
      <c r="D25" s="13" t="s">
        <v>12</v>
      </c>
      <c r="E25" s="13" t="s">
        <v>13</v>
      </c>
      <c r="F25" s="13" t="s">
        <v>66</v>
      </c>
      <c r="G25" s="13">
        <v>55</v>
      </c>
      <c r="H25" s="13">
        <v>42</v>
      </c>
      <c r="I25" s="13">
        <v>2310</v>
      </c>
      <c r="J25" s="14" t="s">
        <v>15</v>
      </c>
      <c r="R25" s="19">
        <v>42368</v>
      </c>
      <c r="S25" s="13" t="s">
        <v>75</v>
      </c>
      <c r="AB25" s="19">
        <v>42033</v>
      </c>
      <c r="AC25" s="13" t="s">
        <v>59</v>
      </c>
      <c r="AO25" s="19">
        <v>42110</v>
      </c>
      <c r="AP25" s="46" t="s">
        <v>20</v>
      </c>
    </row>
    <row r="26" spans="1:42" x14ac:dyDescent="0.3">
      <c r="A26" s="12" t="s">
        <v>67</v>
      </c>
      <c r="B26" s="19">
        <v>42036</v>
      </c>
      <c r="C26" s="46" t="s">
        <v>11</v>
      </c>
      <c r="D26" s="13" t="s">
        <v>12</v>
      </c>
      <c r="E26" s="13" t="s">
        <v>34</v>
      </c>
      <c r="F26" s="13" t="s">
        <v>68</v>
      </c>
      <c r="G26" s="13">
        <v>14</v>
      </c>
      <c r="H26" s="13">
        <v>10</v>
      </c>
      <c r="I26" s="13">
        <v>140</v>
      </c>
      <c r="J26" s="14" t="s">
        <v>15</v>
      </c>
      <c r="R26" s="19">
        <v>43472</v>
      </c>
      <c r="S26" s="13" t="s">
        <v>241</v>
      </c>
      <c r="AB26" s="19">
        <v>42033</v>
      </c>
      <c r="AC26" s="13" t="s">
        <v>61</v>
      </c>
      <c r="AO26" s="19">
        <v>42113</v>
      </c>
      <c r="AP26" s="46" t="s">
        <v>20</v>
      </c>
    </row>
    <row r="27" spans="1:42" x14ac:dyDescent="0.3">
      <c r="A27" s="12" t="s">
        <v>69</v>
      </c>
      <c r="B27" s="19">
        <v>42043</v>
      </c>
      <c r="C27" s="46" t="s">
        <v>31</v>
      </c>
      <c r="D27" s="13" t="s">
        <v>45</v>
      </c>
      <c r="E27" s="13" t="s">
        <v>17</v>
      </c>
      <c r="F27" s="13" t="s">
        <v>70</v>
      </c>
      <c r="G27" s="13">
        <v>14</v>
      </c>
      <c r="H27" s="13">
        <v>15</v>
      </c>
      <c r="I27" s="13">
        <v>210</v>
      </c>
      <c r="J27" s="14" t="s">
        <v>26</v>
      </c>
      <c r="R27" s="19">
        <v>42344</v>
      </c>
      <c r="S27" s="13" t="s">
        <v>14</v>
      </c>
      <c r="AB27" s="19">
        <v>42009</v>
      </c>
      <c r="AC27" s="13" t="s">
        <v>14</v>
      </c>
      <c r="AO27" s="19">
        <v>42113</v>
      </c>
      <c r="AP27" s="46" t="s">
        <v>31</v>
      </c>
    </row>
    <row r="28" spans="1:42" x14ac:dyDescent="0.3">
      <c r="A28" s="12" t="s">
        <v>71</v>
      </c>
      <c r="B28" s="19">
        <v>42043</v>
      </c>
      <c r="C28" s="46" t="s">
        <v>28</v>
      </c>
      <c r="D28" s="13" t="s">
        <v>45</v>
      </c>
      <c r="E28" s="13" t="s">
        <v>17</v>
      </c>
      <c r="F28" s="13" t="s">
        <v>72</v>
      </c>
      <c r="G28" s="13">
        <v>18</v>
      </c>
      <c r="H28" s="13">
        <v>4</v>
      </c>
      <c r="I28" s="13">
        <v>72</v>
      </c>
      <c r="J28" s="14" t="s">
        <v>26</v>
      </c>
      <c r="R28" s="19">
        <v>42344</v>
      </c>
      <c r="S28" s="13" t="s">
        <v>99</v>
      </c>
      <c r="AB28" s="19">
        <v>42009</v>
      </c>
      <c r="AC28" s="13" t="s">
        <v>22</v>
      </c>
      <c r="AO28" s="19">
        <v>42114</v>
      </c>
      <c r="AP28" s="46" t="s">
        <v>11</v>
      </c>
    </row>
    <row r="29" spans="1:42" x14ac:dyDescent="0.3">
      <c r="A29" s="12" t="s">
        <v>73</v>
      </c>
      <c r="B29" s="19">
        <v>42045</v>
      </c>
      <c r="C29" s="46" t="s">
        <v>20</v>
      </c>
      <c r="D29" s="13" t="s">
        <v>12</v>
      </c>
      <c r="E29" s="13" t="s">
        <v>17</v>
      </c>
      <c r="F29" s="13" t="s">
        <v>72</v>
      </c>
      <c r="G29" s="13">
        <v>18</v>
      </c>
      <c r="H29" s="13">
        <v>30</v>
      </c>
      <c r="I29" s="13">
        <v>540</v>
      </c>
      <c r="J29" s="14" t="s">
        <v>26</v>
      </c>
      <c r="R29" s="19">
        <v>42344</v>
      </c>
      <c r="S29" s="13" t="s">
        <v>124</v>
      </c>
      <c r="AB29" s="19">
        <v>42009</v>
      </c>
      <c r="AC29" s="13" t="s">
        <v>22</v>
      </c>
      <c r="AO29" s="19">
        <v>42114</v>
      </c>
      <c r="AP29" s="46" t="s">
        <v>20</v>
      </c>
    </row>
    <row r="30" spans="1:42" x14ac:dyDescent="0.3">
      <c r="A30" s="12" t="s">
        <v>74</v>
      </c>
      <c r="B30" s="19">
        <v>42045</v>
      </c>
      <c r="C30" s="46" t="s">
        <v>11</v>
      </c>
      <c r="D30" s="13" t="s">
        <v>12</v>
      </c>
      <c r="E30" s="13" t="s">
        <v>34</v>
      </c>
      <c r="F30" s="13" t="s">
        <v>75</v>
      </c>
      <c r="G30" s="13">
        <v>20</v>
      </c>
      <c r="H30" s="13">
        <v>42</v>
      </c>
      <c r="I30" s="13">
        <v>840</v>
      </c>
      <c r="J30" s="14" t="s">
        <v>26</v>
      </c>
      <c r="R30" s="19">
        <v>42345</v>
      </c>
      <c r="S30" s="13" t="s">
        <v>14</v>
      </c>
      <c r="AB30" s="19">
        <v>42009</v>
      </c>
      <c r="AC30" s="13" t="s">
        <v>241</v>
      </c>
      <c r="AO30" s="19">
        <v>42114</v>
      </c>
      <c r="AP30" s="46" t="s">
        <v>28</v>
      </c>
    </row>
    <row r="31" spans="1:42" x14ac:dyDescent="0.3">
      <c r="A31" s="12" t="s">
        <v>76</v>
      </c>
      <c r="B31" s="19">
        <v>42045</v>
      </c>
      <c r="C31" s="46" t="s">
        <v>31</v>
      </c>
      <c r="D31" s="13" t="s">
        <v>12</v>
      </c>
      <c r="E31" s="13" t="s">
        <v>34</v>
      </c>
      <c r="F31" s="13" t="s">
        <v>77</v>
      </c>
      <c r="G31" s="13">
        <v>31.23</v>
      </c>
      <c r="H31" s="13">
        <v>20</v>
      </c>
      <c r="I31" s="13">
        <v>624.6</v>
      </c>
      <c r="J31" s="14" t="s">
        <v>26</v>
      </c>
      <c r="R31" s="19">
        <v>42351</v>
      </c>
      <c r="S31" s="13" t="s">
        <v>81</v>
      </c>
      <c r="AB31" s="19">
        <v>42011</v>
      </c>
      <c r="AC31" s="13" t="s">
        <v>54</v>
      </c>
      <c r="AO31" s="19">
        <v>42114</v>
      </c>
      <c r="AP31" s="46" t="s">
        <v>11</v>
      </c>
    </row>
    <row r="32" spans="1:42" x14ac:dyDescent="0.3">
      <c r="A32" s="12" t="s">
        <v>78</v>
      </c>
      <c r="B32" s="19">
        <v>42045</v>
      </c>
      <c r="C32" s="46" t="s">
        <v>20</v>
      </c>
      <c r="D32" s="13" t="s">
        <v>45</v>
      </c>
      <c r="E32" s="13" t="s">
        <v>17</v>
      </c>
      <c r="F32" s="13" t="s">
        <v>79</v>
      </c>
      <c r="G32" s="13">
        <v>18</v>
      </c>
      <c r="H32" s="13">
        <v>40</v>
      </c>
      <c r="I32" s="13">
        <v>720</v>
      </c>
      <c r="J32" s="14" t="s">
        <v>15</v>
      </c>
      <c r="R32" s="19">
        <v>42353</v>
      </c>
      <c r="S32" s="13" t="s">
        <v>99</v>
      </c>
      <c r="AB32" s="19">
        <v>42016</v>
      </c>
      <c r="AC32" s="13" t="s">
        <v>113</v>
      </c>
      <c r="AO32" s="19">
        <v>42115</v>
      </c>
      <c r="AP32" s="46" t="s">
        <v>28</v>
      </c>
    </row>
    <row r="33" spans="1:42" x14ac:dyDescent="0.3">
      <c r="A33" s="12" t="s">
        <v>80</v>
      </c>
      <c r="B33" s="19">
        <v>42045</v>
      </c>
      <c r="C33" s="46" t="s">
        <v>20</v>
      </c>
      <c r="D33" s="13" t="s">
        <v>45</v>
      </c>
      <c r="E33" s="13" t="s">
        <v>51</v>
      </c>
      <c r="F33" s="13" t="s">
        <v>81</v>
      </c>
      <c r="G33" s="13">
        <v>9</v>
      </c>
      <c r="H33" s="13">
        <v>50</v>
      </c>
      <c r="I33" s="13">
        <v>450</v>
      </c>
      <c r="J33" s="14" t="s">
        <v>15</v>
      </c>
      <c r="R33" s="19">
        <v>42354</v>
      </c>
      <c r="S33" s="13" t="s">
        <v>32</v>
      </c>
      <c r="AB33" s="19">
        <v>42016</v>
      </c>
      <c r="AC33" s="13" t="s">
        <v>188</v>
      </c>
      <c r="AO33" s="19">
        <v>42115</v>
      </c>
      <c r="AP33" s="46" t="s">
        <v>11</v>
      </c>
    </row>
    <row r="34" spans="1:42" x14ac:dyDescent="0.3">
      <c r="A34" s="12" t="s">
        <v>82</v>
      </c>
      <c r="B34" s="19">
        <v>42045</v>
      </c>
      <c r="C34" s="46" t="s">
        <v>28</v>
      </c>
      <c r="D34" s="13" t="s">
        <v>45</v>
      </c>
      <c r="E34" s="13" t="s">
        <v>13</v>
      </c>
      <c r="F34" s="13" t="s">
        <v>14</v>
      </c>
      <c r="G34" s="13">
        <v>21</v>
      </c>
      <c r="H34" s="13">
        <v>10</v>
      </c>
      <c r="I34" s="13">
        <v>210</v>
      </c>
      <c r="J34" s="14" t="s">
        <v>15</v>
      </c>
      <c r="R34" s="19">
        <v>42354</v>
      </c>
      <c r="S34" s="13" t="s">
        <v>99</v>
      </c>
      <c r="AB34" s="19">
        <v>42023</v>
      </c>
      <c r="AC34" s="13" t="s">
        <v>54</v>
      </c>
      <c r="AO34" s="19">
        <v>42115</v>
      </c>
      <c r="AP34" s="46" t="s">
        <v>31</v>
      </c>
    </row>
    <row r="35" spans="1:42" x14ac:dyDescent="0.3">
      <c r="A35" s="12" t="s">
        <v>83</v>
      </c>
      <c r="B35" s="19">
        <v>42045</v>
      </c>
      <c r="C35" s="46" t="s">
        <v>11</v>
      </c>
      <c r="D35" s="13" t="s">
        <v>45</v>
      </c>
      <c r="E35" s="13" t="s">
        <v>34</v>
      </c>
      <c r="F35" s="13" t="s">
        <v>43</v>
      </c>
      <c r="G35" s="13">
        <v>12.5</v>
      </c>
      <c r="H35" s="13">
        <v>20</v>
      </c>
      <c r="I35" s="13">
        <v>250</v>
      </c>
      <c r="J35" s="14" t="s">
        <v>15</v>
      </c>
      <c r="R35" s="19">
        <v>42355</v>
      </c>
      <c r="S35" s="13" t="s">
        <v>47</v>
      </c>
      <c r="AB35" s="19">
        <v>42023</v>
      </c>
      <c r="AC35" s="13" t="s">
        <v>22</v>
      </c>
      <c r="AO35" s="19">
        <v>42115</v>
      </c>
      <c r="AP35" s="46" t="s">
        <v>31</v>
      </c>
    </row>
    <row r="36" spans="1:42" x14ac:dyDescent="0.3">
      <c r="A36" s="12" t="s">
        <v>84</v>
      </c>
      <c r="B36" s="19">
        <v>42046</v>
      </c>
      <c r="C36" s="46" t="s">
        <v>20</v>
      </c>
      <c r="D36" s="13" t="s">
        <v>85</v>
      </c>
      <c r="E36" s="13" t="s">
        <v>51</v>
      </c>
      <c r="F36" s="13" t="s">
        <v>81</v>
      </c>
      <c r="G36" s="13">
        <v>24</v>
      </c>
      <c r="H36" s="13">
        <v>10</v>
      </c>
      <c r="I36" s="13">
        <v>240</v>
      </c>
      <c r="J36" s="14" t="s">
        <v>26</v>
      </c>
      <c r="R36" s="19">
        <v>42355</v>
      </c>
      <c r="S36" s="13" t="s">
        <v>22</v>
      </c>
      <c r="AB36" s="19">
        <v>42023</v>
      </c>
      <c r="AC36" s="13" t="s">
        <v>64</v>
      </c>
      <c r="AO36" s="19">
        <v>42121</v>
      </c>
      <c r="AP36" s="46" t="s">
        <v>31</v>
      </c>
    </row>
    <row r="37" spans="1:42" x14ac:dyDescent="0.3">
      <c r="A37" s="12" t="s">
        <v>86</v>
      </c>
      <c r="B37" s="19">
        <v>42046</v>
      </c>
      <c r="C37" s="46" t="s">
        <v>11</v>
      </c>
      <c r="D37" s="13" t="s">
        <v>85</v>
      </c>
      <c r="E37" s="13" t="s">
        <v>21</v>
      </c>
      <c r="F37" s="13" t="s">
        <v>87</v>
      </c>
      <c r="G37" s="13">
        <v>21.05</v>
      </c>
      <c r="H37" s="13">
        <v>21</v>
      </c>
      <c r="I37" s="13">
        <v>442.05</v>
      </c>
      <c r="J37" s="14" t="s">
        <v>26</v>
      </c>
      <c r="R37" s="19">
        <v>42358</v>
      </c>
      <c r="S37" s="13" t="s">
        <v>54</v>
      </c>
      <c r="AB37" s="19">
        <v>42023</v>
      </c>
      <c r="AC37" s="13" t="s">
        <v>138</v>
      </c>
      <c r="AO37" s="19">
        <v>42122</v>
      </c>
      <c r="AP37" s="46" t="s">
        <v>28</v>
      </c>
    </row>
    <row r="38" spans="1:42" x14ac:dyDescent="0.3">
      <c r="A38" s="12" t="s">
        <v>88</v>
      </c>
      <c r="B38" s="19">
        <v>42046</v>
      </c>
      <c r="C38" s="46" t="s">
        <v>31</v>
      </c>
      <c r="D38" s="13" t="s">
        <v>85</v>
      </c>
      <c r="E38" s="13" t="s">
        <v>21</v>
      </c>
      <c r="F38" s="13" t="s">
        <v>22</v>
      </c>
      <c r="G38" s="13">
        <v>33.25</v>
      </c>
      <c r="H38" s="13">
        <v>15</v>
      </c>
      <c r="I38" s="13">
        <v>498.75</v>
      </c>
      <c r="J38" s="14" t="s">
        <v>26</v>
      </c>
      <c r="R38" s="19">
        <v>42358</v>
      </c>
      <c r="S38" s="13" t="s">
        <v>22</v>
      </c>
      <c r="AB38" s="19">
        <v>42023</v>
      </c>
      <c r="AC38" s="13" t="s">
        <v>97</v>
      </c>
      <c r="AO38" s="19">
        <v>42122</v>
      </c>
      <c r="AP38" s="46" t="s">
        <v>20</v>
      </c>
    </row>
    <row r="39" spans="1:42" x14ac:dyDescent="0.3">
      <c r="A39" s="12" t="s">
        <v>89</v>
      </c>
      <c r="B39" s="19">
        <v>42046</v>
      </c>
      <c r="C39" s="46" t="s">
        <v>31</v>
      </c>
      <c r="D39" s="13" t="s">
        <v>85</v>
      </c>
      <c r="E39" s="13" t="s">
        <v>34</v>
      </c>
      <c r="F39" s="13" t="s">
        <v>90</v>
      </c>
      <c r="G39" s="13">
        <v>49.3</v>
      </c>
      <c r="H39" s="13">
        <v>20</v>
      </c>
      <c r="I39" s="13">
        <v>986</v>
      </c>
      <c r="J39" s="14" t="s">
        <v>26</v>
      </c>
      <c r="R39" s="19">
        <v>42360</v>
      </c>
      <c r="S39" s="13" t="s">
        <v>268</v>
      </c>
      <c r="AB39" s="19">
        <v>42023</v>
      </c>
      <c r="AC39" s="13" t="s">
        <v>77</v>
      </c>
      <c r="AO39" s="19">
        <v>42124</v>
      </c>
      <c r="AP39" s="46" t="s">
        <v>31</v>
      </c>
    </row>
    <row r="40" spans="1:42" x14ac:dyDescent="0.3">
      <c r="A40" s="12" t="s">
        <v>91</v>
      </c>
      <c r="B40" s="19">
        <v>42047</v>
      </c>
      <c r="C40" s="46" t="s">
        <v>20</v>
      </c>
      <c r="D40" s="13" t="s">
        <v>85</v>
      </c>
      <c r="E40" s="13" t="s">
        <v>21</v>
      </c>
      <c r="F40" s="13" t="s">
        <v>22</v>
      </c>
      <c r="G40" s="13">
        <v>31</v>
      </c>
      <c r="H40" s="13">
        <v>10</v>
      </c>
      <c r="I40" s="13">
        <v>310</v>
      </c>
      <c r="J40" s="14" t="s">
        <v>26</v>
      </c>
      <c r="R40" s="19">
        <v>42360</v>
      </c>
      <c r="S40" s="13" t="s">
        <v>81</v>
      </c>
      <c r="AB40" s="19">
        <v>42023</v>
      </c>
      <c r="AC40" s="13" t="s">
        <v>188</v>
      </c>
      <c r="AO40" s="19">
        <v>42124</v>
      </c>
      <c r="AP40" s="46" t="s">
        <v>28</v>
      </c>
    </row>
    <row r="41" spans="1:42" x14ac:dyDescent="0.3">
      <c r="A41" s="12" t="s">
        <v>92</v>
      </c>
      <c r="B41" s="19">
        <v>42050</v>
      </c>
      <c r="C41" s="46" t="s">
        <v>28</v>
      </c>
      <c r="D41" s="13" t="s">
        <v>12</v>
      </c>
      <c r="E41" s="13" t="s">
        <v>17</v>
      </c>
      <c r="F41" s="13" t="s">
        <v>54</v>
      </c>
      <c r="G41" s="13">
        <v>62.5</v>
      </c>
      <c r="H41" s="13">
        <v>25</v>
      </c>
      <c r="I41" s="13">
        <v>1562.5</v>
      </c>
      <c r="J41" s="14" t="s">
        <v>15</v>
      </c>
      <c r="R41" s="19">
        <v>42360</v>
      </c>
      <c r="S41" s="13" t="s">
        <v>54</v>
      </c>
      <c r="AB41" s="19">
        <v>42025</v>
      </c>
      <c r="AC41" s="13" t="s">
        <v>66</v>
      </c>
      <c r="AO41" s="19">
        <v>42124</v>
      </c>
      <c r="AP41" s="46" t="s">
        <v>31</v>
      </c>
    </row>
    <row r="42" spans="1:42" x14ac:dyDescent="0.3">
      <c r="A42" s="12" t="s">
        <v>93</v>
      </c>
      <c r="B42" s="19">
        <v>42050</v>
      </c>
      <c r="C42" s="46" t="s">
        <v>11</v>
      </c>
      <c r="D42" s="13" t="s">
        <v>12</v>
      </c>
      <c r="E42" s="13" t="s">
        <v>34</v>
      </c>
      <c r="F42" s="13" t="s">
        <v>94</v>
      </c>
      <c r="G42" s="13">
        <v>17.45</v>
      </c>
      <c r="H42" s="13">
        <v>30</v>
      </c>
      <c r="I42" s="13">
        <v>523.5</v>
      </c>
      <c r="J42" s="14" t="s">
        <v>15</v>
      </c>
      <c r="R42" s="19">
        <v>42360</v>
      </c>
      <c r="S42" s="13" t="s">
        <v>81</v>
      </c>
      <c r="AB42" s="19">
        <v>42025</v>
      </c>
      <c r="AC42" s="13" t="s">
        <v>99</v>
      </c>
      <c r="AO42" s="19">
        <v>42096</v>
      </c>
      <c r="AP42" s="46" t="s">
        <v>31</v>
      </c>
    </row>
    <row r="43" spans="1:42" x14ac:dyDescent="0.3">
      <c r="A43" s="12" t="s">
        <v>95</v>
      </c>
      <c r="B43" s="19">
        <v>42052</v>
      </c>
      <c r="C43" s="46" t="s">
        <v>31</v>
      </c>
      <c r="D43" s="13" t="s">
        <v>24</v>
      </c>
      <c r="E43" s="13" t="s">
        <v>17</v>
      </c>
      <c r="F43" s="13" t="s">
        <v>54</v>
      </c>
      <c r="G43" s="13">
        <v>15</v>
      </c>
      <c r="H43" s="13">
        <v>10</v>
      </c>
      <c r="I43" s="13">
        <v>150</v>
      </c>
      <c r="J43" s="14" t="s">
        <v>15</v>
      </c>
      <c r="R43" s="19">
        <v>42362</v>
      </c>
      <c r="S43" s="13" t="s">
        <v>56</v>
      </c>
      <c r="AB43" s="19">
        <v>42029</v>
      </c>
      <c r="AC43" s="13" t="s">
        <v>64</v>
      </c>
      <c r="AO43" s="19">
        <v>42113</v>
      </c>
      <c r="AP43" s="46" t="s">
        <v>28</v>
      </c>
    </row>
    <row r="44" spans="1:42" x14ac:dyDescent="0.3">
      <c r="A44" s="12" t="s">
        <v>96</v>
      </c>
      <c r="B44" s="19">
        <v>42054</v>
      </c>
      <c r="C44" s="46" t="s">
        <v>31</v>
      </c>
      <c r="D44" s="13" t="s">
        <v>12</v>
      </c>
      <c r="E44" s="13" t="s">
        <v>21</v>
      </c>
      <c r="F44" s="13" t="s">
        <v>97</v>
      </c>
      <c r="G44" s="13">
        <v>13</v>
      </c>
      <c r="H44" s="13">
        <v>40</v>
      </c>
      <c r="I44" s="13">
        <v>520</v>
      </c>
      <c r="J44" s="14" t="s">
        <v>15</v>
      </c>
      <c r="R44" s="19">
        <v>42362</v>
      </c>
      <c r="S44" s="13" t="s">
        <v>90</v>
      </c>
      <c r="AB44" s="19">
        <v>42029</v>
      </c>
      <c r="AC44" s="13" t="s">
        <v>14</v>
      </c>
      <c r="AO44" s="19">
        <v>42113</v>
      </c>
      <c r="AP44" s="46" t="s">
        <v>28</v>
      </c>
    </row>
    <row r="45" spans="1:42" x14ac:dyDescent="0.3">
      <c r="A45" s="12" t="s">
        <v>98</v>
      </c>
      <c r="B45" s="19">
        <v>42054</v>
      </c>
      <c r="C45" s="46" t="s">
        <v>20</v>
      </c>
      <c r="D45" s="13" t="s">
        <v>12</v>
      </c>
      <c r="E45" s="13" t="s">
        <v>13</v>
      </c>
      <c r="F45" s="13" t="s">
        <v>99</v>
      </c>
      <c r="G45" s="13">
        <v>12.5</v>
      </c>
      <c r="H45" s="13">
        <v>35</v>
      </c>
      <c r="I45" s="13">
        <v>437.5</v>
      </c>
      <c r="J45" s="14" t="s">
        <v>15</v>
      </c>
      <c r="R45" s="19">
        <v>42362</v>
      </c>
      <c r="S45" s="13" t="s">
        <v>268</v>
      </c>
      <c r="AB45" s="19">
        <v>42005</v>
      </c>
      <c r="AC45" s="13" t="s">
        <v>14</v>
      </c>
      <c r="AO45" s="19">
        <v>42113</v>
      </c>
      <c r="AP45" s="46" t="s">
        <v>11</v>
      </c>
    </row>
    <row r="46" spans="1:42" x14ac:dyDescent="0.3">
      <c r="A46" s="12" t="s">
        <v>100</v>
      </c>
      <c r="B46" s="19">
        <v>42054</v>
      </c>
      <c r="C46" s="46" t="s">
        <v>28</v>
      </c>
      <c r="D46" s="13" t="s">
        <v>12</v>
      </c>
      <c r="E46" s="13" t="s">
        <v>21</v>
      </c>
      <c r="F46" s="13" t="s">
        <v>22</v>
      </c>
      <c r="G46" s="13">
        <v>31</v>
      </c>
      <c r="H46" s="13">
        <v>70</v>
      </c>
      <c r="I46" s="13">
        <v>2170</v>
      </c>
      <c r="J46" s="14" t="s">
        <v>15</v>
      </c>
      <c r="R46" s="19">
        <v>42362</v>
      </c>
      <c r="S46" s="13" t="s">
        <v>64</v>
      </c>
      <c r="AB46" s="19">
        <v>42005</v>
      </c>
      <c r="AC46" s="13" t="s">
        <v>22</v>
      </c>
      <c r="AO46" s="19">
        <v>42113</v>
      </c>
      <c r="AP46" s="46" t="s">
        <v>11</v>
      </c>
    </row>
    <row r="47" spans="1:42" x14ac:dyDescent="0.3">
      <c r="A47" s="12" t="s">
        <v>101</v>
      </c>
      <c r="B47" s="19">
        <v>42054</v>
      </c>
      <c r="C47" s="46" t="s">
        <v>11</v>
      </c>
      <c r="D47" s="13" t="s">
        <v>85</v>
      </c>
      <c r="E47" s="13" t="s">
        <v>34</v>
      </c>
      <c r="F47" s="13" t="s">
        <v>68</v>
      </c>
      <c r="G47" s="13">
        <v>14</v>
      </c>
      <c r="H47" s="13">
        <v>5</v>
      </c>
      <c r="I47" s="13">
        <v>70</v>
      </c>
      <c r="J47" s="14" t="s">
        <v>26</v>
      </c>
      <c r="R47" s="19">
        <v>42362</v>
      </c>
      <c r="S47" s="13" t="s">
        <v>14</v>
      </c>
      <c r="AB47" s="19">
        <v>42005</v>
      </c>
      <c r="AC47" s="13" t="s">
        <v>22</v>
      </c>
      <c r="AO47" s="19">
        <v>42116</v>
      </c>
      <c r="AP47" s="46" t="s">
        <v>28</v>
      </c>
    </row>
    <row r="48" spans="1:42" x14ac:dyDescent="0.3">
      <c r="A48" s="12" t="s">
        <v>102</v>
      </c>
      <c r="B48" s="19">
        <v>42057</v>
      </c>
      <c r="C48" s="46" t="s">
        <v>11</v>
      </c>
      <c r="D48" s="13" t="s">
        <v>85</v>
      </c>
      <c r="E48" s="13" t="s">
        <v>17</v>
      </c>
      <c r="F48" s="13" t="s">
        <v>18</v>
      </c>
      <c r="G48" s="13">
        <v>19</v>
      </c>
      <c r="H48" s="13">
        <v>20</v>
      </c>
      <c r="I48" s="13">
        <v>380</v>
      </c>
      <c r="J48" s="14" t="s">
        <v>26</v>
      </c>
      <c r="R48" s="19">
        <v>42365</v>
      </c>
      <c r="S48" s="13" t="s">
        <v>118</v>
      </c>
      <c r="AB48" s="19">
        <v>42005</v>
      </c>
      <c r="AC48" s="13" t="s">
        <v>241</v>
      </c>
      <c r="AO48" s="19">
        <v>42116</v>
      </c>
      <c r="AP48" s="46" t="s">
        <v>28</v>
      </c>
    </row>
    <row r="49" spans="1:42" x14ac:dyDescent="0.3">
      <c r="A49" s="12" t="s">
        <v>103</v>
      </c>
      <c r="B49" s="19">
        <v>42057</v>
      </c>
      <c r="C49" s="46" t="s">
        <v>31</v>
      </c>
      <c r="D49" s="13" t="s">
        <v>85</v>
      </c>
      <c r="E49" s="13" t="s">
        <v>34</v>
      </c>
      <c r="F49" s="13" t="s">
        <v>43</v>
      </c>
      <c r="G49" s="13">
        <v>12.5</v>
      </c>
      <c r="H49" s="13">
        <v>18</v>
      </c>
      <c r="I49" s="13">
        <v>225</v>
      </c>
      <c r="J49" s="14" t="s">
        <v>26</v>
      </c>
      <c r="R49" s="19">
        <v>42365</v>
      </c>
      <c r="S49" s="13" t="s">
        <v>52</v>
      </c>
      <c r="AB49" s="19">
        <v>42007</v>
      </c>
      <c r="AC49" s="13" t="s">
        <v>54</v>
      </c>
      <c r="AO49" s="19">
        <v>42116</v>
      </c>
      <c r="AP49" s="46" t="s">
        <v>11</v>
      </c>
    </row>
    <row r="50" spans="1:42" x14ac:dyDescent="0.3">
      <c r="A50" s="12" t="s">
        <v>104</v>
      </c>
      <c r="B50" s="19">
        <v>42061</v>
      </c>
      <c r="C50" s="46" t="s">
        <v>11</v>
      </c>
      <c r="D50" s="13" t="s">
        <v>24</v>
      </c>
      <c r="E50" s="13" t="s">
        <v>13</v>
      </c>
      <c r="F50" s="13" t="s">
        <v>14</v>
      </c>
      <c r="G50" s="13">
        <v>6</v>
      </c>
      <c r="H50" s="13">
        <v>5</v>
      </c>
      <c r="I50" s="13">
        <v>30</v>
      </c>
      <c r="J50" s="14" t="s">
        <v>26</v>
      </c>
      <c r="R50" s="19">
        <v>42366</v>
      </c>
      <c r="S50" s="13" t="s">
        <v>66</v>
      </c>
      <c r="AB50" s="19">
        <v>42007</v>
      </c>
      <c r="AC50" s="13" t="s">
        <v>241</v>
      </c>
      <c r="AO50" s="19">
        <v>42121</v>
      </c>
      <c r="AP50" s="46" t="s">
        <v>31</v>
      </c>
    </row>
    <row r="51" spans="1:42" x14ac:dyDescent="0.3">
      <c r="A51" s="12" t="s">
        <v>105</v>
      </c>
      <c r="B51" s="19">
        <v>42061</v>
      </c>
      <c r="C51" s="46" t="s">
        <v>28</v>
      </c>
      <c r="D51" s="13" t="s">
        <v>12</v>
      </c>
      <c r="E51" s="13" t="s">
        <v>17</v>
      </c>
      <c r="F51" s="13" t="s">
        <v>54</v>
      </c>
      <c r="G51" s="13">
        <v>15</v>
      </c>
      <c r="H51" s="13">
        <v>3</v>
      </c>
      <c r="I51" s="13">
        <v>45</v>
      </c>
      <c r="J51" s="14" t="s">
        <v>26</v>
      </c>
      <c r="R51" s="19">
        <v>42366</v>
      </c>
      <c r="S51" s="13" t="s">
        <v>188</v>
      </c>
      <c r="AB51" s="19">
        <v>42012</v>
      </c>
      <c r="AC51" s="13" t="s">
        <v>113</v>
      </c>
      <c r="AO51" s="19">
        <v>42121</v>
      </c>
      <c r="AP51" s="46" t="s">
        <v>20</v>
      </c>
    </row>
    <row r="52" spans="1:42" x14ac:dyDescent="0.3">
      <c r="A52" s="12" t="s">
        <v>106</v>
      </c>
      <c r="B52" s="19">
        <v>42065</v>
      </c>
      <c r="C52" s="46" t="s">
        <v>11</v>
      </c>
      <c r="D52" s="13" t="s">
        <v>12</v>
      </c>
      <c r="E52" s="13" t="s">
        <v>17</v>
      </c>
      <c r="F52" s="13" t="s">
        <v>79</v>
      </c>
      <c r="G52" s="13">
        <v>18</v>
      </c>
      <c r="H52" s="13">
        <v>20</v>
      </c>
      <c r="I52" s="13">
        <v>360</v>
      </c>
      <c r="J52" s="14" t="s">
        <v>26</v>
      </c>
      <c r="R52" s="19">
        <v>42366</v>
      </c>
      <c r="S52" s="13" t="s">
        <v>68</v>
      </c>
      <c r="AB52" s="19">
        <v>42012</v>
      </c>
      <c r="AC52" s="13" t="s">
        <v>188</v>
      </c>
      <c r="AO52" s="19">
        <v>42121</v>
      </c>
      <c r="AP52" s="46" t="s">
        <v>11</v>
      </c>
    </row>
    <row r="53" spans="1:42" x14ac:dyDescent="0.3">
      <c r="A53" s="12" t="s">
        <v>107</v>
      </c>
      <c r="B53" s="19">
        <v>42065</v>
      </c>
      <c r="C53" s="46" t="s">
        <v>28</v>
      </c>
      <c r="D53" s="13" t="s">
        <v>12</v>
      </c>
      <c r="E53" s="13" t="s">
        <v>21</v>
      </c>
      <c r="F53" s="13" t="s">
        <v>87</v>
      </c>
      <c r="G53" s="13">
        <v>21.05</v>
      </c>
      <c r="H53" s="13">
        <v>21</v>
      </c>
      <c r="I53" s="13">
        <v>442.05</v>
      </c>
      <c r="J53" s="14" t="s">
        <v>26</v>
      </c>
      <c r="R53" s="19">
        <v>42366</v>
      </c>
      <c r="S53" s="13" t="s">
        <v>81</v>
      </c>
      <c r="AB53" s="19">
        <v>42019</v>
      </c>
      <c r="AC53" s="13" t="s">
        <v>54</v>
      </c>
      <c r="AO53" s="19">
        <v>42123</v>
      </c>
      <c r="AP53" s="46" t="s">
        <v>28</v>
      </c>
    </row>
    <row r="54" spans="1:42" x14ac:dyDescent="0.3">
      <c r="A54" s="12" t="s">
        <v>108</v>
      </c>
      <c r="B54" s="19">
        <v>42065</v>
      </c>
      <c r="C54" s="46" t="s">
        <v>31</v>
      </c>
      <c r="D54" s="13" t="s">
        <v>12</v>
      </c>
      <c r="E54" s="13" t="s">
        <v>21</v>
      </c>
      <c r="F54" s="13" t="s">
        <v>22</v>
      </c>
      <c r="G54" s="13">
        <v>6</v>
      </c>
      <c r="H54" s="13">
        <v>40</v>
      </c>
      <c r="I54" s="13">
        <v>240</v>
      </c>
      <c r="J54" s="14" t="s">
        <v>26</v>
      </c>
      <c r="R54" s="19">
        <v>42366</v>
      </c>
      <c r="S54" s="13" t="s">
        <v>81</v>
      </c>
      <c r="AB54" s="19">
        <v>42019</v>
      </c>
      <c r="AC54" s="13" t="s">
        <v>22</v>
      </c>
      <c r="AO54" s="19">
        <v>42123</v>
      </c>
      <c r="AP54" s="46" t="s">
        <v>20</v>
      </c>
    </row>
    <row r="55" spans="1:42" x14ac:dyDescent="0.3">
      <c r="A55" s="12" t="s">
        <v>109</v>
      </c>
      <c r="B55" s="19">
        <v>42065</v>
      </c>
      <c r="C55" s="46" t="s">
        <v>31</v>
      </c>
      <c r="D55" s="13" t="s">
        <v>12</v>
      </c>
      <c r="E55" s="13" t="s">
        <v>34</v>
      </c>
      <c r="F55" s="13" t="s">
        <v>43</v>
      </c>
      <c r="G55" s="13">
        <v>12.5</v>
      </c>
      <c r="H55" s="13">
        <v>20</v>
      </c>
      <c r="I55" s="13">
        <v>250</v>
      </c>
      <c r="J55" s="14" t="s">
        <v>26</v>
      </c>
      <c r="R55" s="19">
        <v>42366</v>
      </c>
      <c r="S55" s="13" t="s">
        <v>75</v>
      </c>
      <c r="AB55" s="19">
        <v>42019</v>
      </c>
      <c r="AC55" s="13" t="s">
        <v>64</v>
      </c>
      <c r="AO55" s="19">
        <v>42123</v>
      </c>
      <c r="AP55" s="46" t="s">
        <v>28</v>
      </c>
    </row>
    <row r="56" spans="1:42" x14ac:dyDescent="0.3">
      <c r="A56" s="12" t="s">
        <v>110</v>
      </c>
      <c r="B56" s="19">
        <v>42067</v>
      </c>
      <c r="C56" s="46" t="s">
        <v>20</v>
      </c>
      <c r="D56" s="13" t="s">
        <v>12</v>
      </c>
      <c r="E56" s="13" t="s">
        <v>21</v>
      </c>
      <c r="F56" s="13" t="s">
        <v>111</v>
      </c>
      <c r="G56" s="13">
        <v>22</v>
      </c>
      <c r="H56" s="13">
        <v>30</v>
      </c>
      <c r="I56" s="13">
        <v>660</v>
      </c>
      <c r="J56" s="14" t="s">
        <v>15</v>
      </c>
      <c r="R56" s="19">
        <v>42340</v>
      </c>
      <c r="S56" s="13" t="s">
        <v>14</v>
      </c>
      <c r="AB56" s="19">
        <v>42019</v>
      </c>
      <c r="AC56" s="13" t="s">
        <v>138</v>
      </c>
      <c r="AO56" s="19">
        <v>42123</v>
      </c>
      <c r="AP56" s="46" t="s">
        <v>20</v>
      </c>
    </row>
    <row r="57" spans="1:42" x14ac:dyDescent="0.3">
      <c r="A57" s="12" t="s">
        <v>112</v>
      </c>
      <c r="B57" s="19">
        <v>42067</v>
      </c>
      <c r="C57" s="46" t="s">
        <v>20</v>
      </c>
      <c r="D57" s="13" t="s">
        <v>12</v>
      </c>
      <c r="E57" s="13" t="s">
        <v>13</v>
      </c>
      <c r="F57" s="13" t="s">
        <v>113</v>
      </c>
      <c r="G57" s="13">
        <v>2.5</v>
      </c>
      <c r="H57" s="13">
        <v>40</v>
      </c>
      <c r="I57" s="13">
        <v>100</v>
      </c>
      <c r="J57" s="14" t="s">
        <v>15</v>
      </c>
      <c r="R57" s="19">
        <v>42346</v>
      </c>
      <c r="S57" s="13" t="s">
        <v>81</v>
      </c>
      <c r="AB57" s="19">
        <v>42019</v>
      </c>
      <c r="AC57" s="13" t="s">
        <v>97</v>
      </c>
      <c r="AO57" s="19">
        <v>42108</v>
      </c>
      <c r="AP57" s="46" t="s">
        <v>28</v>
      </c>
    </row>
    <row r="58" spans="1:42" x14ac:dyDescent="0.3">
      <c r="A58" s="12" t="s">
        <v>114</v>
      </c>
      <c r="B58" s="19">
        <v>42067</v>
      </c>
      <c r="C58" s="46" t="s">
        <v>28</v>
      </c>
      <c r="D58" s="13" t="s">
        <v>12</v>
      </c>
      <c r="E58" s="13" t="s">
        <v>21</v>
      </c>
      <c r="F58" s="13" t="s">
        <v>22</v>
      </c>
      <c r="G58" s="13">
        <v>13.25</v>
      </c>
      <c r="H58" s="13">
        <v>15</v>
      </c>
      <c r="I58" s="13">
        <v>198.75</v>
      </c>
      <c r="J58" s="14" t="s">
        <v>15</v>
      </c>
      <c r="R58" s="19">
        <v>42348</v>
      </c>
      <c r="S58" s="13" t="s">
        <v>99</v>
      </c>
      <c r="AB58" s="19">
        <v>42019</v>
      </c>
      <c r="AC58" s="13" t="s">
        <v>77</v>
      </c>
      <c r="AO58" s="19">
        <v>42108</v>
      </c>
      <c r="AP58" s="46" t="s">
        <v>28</v>
      </c>
    </row>
    <row r="59" spans="1:42" x14ac:dyDescent="0.3">
      <c r="A59" s="12" t="s">
        <v>115</v>
      </c>
      <c r="B59" s="19">
        <v>42067</v>
      </c>
      <c r="C59" s="46" t="s">
        <v>31</v>
      </c>
      <c r="D59" s="13" t="s">
        <v>85</v>
      </c>
      <c r="E59" s="13" t="s">
        <v>17</v>
      </c>
      <c r="F59" s="13" t="s">
        <v>70</v>
      </c>
      <c r="G59" s="13">
        <v>14</v>
      </c>
      <c r="H59" s="13">
        <v>15</v>
      </c>
      <c r="I59" s="13">
        <v>210</v>
      </c>
      <c r="J59" s="14" t="s">
        <v>15</v>
      </c>
      <c r="R59" s="19">
        <v>42349</v>
      </c>
      <c r="S59" s="13" t="s">
        <v>32</v>
      </c>
      <c r="AB59" s="19">
        <v>42019</v>
      </c>
      <c r="AC59" s="13" t="s">
        <v>188</v>
      </c>
      <c r="AO59" s="19">
        <v>42108</v>
      </c>
      <c r="AP59" s="46" t="s">
        <v>11</v>
      </c>
    </row>
    <row r="60" spans="1:42" x14ac:dyDescent="0.3">
      <c r="A60" s="12" t="s">
        <v>116</v>
      </c>
      <c r="B60" s="19">
        <v>42067</v>
      </c>
      <c r="C60" s="46" t="s">
        <v>20</v>
      </c>
      <c r="D60" s="13" t="s">
        <v>85</v>
      </c>
      <c r="E60" s="13" t="s">
        <v>17</v>
      </c>
      <c r="F60" s="13" t="s">
        <v>79</v>
      </c>
      <c r="G60" s="13">
        <v>18</v>
      </c>
      <c r="H60" s="13">
        <v>10</v>
      </c>
      <c r="I60" s="13">
        <v>180</v>
      </c>
      <c r="J60" s="14" t="s">
        <v>15</v>
      </c>
      <c r="R60" s="19">
        <v>42349</v>
      </c>
      <c r="S60" s="13" t="s">
        <v>99</v>
      </c>
      <c r="AB60" s="19">
        <v>42021</v>
      </c>
      <c r="AC60" s="13" t="s">
        <v>66</v>
      </c>
      <c r="AO60" s="19">
        <v>42108</v>
      </c>
      <c r="AP60" s="46" t="s">
        <v>11</v>
      </c>
    </row>
    <row r="61" spans="1:42" x14ac:dyDescent="0.3">
      <c r="A61" s="12" t="s">
        <v>117</v>
      </c>
      <c r="B61" s="19">
        <v>42067</v>
      </c>
      <c r="C61" s="46" t="s">
        <v>31</v>
      </c>
      <c r="D61" s="13" t="s">
        <v>85</v>
      </c>
      <c r="E61" s="13" t="s">
        <v>51</v>
      </c>
      <c r="F61" s="13" t="s">
        <v>118</v>
      </c>
      <c r="G61" s="13">
        <v>39</v>
      </c>
      <c r="H61" s="13">
        <v>12</v>
      </c>
      <c r="I61" s="13">
        <v>468</v>
      </c>
      <c r="J61" s="14" t="s">
        <v>15</v>
      </c>
      <c r="R61" s="19">
        <v>42350</v>
      </c>
      <c r="S61" s="13" t="s">
        <v>47</v>
      </c>
      <c r="AB61" s="19">
        <v>42021</v>
      </c>
      <c r="AC61" s="13" t="s">
        <v>99</v>
      </c>
      <c r="AO61" s="19">
        <v>42111</v>
      </c>
      <c r="AP61" s="46" t="s">
        <v>28</v>
      </c>
    </row>
    <row r="62" spans="1:42" x14ac:dyDescent="0.3">
      <c r="A62" s="12" t="s">
        <v>119</v>
      </c>
      <c r="B62" s="19">
        <v>42068</v>
      </c>
      <c r="C62" s="46" t="s">
        <v>11</v>
      </c>
      <c r="D62" s="13" t="s">
        <v>24</v>
      </c>
      <c r="E62" s="13" t="s">
        <v>13</v>
      </c>
      <c r="F62" s="13" t="s">
        <v>14</v>
      </c>
      <c r="G62" s="13">
        <v>19.5</v>
      </c>
      <c r="H62" s="13">
        <v>80</v>
      </c>
      <c r="I62" s="13">
        <v>1560</v>
      </c>
      <c r="J62" s="14" t="s">
        <v>26</v>
      </c>
      <c r="R62" s="19">
        <v>42350</v>
      </c>
      <c r="S62" s="13" t="s">
        <v>22</v>
      </c>
      <c r="AB62" s="19">
        <v>42025</v>
      </c>
      <c r="AC62" s="13" t="s">
        <v>64</v>
      </c>
      <c r="AO62" s="19">
        <v>42111</v>
      </c>
      <c r="AP62" s="46" t="s">
        <v>28</v>
      </c>
    </row>
    <row r="63" spans="1:42" x14ac:dyDescent="0.3">
      <c r="A63" s="12" t="s">
        <v>120</v>
      </c>
      <c r="B63" s="19">
        <v>42068</v>
      </c>
      <c r="C63" s="46" t="s">
        <v>11</v>
      </c>
      <c r="D63" s="13" t="s">
        <v>24</v>
      </c>
      <c r="E63" s="13" t="s">
        <v>13</v>
      </c>
      <c r="F63" s="13" t="s">
        <v>121</v>
      </c>
      <c r="G63" s="13">
        <v>32</v>
      </c>
      <c r="H63" s="13">
        <v>6</v>
      </c>
      <c r="I63" s="13">
        <v>192</v>
      </c>
      <c r="J63" s="14" t="s">
        <v>26</v>
      </c>
      <c r="R63" s="19">
        <v>42353</v>
      </c>
      <c r="S63" s="13" t="s">
        <v>54</v>
      </c>
      <c r="AB63" s="19">
        <v>42025</v>
      </c>
      <c r="AC63" s="13" t="s">
        <v>14</v>
      </c>
      <c r="AO63" s="19">
        <v>42111</v>
      </c>
      <c r="AP63" s="46" t="s">
        <v>11</v>
      </c>
    </row>
    <row r="64" spans="1:42" x14ac:dyDescent="0.3">
      <c r="A64" s="12" t="s">
        <v>122</v>
      </c>
      <c r="B64" s="19">
        <v>42068</v>
      </c>
      <c r="C64" s="46" t="s">
        <v>11</v>
      </c>
      <c r="D64" s="13" t="s">
        <v>24</v>
      </c>
      <c r="E64" s="13" t="s">
        <v>34</v>
      </c>
      <c r="F64" s="13" t="s">
        <v>94</v>
      </c>
      <c r="G64" s="13">
        <v>17.45</v>
      </c>
      <c r="H64" s="13">
        <v>6</v>
      </c>
      <c r="I64" s="13">
        <v>104.69999999999999</v>
      </c>
      <c r="J64" s="14" t="s">
        <v>26</v>
      </c>
      <c r="R64" s="19">
        <v>42353</v>
      </c>
      <c r="S64" s="13" t="s">
        <v>22</v>
      </c>
      <c r="AB64" s="19">
        <v>42033</v>
      </c>
      <c r="AC64" s="13" t="s">
        <v>18</v>
      </c>
      <c r="AO64" s="19">
        <v>42116</v>
      </c>
      <c r="AP64" s="46" t="s">
        <v>31</v>
      </c>
    </row>
    <row r="65" spans="1:42" x14ac:dyDescent="0.3">
      <c r="A65" s="12" t="s">
        <v>123</v>
      </c>
      <c r="B65" s="19">
        <v>42068</v>
      </c>
      <c r="C65" s="46" t="s">
        <v>31</v>
      </c>
      <c r="D65" s="13" t="s">
        <v>12</v>
      </c>
      <c r="E65" s="13" t="s">
        <v>13</v>
      </c>
      <c r="F65" s="13" t="s">
        <v>124</v>
      </c>
      <c r="G65" s="13">
        <v>21.5</v>
      </c>
      <c r="H65" s="13">
        <v>25</v>
      </c>
      <c r="I65" s="13">
        <v>537.5</v>
      </c>
      <c r="J65" s="14" t="s">
        <v>15</v>
      </c>
      <c r="R65" s="19">
        <v>42355</v>
      </c>
      <c r="S65" s="13" t="s">
        <v>268</v>
      </c>
      <c r="AB65" s="19">
        <v>42033</v>
      </c>
      <c r="AC65" s="13" t="s">
        <v>14</v>
      </c>
      <c r="AO65" s="19">
        <v>42116</v>
      </c>
      <c r="AP65" s="46" t="s">
        <v>20</v>
      </c>
    </row>
    <row r="66" spans="1:42" x14ac:dyDescent="0.3">
      <c r="A66" s="12" t="s">
        <v>125</v>
      </c>
      <c r="B66" s="19">
        <v>42071</v>
      </c>
      <c r="C66" s="46" t="s">
        <v>20</v>
      </c>
      <c r="D66" s="13" t="s">
        <v>85</v>
      </c>
      <c r="E66" s="13" t="s">
        <v>13</v>
      </c>
      <c r="F66" s="13" t="s">
        <v>41</v>
      </c>
      <c r="G66" s="13">
        <v>34</v>
      </c>
      <c r="H66" s="13">
        <v>10</v>
      </c>
      <c r="I66" s="13">
        <v>340</v>
      </c>
      <c r="J66" s="14" t="s">
        <v>26</v>
      </c>
      <c r="R66" s="19">
        <v>42355</v>
      </c>
      <c r="S66" s="13" t="s">
        <v>81</v>
      </c>
      <c r="AB66" s="19">
        <v>42033</v>
      </c>
      <c r="AC66" s="13" t="s">
        <v>56</v>
      </c>
      <c r="AO66" s="19">
        <v>42116</v>
      </c>
      <c r="AP66" s="46" t="s">
        <v>11</v>
      </c>
    </row>
    <row r="67" spans="1:42" x14ac:dyDescent="0.3">
      <c r="A67" s="12" t="s">
        <v>126</v>
      </c>
      <c r="B67" s="19">
        <v>42071</v>
      </c>
      <c r="C67" s="46" t="s">
        <v>28</v>
      </c>
      <c r="D67" s="13" t="s">
        <v>85</v>
      </c>
      <c r="E67" s="13" t="s">
        <v>17</v>
      </c>
      <c r="F67" s="13" t="s">
        <v>54</v>
      </c>
      <c r="G67" s="13">
        <v>25.89</v>
      </c>
      <c r="H67" s="13">
        <v>1</v>
      </c>
      <c r="I67" s="13">
        <v>25.89</v>
      </c>
      <c r="J67" s="14" t="s">
        <v>26</v>
      </c>
      <c r="R67" s="19">
        <v>42355</v>
      </c>
      <c r="S67" s="13" t="s">
        <v>54</v>
      </c>
      <c r="AO67" s="19">
        <v>42118</v>
      </c>
      <c r="AP67" s="46" t="s">
        <v>28</v>
      </c>
    </row>
    <row r="68" spans="1:42" x14ac:dyDescent="0.3">
      <c r="A68" s="12" t="s">
        <v>127</v>
      </c>
      <c r="B68" s="19">
        <v>42072</v>
      </c>
      <c r="C68" s="46" t="s">
        <v>31</v>
      </c>
      <c r="D68" s="13" t="s">
        <v>12</v>
      </c>
      <c r="E68" s="13" t="s">
        <v>17</v>
      </c>
      <c r="F68" s="13" t="s">
        <v>128</v>
      </c>
      <c r="G68" s="13">
        <v>4.5</v>
      </c>
      <c r="H68" s="13">
        <v>35</v>
      </c>
      <c r="I68" s="13">
        <v>157.5</v>
      </c>
      <c r="J68" s="14" t="s">
        <v>26</v>
      </c>
      <c r="R68" s="19">
        <v>42355</v>
      </c>
      <c r="S68" s="13" t="s">
        <v>81</v>
      </c>
      <c r="AO68" s="19">
        <v>42118</v>
      </c>
      <c r="AP68" s="46" t="s">
        <v>20</v>
      </c>
    </row>
    <row r="69" spans="1:42" x14ac:dyDescent="0.3">
      <c r="A69" s="12" t="s">
        <v>129</v>
      </c>
      <c r="B69" s="19">
        <v>42072</v>
      </c>
      <c r="C69" s="46" t="s">
        <v>20</v>
      </c>
      <c r="D69" s="13" t="s">
        <v>12</v>
      </c>
      <c r="E69" s="13" t="s">
        <v>51</v>
      </c>
      <c r="F69" s="13" t="s">
        <v>118</v>
      </c>
      <c r="G69" s="13">
        <v>39</v>
      </c>
      <c r="H69" s="13">
        <v>15</v>
      </c>
      <c r="I69" s="13">
        <v>585</v>
      </c>
      <c r="J69" s="14" t="s">
        <v>26</v>
      </c>
      <c r="R69" s="19">
        <v>42357</v>
      </c>
      <c r="S69" s="13" t="s">
        <v>56</v>
      </c>
      <c r="AO69" s="19">
        <v>42118</v>
      </c>
      <c r="AP69" s="46" t="s">
        <v>28</v>
      </c>
    </row>
    <row r="70" spans="1:42" x14ac:dyDescent="0.3">
      <c r="A70" s="12" t="s">
        <v>130</v>
      </c>
      <c r="B70" s="19">
        <v>42072</v>
      </c>
      <c r="C70" s="46" t="s">
        <v>20</v>
      </c>
      <c r="D70" s="13" t="s">
        <v>45</v>
      </c>
      <c r="E70" s="13" t="s">
        <v>34</v>
      </c>
      <c r="F70" s="13" t="s">
        <v>64</v>
      </c>
      <c r="G70" s="13">
        <v>16.25</v>
      </c>
      <c r="H70" s="13">
        <v>24</v>
      </c>
      <c r="I70" s="13">
        <v>390</v>
      </c>
      <c r="J70" s="14" t="s">
        <v>26</v>
      </c>
      <c r="R70" s="19">
        <v>42357</v>
      </c>
      <c r="S70" s="13" t="s">
        <v>90</v>
      </c>
      <c r="AO70" s="19">
        <v>42118</v>
      </c>
      <c r="AP70" s="46" t="s">
        <v>20</v>
      </c>
    </row>
    <row r="71" spans="1:42" x14ac:dyDescent="0.3">
      <c r="A71" s="12" t="s">
        <v>131</v>
      </c>
      <c r="B71" s="19">
        <v>42073</v>
      </c>
      <c r="C71" s="46" t="s">
        <v>11</v>
      </c>
      <c r="D71" s="13" t="s">
        <v>12</v>
      </c>
      <c r="E71" s="13" t="s">
        <v>13</v>
      </c>
      <c r="F71" s="13" t="s">
        <v>14</v>
      </c>
      <c r="G71" s="13">
        <v>7</v>
      </c>
      <c r="H71" s="13">
        <v>12</v>
      </c>
      <c r="I71" s="13">
        <v>84</v>
      </c>
      <c r="J71" s="14" t="s">
        <v>15</v>
      </c>
      <c r="R71" s="19">
        <v>42357</v>
      </c>
      <c r="S71" s="13" t="s">
        <v>268</v>
      </c>
    </row>
    <row r="72" spans="1:42" x14ac:dyDescent="0.3">
      <c r="A72" s="12" t="s">
        <v>132</v>
      </c>
      <c r="B72" s="19">
        <v>42073</v>
      </c>
      <c r="C72" s="46" t="s">
        <v>11</v>
      </c>
      <c r="D72" s="13" t="s">
        <v>12</v>
      </c>
      <c r="E72" s="13" t="s">
        <v>51</v>
      </c>
      <c r="F72" s="13" t="s">
        <v>81</v>
      </c>
      <c r="G72" s="13">
        <v>19</v>
      </c>
      <c r="H72" s="13">
        <v>25</v>
      </c>
      <c r="I72" s="13">
        <v>475</v>
      </c>
      <c r="J72" s="14" t="s">
        <v>15</v>
      </c>
      <c r="R72" s="19">
        <v>42357</v>
      </c>
      <c r="S72" s="13" t="s">
        <v>64</v>
      </c>
    </row>
    <row r="73" spans="1:42" x14ac:dyDescent="0.3">
      <c r="A73" s="12" t="s">
        <v>133</v>
      </c>
      <c r="B73" s="19">
        <v>42074</v>
      </c>
      <c r="C73" s="46" t="s">
        <v>20</v>
      </c>
      <c r="D73" s="13" t="s">
        <v>85</v>
      </c>
      <c r="E73" s="13" t="s">
        <v>17</v>
      </c>
      <c r="F73" s="13" t="s">
        <v>134</v>
      </c>
      <c r="G73" s="13">
        <v>18</v>
      </c>
      <c r="H73" s="13">
        <v>5</v>
      </c>
      <c r="I73" s="13">
        <v>90</v>
      </c>
      <c r="J73" s="14" t="s">
        <v>15</v>
      </c>
      <c r="R73" s="19">
        <v>42357</v>
      </c>
      <c r="S73" s="13" t="s">
        <v>14</v>
      </c>
    </row>
    <row r="74" spans="1:42" x14ac:dyDescent="0.3">
      <c r="A74" s="12" t="s">
        <v>135</v>
      </c>
      <c r="B74" s="19">
        <v>42074</v>
      </c>
      <c r="C74" s="46" t="s">
        <v>20</v>
      </c>
      <c r="D74" s="13" t="s">
        <v>85</v>
      </c>
      <c r="E74" s="13" t="s">
        <v>34</v>
      </c>
      <c r="F74" s="13" t="s">
        <v>136</v>
      </c>
      <c r="G74" s="13">
        <v>9.5</v>
      </c>
      <c r="H74" s="13">
        <v>5</v>
      </c>
      <c r="I74" s="13">
        <v>47.5</v>
      </c>
      <c r="J74" s="14" t="s">
        <v>15</v>
      </c>
      <c r="R74" s="19">
        <v>42360</v>
      </c>
      <c r="S74" s="13" t="s">
        <v>118</v>
      </c>
    </row>
    <row r="75" spans="1:42" x14ac:dyDescent="0.3">
      <c r="A75" s="12" t="s">
        <v>137</v>
      </c>
      <c r="B75" s="19">
        <v>42075</v>
      </c>
      <c r="C75" s="46" t="s">
        <v>28</v>
      </c>
      <c r="D75" s="13" t="s">
        <v>45</v>
      </c>
      <c r="E75" s="13" t="s">
        <v>51</v>
      </c>
      <c r="F75" s="13" t="s">
        <v>138</v>
      </c>
      <c r="G75" s="13">
        <v>32.799999999999997</v>
      </c>
      <c r="H75" s="13">
        <v>2</v>
      </c>
      <c r="I75" s="13">
        <v>65.599999999999994</v>
      </c>
      <c r="J75" s="14" t="s">
        <v>26</v>
      </c>
      <c r="R75" s="19">
        <v>42360</v>
      </c>
      <c r="S75" s="13" t="s">
        <v>52</v>
      </c>
    </row>
    <row r="76" spans="1:42" x14ac:dyDescent="0.3">
      <c r="A76" s="12" t="s">
        <v>139</v>
      </c>
      <c r="B76" s="19">
        <v>42075</v>
      </c>
      <c r="C76" s="46" t="s">
        <v>11</v>
      </c>
      <c r="D76" s="13" t="s">
        <v>45</v>
      </c>
      <c r="E76" s="13" t="s">
        <v>21</v>
      </c>
      <c r="F76" s="13" t="s">
        <v>22</v>
      </c>
      <c r="G76" s="13">
        <v>28.5</v>
      </c>
      <c r="H76" s="13">
        <v>30</v>
      </c>
      <c r="I76" s="13">
        <v>855</v>
      </c>
      <c r="J76" s="14" t="s">
        <v>26</v>
      </c>
      <c r="R76" s="19">
        <v>42361</v>
      </c>
      <c r="S76" s="13" t="s">
        <v>66</v>
      </c>
    </row>
    <row r="77" spans="1:42" x14ac:dyDescent="0.3">
      <c r="A77" s="12" t="s">
        <v>140</v>
      </c>
      <c r="B77" s="19">
        <v>42078</v>
      </c>
      <c r="C77" s="46" t="s">
        <v>11</v>
      </c>
      <c r="D77" s="13" t="s">
        <v>12</v>
      </c>
      <c r="E77" s="13" t="s">
        <v>17</v>
      </c>
      <c r="F77" s="13" t="s">
        <v>79</v>
      </c>
      <c r="G77" s="13">
        <v>18</v>
      </c>
      <c r="H77" s="13">
        <v>21</v>
      </c>
      <c r="I77" s="13">
        <v>378</v>
      </c>
      <c r="J77" s="14" t="s">
        <v>26</v>
      </c>
      <c r="R77" s="19">
        <v>42361</v>
      </c>
      <c r="S77" s="13" t="s">
        <v>188</v>
      </c>
    </row>
    <row r="78" spans="1:42" x14ac:dyDescent="0.3">
      <c r="A78" s="12" t="s">
        <v>141</v>
      </c>
      <c r="B78" s="19">
        <v>42078</v>
      </c>
      <c r="C78" s="46" t="s">
        <v>31</v>
      </c>
      <c r="D78" s="13" t="s">
        <v>12</v>
      </c>
      <c r="E78" s="13" t="s">
        <v>34</v>
      </c>
      <c r="F78" s="13" t="s">
        <v>64</v>
      </c>
      <c r="G78" s="13">
        <v>9</v>
      </c>
      <c r="H78" s="13">
        <v>8</v>
      </c>
      <c r="I78" s="13">
        <v>72</v>
      </c>
      <c r="J78" s="14" t="s">
        <v>26</v>
      </c>
      <c r="R78" s="19">
        <v>42361</v>
      </c>
      <c r="S78" s="13" t="s">
        <v>68</v>
      </c>
    </row>
    <row r="79" spans="1:42" x14ac:dyDescent="0.3">
      <c r="A79" s="12" t="s">
        <v>142</v>
      </c>
      <c r="B79" s="19">
        <v>42078</v>
      </c>
      <c r="C79" s="46" t="s">
        <v>31</v>
      </c>
      <c r="D79" s="13" t="s">
        <v>12</v>
      </c>
      <c r="E79" s="13" t="s">
        <v>51</v>
      </c>
      <c r="F79" s="13" t="s">
        <v>81</v>
      </c>
      <c r="G79" s="13">
        <v>62.5</v>
      </c>
      <c r="H79" s="13">
        <v>4</v>
      </c>
      <c r="I79" s="13">
        <v>250</v>
      </c>
      <c r="J79" s="14" t="s">
        <v>26</v>
      </c>
      <c r="R79" s="20">
        <v>42361</v>
      </c>
      <c r="S79" s="16" t="s">
        <v>81</v>
      </c>
    </row>
    <row r="80" spans="1:42" x14ac:dyDescent="0.3">
      <c r="A80" s="12" t="s">
        <v>143</v>
      </c>
      <c r="B80" s="19">
        <v>42079</v>
      </c>
      <c r="C80" s="46" t="s">
        <v>11</v>
      </c>
      <c r="D80" s="13" t="s">
        <v>24</v>
      </c>
      <c r="E80" s="13" t="s">
        <v>17</v>
      </c>
      <c r="F80" s="13" t="s">
        <v>144</v>
      </c>
      <c r="G80" s="13">
        <v>14</v>
      </c>
      <c r="H80" s="13">
        <v>20</v>
      </c>
      <c r="I80" s="13">
        <v>280</v>
      </c>
      <c r="J80" s="14" t="s">
        <v>26</v>
      </c>
    </row>
    <row r="81" spans="1:19" x14ac:dyDescent="0.3">
      <c r="A81" s="12" t="s">
        <v>145</v>
      </c>
      <c r="B81" s="19">
        <v>42079</v>
      </c>
      <c r="C81" s="46" t="s">
        <v>28</v>
      </c>
      <c r="D81" s="13" t="s">
        <v>24</v>
      </c>
      <c r="E81" s="13" t="s">
        <v>13</v>
      </c>
      <c r="F81" s="13" t="s">
        <v>14</v>
      </c>
      <c r="G81" s="13">
        <v>45.6</v>
      </c>
      <c r="H81" s="13">
        <v>8</v>
      </c>
      <c r="I81" s="13">
        <v>364.8</v>
      </c>
      <c r="J81" s="14" t="s">
        <v>26</v>
      </c>
    </row>
    <row r="82" spans="1:19" x14ac:dyDescent="0.3">
      <c r="A82" s="12" t="s">
        <v>146</v>
      </c>
      <c r="B82" s="19">
        <v>42080</v>
      </c>
      <c r="C82" s="46" t="s">
        <v>11</v>
      </c>
      <c r="D82" s="13" t="s">
        <v>45</v>
      </c>
      <c r="E82" s="13" t="s">
        <v>21</v>
      </c>
      <c r="F82" s="13" t="s">
        <v>22</v>
      </c>
      <c r="G82" s="13">
        <v>21</v>
      </c>
      <c r="H82" s="13">
        <v>21</v>
      </c>
      <c r="I82" s="13">
        <v>441</v>
      </c>
      <c r="J82" s="14" t="s">
        <v>26</v>
      </c>
    </row>
    <row r="83" spans="1:19" x14ac:dyDescent="0.3">
      <c r="A83" s="12" t="s">
        <v>147</v>
      </c>
      <c r="B83" s="19">
        <v>42080</v>
      </c>
      <c r="C83" s="46" t="s">
        <v>31</v>
      </c>
      <c r="D83" s="13" t="s">
        <v>45</v>
      </c>
      <c r="E83" s="13" t="s">
        <v>21</v>
      </c>
      <c r="F83" s="13" t="s">
        <v>22</v>
      </c>
      <c r="G83" s="13">
        <v>6</v>
      </c>
      <c r="H83" s="13">
        <v>15</v>
      </c>
      <c r="I83" s="13">
        <v>90</v>
      </c>
      <c r="J83" s="14" t="s">
        <v>26</v>
      </c>
    </row>
    <row r="84" spans="1:19" x14ac:dyDescent="0.3">
      <c r="A84" s="12" t="s">
        <v>148</v>
      </c>
      <c r="B84" s="19">
        <v>42080</v>
      </c>
      <c r="C84" s="46" t="s">
        <v>31</v>
      </c>
      <c r="D84" s="13" t="s">
        <v>45</v>
      </c>
      <c r="E84" s="13" t="s">
        <v>51</v>
      </c>
      <c r="F84" s="13" t="s">
        <v>81</v>
      </c>
      <c r="G84" s="13">
        <v>12</v>
      </c>
      <c r="H84" s="13">
        <v>15</v>
      </c>
      <c r="I84" s="13">
        <v>180</v>
      </c>
      <c r="J84" s="14" t="s">
        <v>26</v>
      </c>
    </row>
    <row r="85" spans="1:19" x14ac:dyDescent="0.3">
      <c r="A85" s="12" t="s">
        <v>149</v>
      </c>
      <c r="B85" s="19">
        <v>42082</v>
      </c>
      <c r="C85" s="46" t="s">
        <v>31</v>
      </c>
      <c r="D85" s="13" t="s">
        <v>85</v>
      </c>
      <c r="E85" s="13" t="s">
        <v>51</v>
      </c>
      <c r="F85" s="13" t="s">
        <v>81</v>
      </c>
      <c r="G85" s="13">
        <v>24</v>
      </c>
      <c r="H85" s="13">
        <v>4</v>
      </c>
      <c r="I85" s="13">
        <v>96</v>
      </c>
      <c r="J85" s="14" t="s">
        <v>26</v>
      </c>
    </row>
    <row r="86" spans="1:19" x14ac:dyDescent="0.3">
      <c r="A86" s="12" t="s">
        <v>150</v>
      </c>
      <c r="B86" s="19">
        <v>42082</v>
      </c>
      <c r="C86" s="46" t="s">
        <v>11</v>
      </c>
      <c r="D86" s="13" t="s">
        <v>85</v>
      </c>
      <c r="E86" s="13" t="s">
        <v>34</v>
      </c>
      <c r="F86" s="13" t="s">
        <v>64</v>
      </c>
      <c r="G86" s="13">
        <v>53</v>
      </c>
      <c r="H86" s="13">
        <v>40</v>
      </c>
      <c r="I86" s="13">
        <v>2120</v>
      </c>
      <c r="J86" s="14" t="s">
        <v>26</v>
      </c>
    </row>
    <row r="87" spans="1:19" x14ac:dyDescent="0.3">
      <c r="A87" s="12" t="s">
        <v>151</v>
      </c>
      <c r="B87" s="19">
        <v>42082</v>
      </c>
      <c r="C87" s="46" t="s">
        <v>31</v>
      </c>
      <c r="D87" s="13" t="s">
        <v>85</v>
      </c>
      <c r="E87" s="13" t="s">
        <v>34</v>
      </c>
      <c r="F87" s="13" t="s">
        <v>64</v>
      </c>
      <c r="G87" s="13">
        <v>16.25</v>
      </c>
      <c r="H87" s="13">
        <v>9</v>
      </c>
      <c r="I87" s="13">
        <v>146.25</v>
      </c>
      <c r="J87" s="14" t="s">
        <v>26</v>
      </c>
    </row>
    <row r="88" spans="1:19" x14ac:dyDescent="0.3">
      <c r="A88" s="12" t="s">
        <v>152</v>
      </c>
      <c r="B88" s="19">
        <v>42082</v>
      </c>
      <c r="C88" s="46" t="s">
        <v>28</v>
      </c>
      <c r="D88" s="13" t="s">
        <v>45</v>
      </c>
      <c r="E88" s="13" t="s">
        <v>13</v>
      </c>
      <c r="F88" s="13" t="s">
        <v>66</v>
      </c>
      <c r="G88" s="13">
        <v>55</v>
      </c>
      <c r="H88" s="13">
        <v>4</v>
      </c>
      <c r="I88" s="13">
        <v>220</v>
      </c>
      <c r="J88" s="14" t="s">
        <v>26</v>
      </c>
      <c r="Q88" s="50"/>
      <c r="R88" s="59"/>
    </row>
    <row r="89" spans="1:19" x14ac:dyDescent="0.3">
      <c r="A89" s="12" t="s">
        <v>153</v>
      </c>
      <c r="B89" s="19">
        <v>42085</v>
      </c>
      <c r="C89" s="46" t="s">
        <v>11</v>
      </c>
      <c r="D89" s="13" t="s">
        <v>45</v>
      </c>
      <c r="E89" s="13" t="s">
        <v>13</v>
      </c>
      <c r="F89" s="13" t="s">
        <v>99</v>
      </c>
      <c r="G89" s="13">
        <v>12.5</v>
      </c>
      <c r="H89" s="13">
        <v>50</v>
      </c>
      <c r="I89" s="13">
        <v>625</v>
      </c>
      <c r="J89" s="14" t="s">
        <v>26</v>
      </c>
      <c r="L89" s="57" t="s">
        <v>732</v>
      </c>
      <c r="M89" s="57" t="s">
        <v>733</v>
      </c>
      <c r="N89" s="57" t="s">
        <v>656</v>
      </c>
      <c r="Q89" s="50"/>
      <c r="R89" s="59"/>
    </row>
    <row r="90" spans="1:19" x14ac:dyDescent="0.3">
      <c r="A90" s="12" t="s">
        <v>154</v>
      </c>
      <c r="B90" s="19">
        <v>42085</v>
      </c>
      <c r="C90" s="46" t="s">
        <v>11</v>
      </c>
      <c r="D90" s="13" t="s">
        <v>45</v>
      </c>
      <c r="E90" s="13" t="s">
        <v>34</v>
      </c>
      <c r="F90" s="13" t="s">
        <v>35</v>
      </c>
      <c r="G90" s="13">
        <v>81</v>
      </c>
      <c r="H90" s="13">
        <v>50</v>
      </c>
      <c r="I90" s="13">
        <v>4050</v>
      </c>
      <c r="J90" s="14" t="s">
        <v>26</v>
      </c>
      <c r="L90" s="13">
        <v>4</v>
      </c>
      <c r="M90" s="13">
        <v>2015</v>
      </c>
      <c r="N90" s="56" t="s">
        <v>738</v>
      </c>
      <c r="Q90" s="50"/>
      <c r="R90" s="59"/>
    </row>
    <row r="91" spans="1:19" x14ac:dyDescent="0.3">
      <c r="A91" s="12" t="s">
        <v>155</v>
      </c>
      <c r="B91" s="19">
        <v>42087</v>
      </c>
      <c r="C91" s="46" t="s">
        <v>20</v>
      </c>
      <c r="D91" s="13" t="s">
        <v>24</v>
      </c>
      <c r="E91" s="13" t="s">
        <v>21</v>
      </c>
      <c r="F91" s="13" t="s">
        <v>61</v>
      </c>
      <c r="G91" s="13">
        <v>21.35</v>
      </c>
      <c r="H91" s="13">
        <v>20</v>
      </c>
      <c r="I91" s="13">
        <v>427</v>
      </c>
      <c r="J91" s="14" t="s">
        <v>26</v>
      </c>
      <c r="L91" s="51"/>
      <c r="Q91" s="50"/>
      <c r="R91" s="59"/>
    </row>
    <row r="92" spans="1:19" x14ac:dyDescent="0.3">
      <c r="A92" s="12" t="s">
        <v>156</v>
      </c>
      <c r="B92" s="19">
        <v>42087</v>
      </c>
      <c r="C92" s="46" t="s">
        <v>11</v>
      </c>
      <c r="D92" s="13" t="s">
        <v>24</v>
      </c>
      <c r="E92" s="13" t="s">
        <v>51</v>
      </c>
      <c r="F92" s="13" t="s">
        <v>81</v>
      </c>
      <c r="G92" s="13">
        <v>30</v>
      </c>
      <c r="H92" s="13">
        <v>6</v>
      </c>
      <c r="I92" s="13">
        <v>180</v>
      </c>
      <c r="J92" s="14" t="s">
        <v>26</v>
      </c>
      <c r="L92" s="51"/>
      <c r="Q92" s="50"/>
      <c r="R92" s="59"/>
    </row>
    <row r="93" spans="1:19" x14ac:dyDescent="0.3">
      <c r="A93" s="12" t="s">
        <v>157</v>
      </c>
      <c r="B93" s="19">
        <v>42087</v>
      </c>
      <c r="C93" s="46" t="s">
        <v>20</v>
      </c>
      <c r="D93" s="13" t="s">
        <v>24</v>
      </c>
      <c r="E93" s="13" t="s">
        <v>13</v>
      </c>
      <c r="F93" s="13" t="s">
        <v>56</v>
      </c>
      <c r="G93" s="13">
        <v>34.799999999999997</v>
      </c>
      <c r="H93" s="13">
        <v>5</v>
      </c>
      <c r="I93" s="13">
        <v>174</v>
      </c>
      <c r="J93" s="14" t="s">
        <v>26</v>
      </c>
      <c r="Q93" s="50"/>
      <c r="R93" s="59"/>
    </row>
    <row r="94" spans="1:19" x14ac:dyDescent="0.3">
      <c r="A94" s="12" t="s">
        <v>158</v>
      </c>
      <c r="B94" s="19">
        <v>42087</v>
      </c>
      <c r="C94" s="46" t="s">
        <v>11</v>
      </c>
      <c r="D94" s="13" t="s">
        <v>12</v>
      </c>
      <c r="E94" s="13" t="s">
        <v>17</v>
      </c>
      <c r="F94" s="13" t="s">
        <v>25</v>
      </c>
      <c r="G94" s="13">
        <v>7.75</v>
      </c>
      <c r="H94" s="13">
        <v>20</v>
      </c>
      <c r="I94" s="13">
        <v>155</v>
      </c>
      <c r="J94" s="14" t="s">
        <v>26</v>
      </c>
      <c r="Q94" s="50"/>
      <c r="R94" s="59"/>
    </row>
    <row r="95" spans="1:19" x14ac:dyDescent="0.3">
      <c r="A95" s="12" t="s">
        <v>159</v>
      </c>
      <c r="B95" s="19">
        <v>42088</v>
      </c>
      <c r="C95" s="46" t="s">
        <v>11</v>
      </c>
      <c r="D95" s="13" t="s">
        <v>24</v>
      </c>
      <c r="E95" s="13" t="s">
        <v>17</v>
      </c>
      <c r="F95" s="13" t="s">
        <v>134</v>
      </c>
      <c r="G95" s="13">
        <v>18</v>
      </c>
      <c r="H95" s="13">
        <v>60</v>
      </c>
      <c r="I95" s="13">
        <v>1080</v>
      </c>
      <c r="J95" s="14" t="s">
        <v>15</v>
      </c>
      <c r="L95" s="51"/>
      <c r="Q95" s="50"/>
      <c r="R95" s="59"/>
    </row>
    <row r="96" spans="1:19" x14ac:dyDescent="0.3">
      <c r="A96" s="12" t="s">
        <v>160</v>
      </c>
      <c r="B96" s="19">
        <v>42088</v>
      </c>
      <c r="C96" s="46" t="s">
        <v>20</v>
      </c>
      <c r="D96" s="13" t="s">
        <v>12</v>
      </c>
      <c r="E96" s="13" t="s">
        <v>21</v>
      </c>
      <c r="F96" s="13" t="s">
        <v>22</v>
      </c>
      <c r="G96" s="13">
        <v>7</v>
      </c>
      <c r="H96" s="13">
        <v>6</v>
      </c>
      <c r="I96" s="13">
        <v>42</v>
      </c>
      <c r="J96" s="14" t="s">
        <v>15</v>
      </c>
      <c r="Q96" s="50"/>
      <c r="R96" s="50"/>
      <c r="S96" s="59"/>
    </row>
    <row r="97" spans="1:19" x14ac:dyDescent="0.3">
      <c r="A97" s="12" t="s">
        <v>161</v>
      </c>
      <c r="B97" s="19">
        <v>42092</v>
      </c>
      <c r="C97" s="46" t="s">
        <v>11</v>
      </c>
      <c r="D97" s="13" t="s">
        <v>12</v>
      </c>
      <c r="E97" s="13" t="s">
        <v>51</v>
      </c>
      <c r="F97" s="13" t="s">
        <v>81</v>
      </c>
      <c r="G97" s="13">
        <v>12</v>
      </c>
      <c r="H97" s="13">
        <v>9</v>
      </c>
      <c r="I97" s="13">
        <v>108</v>
      </c>
      <c r="J97" s="14" t="s">
        <v>26</v>
      </c>
      <c r="Q97" s="50"/>
      <c r="R97" s="50"/>
      <c r="S97" s="59"/>
    </row>
    <row r="98" spans="1:19" x14ac:dyDescent="0.3">
      <c r="A98" s="12" t="s">
        <v>162</v>
      </c>
      <c r="B98" s="19">
        <v>42093</v>
      </c>
      <c r="C98" s="46" t="s">
        <v>11</v>
      </c>
      <c r="D98" s="13" t="s">
        <v>85</v>
      </c>
      <c r="E98" s="13" t="s">
        <v>21</v>
      </c>
      <c r="F98" s="13" t="s">
        <v>22</v>
      </c>
      <c r="G98" s="13">
        <v>7</v>
      </c>
      <c r="H98" s="13">
        <v>40</v>
      </c>
      <c r="I98" s="13">
        <v>280</v>
      </c>
      <c r="J98" s="14" t="s">
        <v>15</v>
      </c>
      <c r="Q98" s="50"/>
      <c r="R98" s="50"/>
      <c r="S98" s="59"/>
    </row>
    <row r="99" spans="1:19" x14ac:dyDescent="0.3">
      <c r="A99" s="12" t="s">
        <v>163</v>
      </c>
      <c r="B99" s="19">
        <v>42096</v>
      </c>
      <c r="C99" s="46" t="s">
        <v>28</v>
      </c>
      <c r="D99" s="13" t="s">
        <v>85</v>
      </c>
      <c r="E99" s="13" t="s">
        <v>17</v>
      </c>
      <c r="F99" s="13" t="s">
        <v>32</v>
      </c>
      <c r="G99" s="13">
        <v>263.5</v>
      </c>
      <c r="H99" s="13">
        <v>60</v>
      </c>
      <c r="I99" s="13">
        <v>15810</v>
      </c>
      <c r="J99" s="14" t="s">
        <v>26</v>
      </c>
      <c r="Q99" s="50"/>
      <c r="R99" s="50"/>
      <c r="S99" s="59"/>
    </row>
    <row r="100" spans="1:19" x14ac:dyDescent="0.3">
      <c r="A100" s="12" t="s">
        <v>164</v>
      </c>
      <c r="B100" s="19">
        <v>42099</v>
      </c>
      <c r="C100" s="46" t="s">
        <v>28</v>
      </c>
      <c r="D100" s="13" t="s">
        <v>24</v>
      </c>
      <c r="E100" s="13" t="s">
        <v>17</v>
      </c>
      <c r="F100" s="13" t="s">
        <v>134</v>
      </c>
      <c r="G100" s="13">
        <v>18</v>
      </c>
      <c r="H100" s="13">
        <v>10</v>
      </c>
      <c r="I100" s="13">
        <v>180</v>
      </c>
      <c r="J100" s="14" t="s">
        <v>26</v>
      </c>
      <c r="Q100" s="50"/>
      <c r="R100" s="50"/>
      <c r="S100" s="59"/>
    </row>
    <row r="101" spans="1:19" x14ac:dyDescent="0.3">
      <c r="A101" s="12" t="s">
        <v>165</v>
      </c>
      <c r="B101" s="19">
        <v>42099</v>
      </c>
      <c r="C101" s="46" t="s">
        <v>20</v>
      </c>
      <c r="D101" s="13" t="s">
        <v>24</v>
      </c>
      <c r="E101" s="13" t="s">
        <v>21</v>
      </c>
      <c r="F101" s="13" t="s">
        <v>97</v>
      </c>
      <c r="G101" s="13">
        <v>13</v>
      </c>
      <c r="H101" s="13">
        <v>15</v>
      </c>
      <c r="I101" s="13">
        <v>195</v>
      </c>
      <c r="J101" s="14" t="s">
        <v>26</v>
      </c>
      <c r="Q101" s="50"/>
      <c r="R101" s="50"/>
      <c r="S101" s="59"/>
    </row>
    <row r="102" spans="1:19" x14ac:dyDescent="0.3">
      <c r="A102" s="12" t="s">
        <v>166</v>
      </c>
      <c r="B102" s="19">
        <v>42099</v>
      </c>
      <c r="C102" s="46" t="s">
        <v>11</v>
      </c>
      <c r="D102" s="13" t="s">
        <v>24</v>
      </c>
      <c r="E102" s="13" t="s">
        <v>13</v>
      </c>
      <c r="F102" s="13" t="s">
        <v>14</v>
      </c>
      <c r="G102" s="13">
        <v>21</v>
      </c>
      <c r="H102" s="13">
        <v>30</v>
      </c>
      <c r="I102" s="13">
        <v>630</v>
      </c>
      <c r="J102" s="14" t="s">
        <v>26</v>
      </c>
      <c r="Q102" s="50"/>
      <c r="R102" s="50"/>
      <c r="S102" s="59"/>
    </row>
    <row r="103" spans="1:19" x14ac:dyDescent="0.3">
      <c r="A103" s="12" t="s">
        <v>167</v>
      </c>
      <c r="B103" s="19">
        <v>42099</v>
      </c>
      <c r="C103" s="46" t="s">
        <v>20</v>
      </c>
      <c r="D103" s="13" t="s">
        <v>24</v>
      </c>
      <c r="E103" s="13" t="s">
        <v>34</v>
      </c>
      <c r="F103" s="13" t="s">
        <v>35</v>
      </c>
      <c r="G103" s="13">
        <v>81</v>
      </c>
      <c r="H103" s="13">
        <v>15</v>
      </c>
      <c r="I103" s="13">
        <v>1215</v>
      </c>
      <c r="J103" s="14" t="s">
        <v>26</v>
      </c>
      <c r="Q103" s="50"/>
      <c r="R103" s="50"/>
      <c r="S103" s="59"/>
    </row>
    <row r="104" spans="1:19" x14ac:dyDescent="0.3">
      <c r="A104" s="12" t="s">
        <v>168</v>
      </c>
      <c r="B104" s="19">
        <v>42100</v>
      </c>
      <c r="C104" s="46" t="s">
        <v>28</v>
      </c>
      <c r="D104" s="13" t="s">
        <v>12</v>
      </c>
      <c r="E104" s="13" t="s">
        <v>21</v>
      </c>
      <c r="F104" s="13" t="s">
        <v>39</v>
      </c>
      <c r="G104" s="13">
        <v>25</v>
      </c>
      <c r="H104" s="13">
        <v>40</v>
      </c>
      <c r="I104" s="13">
        <v>1000</v>
      </c>
      <c r="J104" s="14" t="s">
        <v>15</v>
      </c>
      <c r="Q104" s="50"/>
      <c r="R104" s="50"/>
      <c r="S104" s="59"/>
    </row>
    <row r="105" spans="1:19" x14ac:dyDescent="0.3">
      <c r="A105" s="12" t="s">
        <v>169</v>
      </c>
      <c r="B105" s="19">
        <v>42100</v>
      </c>
      <c r="C105" s="46" t="s">
        <v>11</v>
      </c>
      <c r="D105" s="13" t="s">
        <v>12</v>
      </c>
      <c r="E105" s="13" t="s">
        <v>13</v>
      </c>
      <c r="F105" s="13" t="s">
        <v>14</v>
      </c>
      <c r="G105" s="13">
        <v>21</v>
      </c>
      <c r="H105" s="13">
        <v>15</v>
      </c>
      <c r="I105" s="13">
        <v>315</v>
      </c>
      <c r="J105" s="14" t="s">
        <v>15</v>
      </c>
      <c r="Q105" s="50"/>
      <c r="R105" s="50"/>
      <c r="S105" s="59"/>
    </row>
    <row r="106" spans="1:19" x14ac:dyDescent="0.3">
      <c r="A106" s="12" t="s">
        <v>170</v>
      </c>
      <c r="B106" s="19">
        <v>42100</v>
      </c>
      <c r="C106" s="46" t="s">
        <v>11</v>
      </c>
      <c r="D106" s="13" t="s">
        <v>12</v>
      </c>
      <c r="E106" s="13" t="s">
        <v>34</v>
      </c>
      <c r="F106" s="13" t="s">
        <v>64</v>
      </c>
      <c r="G106" s="13">
        <v>9.65</v>
      </c>
      <c r="H106" s="13">
        <v>4</v>
      </c>
      <c r="I106" s="13">
        <v>38.6</v>
      </c>
      <c r="J106" s="14" t="s">
        <v>15</v>
      </c>
      <c r="Q106" s="50"/>
      <c r="R106" s="50"/>
      <c r="S106" s="59"/>
    </row>
    <row r="107" spans="1:19" x14ac:dyDescent="0.3">
      <c r="A107" s="12" t="s">
        <v>171</v>
      </c>
      <c r="B107" s="19">
        <v>42100</v>
      </c>
      <c r="C107" s="46" t="s">
        <v>11</v>
      </c>
      <c r="D107" s="13" t="s">
        <v>45</v>
      </c>
      <c r="E107" s="13" t="s">
        <v>13</v>
      </c>
      <c r="F107" s="13" t="s">
        <v>14</v>
      </c>
      <c r="G107" s="13">
        <v>30</v>
      </c>
      <c r="H107" s="13">
        <v>60</v>
      </c>
      <c r="I107" s="13">
        <v>1800</v>
      </c>
      <c r="J107" s="14" t="s">
        <v>15</v>
      </c>
      <c r="Q107" s="50"/>
      <c r="R107" s="50"/>
      <c r="S107" s="59"/>
    </row>
    <row r="108" spans="1:19" x14ac:dyDescent="0.3">
      <c r="A108" s="12" t="s">
        <v>172</v>
      </c>
      <c r="B108" s="19">
        <v>42100</v>
      </c>
      <c r="C108" s="46" t="s">
        <v>28</v>
      </c>
      <c r="D108" s="13" t="s">
        <v>45</v>
      </c>
      <c r="E108" s="13" t="s">
        <v>17</v>
      </c>
      <c r="F108" s="13" t="s">
        <v>29</v>
      </c>
      <c r="G108" s="13">
        <v>46</v>
      </c>
      <c r="H108" s="13">
        <v>6</v>
      </c>
      <c r="I108" s="13">
        <v>276</v>
      </c>
      <c r="J108" s="14" t="s">
        <v>15</v>
      </c>
      <c r="Q108" s="50"/>
      <c r="R108" s="50"/>
      <c r="S108" s="59"/>
    </row>
    <row r="109" spans="1:19" x14ac:dyDescent="0.3">
      <c r="A109" s="12" t="s">
        <v>173</v>
      </c>
      <c r="B109" s="19">
        <v>42100</v>
      </c>
      <c r="C109" s="46" t="s">
        <v>20</v>
      </c>
      <c r="D109" s="13" t="s">
        <v>45</v>
      </c>
      <c r="E109" s="13" t="s">
        <v>13</v>
      </c>
      <c r="F109" s="13" t="s">
        <v>56</v>
      </c>
      <c r="G109" s="13">
        <v>34.799999999999997</v>
      </c>
      <c r="H109" s="13">
        <v>20</v>
      </c>
      <c r="I109" s="13">
        <v>696</v>
      </c>
      <c r="J109" s="14" t="s">
        <v>15</v>
      </c>
      <c r="Q109" s="50"/>
      <c r="R109" s="50"/>
      <c r="S109" s="59"/>
    </row>
    <row r="110" spans="1:19" x14ac:dyDescent="0.3">
      <c r="A110" s="12" t="s">
        <v>174</v>
      </c>
      <c r="B110" s="19">
        <v>42108</v>
      </c>
      <c r="C110" s="46" t="s">
        <v>31</v>
      </c>
      <c r="D110" s="13" t="s">
        <v>85</v>
      </c>
      <c r="E110" s="13" t="s">
        <v>17</v>
      </c>
      <c r="F110" s="13" t="s">
        <v>128</v>
      </c>
      <c r="G110" s="13">
        <v>4.5</v>
      </c>
      <c r="H110" s="13">
        <v>12</v>
      </c>
      <c r="I110" s="13">
        <v>54</v>
      </c>
      <c r="J110" s="14" t="s">
        <v>15</v>
      </c>
      <c r="Q110" s="50"/>
      <c r="R110" s="50"/>
      <c r="S110" s="59"/>
    </row>
    <row r="111" spans="1:19" x14ac:dyDescent="0.3">
      <c r="A111" s="12" t="s">
        <v>175</v>
      </c>
      <c r="B111" s="19">
        <v>42108</v>
      </c>
      <c r="C111" s="46" t="s">
        <v>20</v>
      </c>
      <c r="D111" s="13" t="s">
        <v>85</v>
      </c>
      <c r="E111" s="13" t="s">
        <v>13</v>
      </c>
      <c r="F111" s="13" t="s">
        <v>41</v>
      </c>
      <c r="G111" s="13">
        <v>34</v>
      </c>
      <c r="H111" s="13">
        <v>9</v>
      </c>
      <c r="I111" s="13">
        <v>306</v>
      </c>
      <c r="J111" s="14" t="s">
        <v>15</v>
      </c>
      <c r="Q111" s="50"/>
      <c r="R111" s="50"/>
      <c r="S111" s="59"/>
    </row>
    <row r="112" spans="1:19" x14ac:dyDescent="0.3">
      <c r="A112" s="12" t="s">
        <v>176</v>
      </c>
      <c r="B112" s="19">
        <v>42108</v>
      </c>
      <c r="C112" s="46" t="s">
        <v>31</v>
      </c>
      <c r="D112" s="13" t="s">
        <v>85</v>
      </c>
      <c r="E112" s="13" t="s">
        <v>13</v>
      </c>
      <c r="F112" s="13" t="s">
        <v>14</v>
      </c>
      <c r="G112" s="13">
        <v>19</v>
      </c>
      <c r="H112" s="13">
        <v>18</v>
      </c>
      <c r="I112" s="13">
        <v>342</v>
      </c>
      <c r="J112" s="14" t="s">
        <v>15</v>
      </c>
      <c r="Q112" s="50"/>
      <c r="R112" s="50"/>
      <c r="S112" s="59"/>
    </row>
    <row r="113" spans="1:19" x14ac:dyDescent="0.3">
      <c r="A113" s="12" t="s">
        <v>177</v>
      </c>
      <c r="B113" s="19">
        <v>42109</v>
      </c>
      <c r="C113" s="46" t="s">
        <v>20</v>
      </c>
      <c r="D113" s="13" t="s">
        <v>85</v>
      </c>
      <c r="E113" s="13" t="s">
        <v>17</v>
      </c>
      <c r="F113" s="13" t="s">
        <v>54</v>
      </c>
      <c r="G113" s="13">
        <v>9</v>
      </c>
      <c r="H113" s="13">
        <v>10</v>
      </c>
      <c r="I113" s="13">
        <v>90</v>
      </c>
      <c r="J113" s="14" t="s">
        <v>15</v>
      </c>
      <c r="Q113" s="50"/>
      <c r="R113" s="50"/>
      <c r="S113" s="59"/>
    </row>
    <row r="114" spans="1:19" x14ac:dyDescent="0.3">
      <c r="A114" s="12" t="s">
        <v>178</v>
      </c>
      <c r="B114" s="19">
        <v>42109</v>
      </c>
      <c r="C114" s="46" t="s">
        <v>31</v>
      </c>
      <c r="D114" s="13" t="s">
        <v>85</v>
      </c>
      <c r="E114" s="13" t="s">
        <v>34</v>
      </c>
      <c r="F114" s="13" t="s">
        <v>64</v>
      </c>
      <c r="G114" s="13">
        <v>14</v>
      </c>
      <c r="H114" s="13">
        <v>4</v>
      </c>
      <c r="I114" s="13">
        <v>56</v>
      </c>
      <c r="J114" s="14" t="s">
        <v>15</v>
      </c>
      <c r="Q114" s="50"/>
      <c r="R114" s="50"/>
      <c r="S114" s="59"/>
    </row>
    <row r="115" spans="1:19" x14ac:dyDescent="0.3">
      <c r="A115" s="12" t="s">
        <v>179</v>
      </c>
      <c r="B115" s="19">
        <v>42109</v>
      </c>
      <c r="C115" s="46" t="s">
        <v>20</v>
      </c>
      <c r="D115" s="13" t="s">
        <v>85</v>
      </c>
      <c r="E115" s="13" t="s">
        <v>13</v>
      </c>
      <c r="F115" s="13" t="s">
        <v>14</v>
      </c>
      <c r="G115" s="13">
        <v>9.5</v>
      </c>
      <c r="H115" s="13">
        <v>20</v>
      </c>
      <c r="I115" s="13">
        <v>190</v>
      </c>
      <c r="J115" s="14" t="s">
        <v>15</v>
      </c>
      <c r="Q115" s="50"/>
      <c r="R115" s="50"/>
      <c r="S115" s="59"/>
    </row>
    <row r="116" spans="1:19" x14ac:dyDescent="0.3">
      <c r="A116" s="12" t="s">
        <v>180</v>
      </c>
      <c r="B116" s="19">
        <v>42109</v>
      </c>
      <c r="C116" s="46" t="s">
        <v>28</v>
      </c>
      <c r="D116" s="13" t="s">
        <v>85</v>
      </c>
      <c r="E116" s="13" t="s">
        <v>34</v>
      </c>
      <c r="F116" s="13" t="s">
        <v>43</v>
      </c>
      <c r="G116" s="13">
        <v>12.5</v>
      </c>
      <c r="H116" s="13">
        <v>2</v>
      </c>
      <c r="I116" s="13">
        <v>25</v>
      </c>
      <c r="J116" s="14" t="s">
        <v>15</v>
      </c>
      <c r="Q116" s="50"/>
      <c r="R116" s="50"/>
      <c r="S116" s="59"/>
    </row>
    <row r="117" spans="1:19" x14ac:dyDescent="0.3">
      <c r="A117" s="12" t="s">
        <v>181</v>
      </c>
      <c r="B117" s="19">
        <v>42110</v>
      </c>
      <c r="C117" s="46" t="s">
        <v>20</v>
      </c>
      <c r="D117" s="13" t="s">
        <v>45</v>
      </c>
      <c r="E117" s="13" t="s">
        <v>13</v>
      </c>
      <c r="F117" s="13" t="s">
        <v>99</v>
      </c>
      <c r="G117" s="13">
        <v>12.5</v>
      </c>
      <c r="H117" s="13">
        <v>15</v>
      </c>
      <c r="I117" s="13">
        <v>187.5</v>
      </c>
      <c r="J117" s="14" t="s">
        <v>26</v>
      </c>
      <c r="Q117" s="50"/>
      <c r="R117" s="50"/>
      <c r="S117" s="59"/>
    </row>
    <row r="118" spans="1:19" x14ac:dyDescent="0.3">
      <c r="A118" s="12" t="s">
        <v>182</v>
      </c>
      <c r="B118" s="19">
        <v>42110</v>
      </c>
      <c r="C118" s="46" t="s">
        <v>20</v>
      </c>
      <c r="D118" s="13" t="s">
        <v>45</v>
      </c>
      <c r="E118" s="13" t="s">
        <v>21</v>
      </c>
      <c r="F118" s="13" t="s">
        <v>22</v>
      </c>
      <c r="G118" s="13">
        <v>19</v>
      </c>
      <c r="H118" s="13">
        <v>16</v>
      </c>
      <c r="I118" s="13">
        <v>304</v>
      </c>
      <c r="J118" s="14" t="s">
        <v>26</v>
      </c>
      <c r="Q118" s="50"/>
      <c r="R118" s="50"/>
      <c r="S118" s="59"/>
    </row>
    <row r="119" spans="1:19" x14ac:dyDescent="0.3">
      <c r="A119" s="12" t="s">
        <v>183</v>
      </c>
      <c r="B119" s="19">
        <v>42113</v>
      </c>
      <c r="C119" s="46" t="s">
        <v>20</v>
      </c>
      <c r="D119" s="13" t="s">
        <v>24</v>
      </c>
      <c r="E119" s="13" t="s">
        <v>21</v>
      </c>
      <c r="F119" s="13" t="s">
        <v>22</v>
      </c>
      <c r="G119" s="13">
        <v>12</v>
      </c>
      <c r="H119" s="13">
        <v>3</v>
      </c>
      <c r="I119" s="13">
        <v>36</v>
      </c>
      <c r="J119" s="14" t="s">
        <v>26</v>
      </c>
      <c r="Q119" s="50"/>
      <c r="R119" s="50"/>
      <c r="S119" s="59"/>
    </row>
    <row r="120" spans="1:19" x14ac:dyDescent="0.3">
      <c r="A120" s="12" t="s">
        <v>184</v>
      </c>
      <c r="B120" s="19">
        <v>42113</v>
      </c>
      <c r="C120" s="46" t="s">
        <v>31</v>
      </c>
      <c r="D120" s="13" t="s">
        <v>24</v>
      </c>
      <c r="E120" s="13" t="s">
        <v>34</v>
      </c>
      <c r="F120" s="13" t="s">
        <v>75</v>
      </c>
      <c r="G120" s="13">
        <v>20</v>
      </c>
      <c r="H120" s="13">
        <v>2</v>
      </c>
      <c r="I120" s="13">
        <v>40</v>
      </c>
      <c r="J120" s="14" t="s">
        <v>26</v>
      </c>
      <c r="Q120" s="50"/>
      <c r="R120" s="50"/>
      <c r="S120" s="59"/>
    </row>
    <row r="121" spans="1:19" x14ac:dyDescent="0.3">
      <c r="A121" s="12" t="s">
        <v>185</v>
      </c>
      <c r="B121" s="19">
        <v>42114</v>
      </c>
      <c r="C121" s="46" t="s">
        <v>11</v>
      </c>
      <c r="D121" s="13" t="s">
        <v>12</v>
      </c>
      <c r="E121" s="13" t="s">
        <v>13</v>
      </c>
      <c r="F121" s="13" t="s">
        <v>186</v>
      </c>
      <c r="G121" s="13">
        <v>36</v>
      </c>
      <c r="H121" s="13">
        <v>30</v>
      </c>
      <c r="I121" s="13">
        <v>1080</v>
      </c>
      <c r="J121" s="14" t="s">
        <v>26</v>
      </c>
      <c r="Q121" s="50"/>
      <c r="R121" s="50"/>
      <c r="S121" s="59"/>
    </row>
    <row r="122" spans="1:19" x14ac:dyDescent="0.3">
      <c r="A122" s="12" t="s">
        <v>187</v>
      </c>
      <c r="B122" s="19">
        <v>42114</v>
      </c>
      <c r="C122" s="46" t="s">
        <v>20</v>
      </c>
      <c r="D122" s="13" t="s">
        <v>12</v>
      </c>
      <c r="E122" s="13" t="s">
        <v>34</v>
      </c>
      <c r="F122" s="13" t="s">
        <v>188</v>
      </c>
      <c r="G122" s="13">
        <v>9.1999999999999993</v>
      </c>
      <c r="H122" s="13">
        <v>35</v>
      </c>
      <c r="I122" s="13">
        <v>322</v>
      </c>
      <c r="J122" s="14" t="s">
        <v>26</v>
      </c>
      <c r="Q122" s="50"/>
      <c r="R122" s="50"/>
      <c r="S122" s="59"/>
    </row>
    <row r="123" spans="1:19" x14ac:dyDescent="0.3">
      <c r="A123" s="12" t="s">
        <v>189</v>
      </c>
      <c r="B123" s="19">
        <v>42114</v>
      </c>
      <c r="C123" s="46" t="s">
        <v>28</v>
      </c>
      <c r="D123" s="13" t="s">
        <v>45</v>
      </c>
      <c r="E123" s="13" t="s">
        <v>17</v>
      </c>
      <c r="F123" s="13" t="s">
        <v>29</v>
      </c>
      <c r="G123" s="13">
        <v>46</v>
      </c>
      <c r="H123" s="13">
        <v>30</v>
      </c>
      <c r="I123" s="13">
        <v>1380</v>
      </c>
      <c r="J123" s="14" t="s">
        <v>26</v>
      </c>
      <c r="Q123" s="50"/>
      <c r="R123" s="50"/>
      <c r="S123" s="59"/>
    </row>
    <row r="124" spans="1:19" x14ac:dyDescent="0.3">
      <c r="A124" s="12" t="s">
        <v>190</v>
      </c>
      <c r="B124" s="19">
        <v>42114</v>
      </c>
      <c r="C124" s="46" t="s">
        <v>11</v>
      </c>
      <c r="D124" s="13" t="s">
        <v>45</v>
      </c>
      <c r="E124" s="13" t="s">
        <v>13</v>
      </c>
      <c r="F124" s="13" t="s">
        <v>14</v>
      </c>
      <c r="G124" s="13">
        <v>30</v>
      </c>
      <c r="H124" s="13">
        <v>4</v>
      </c>
      <c r="I124" s="13">
        <v>120</v>
      </c>
      <c r="J124" s="14" t="s">
        <v>26</v>
      </c>
      <c r="Q124" s="50"/>
      <c r="R124" s="50"/>
      <c r="S124" s="59"/>
    </row>
    <row r="125" spans="1:19" x14ac:dyDescent="0.3">
      <c r="A125" s="12" t="s">
        <v>191</v>
      </c>
      <c r="B125" s="19">
        <v>42115</v>
      </c>
      <c r="C125" s="46" t="s">
        <v>28</v>
      </c>
      <c r="D125" s="13" t="s">
        <v>45</v>
      </c>
      <c r="E125" s="13" t="s">
        <v>21</v>
      </c>
      <c r="F125" s="13" t="s">
        <v>87</v>
      </c>
      <c r="G125" s="13">
        <v>21.05</v>
      </c>
      <c r="H125" s="13">
        <v>21</v>
      </c>
      <c r="I125" s="13">
        <v>442.05</v>
      </c>
      <c r="J125" s="14" t="s">
        <v>15</v>
      </c>
      <c r="Q125" s="50"/>
      <c r="R125" s="50"/>
      <c r="S125" s="59"/>
    </row>
    <row r="126" spans="1:19" x14ac:dyDescent="0.3">
      <c r="A126" s="12" t="s">
        <v>192</v>
      </c>
      <c r="B126" s="19">
        <v>42115</v>
      </c>
      <c r="C126" s="46" t="s">
        <v>11</v>
      </c>
      <c r="D126" s="13" t="s">
        <v>45</v>
      </c>
      <c r="E126" s="13" t="s">
        <v>13</v>
      </c>
      <c r="F126" s="13" t="s">
        <v>124</v>
      </c>
      <c r="G126" s="13">
        <v>21.5</v>
      </c>
      <c r="H126" s="13">
        <v>50</v>
      </c>
      <c r="I126" s="13">
        <v>1075</v>
      </c>
      <c r="J126" s="14" t="s">
        <v>15</v>
      </c>
      <c r="Q126" s="50"/>
      <c r="R126" s="50"/>
      <c r="S126" s="59"/>
    </row>
    <row r="127" spans="1:19" x14ac:dyDescent="0.3">
      <c r="A127" s="12" t="s">
        <v>193</v>
      </c>
      <c r="B127" s="19">
        <v>42115</v>
      </c>
      <c r="C127" s="46" t="s">
        <v>31</v>
      </c>
      <c r="D127" s="13" t="s">
        <v>45</v>
      </c>
      <c r="E127" s="13" t="s">
        <v>13</v>
      </c>
      <c r="F127" s="13" t="s">
        <v>113</v>
      </c>
      <c r="G127" s="13">
        <v>2.5</v>
      </c>
      <c r="H127" s="13">
        <v>30</v>
      </c>
      <c r="I127" s="13">
        <v>75</v>
      </c>
      <c r="J127" s="14" t="s">
        <v>15</v>
      </c>
      <c r="Q127" s="50"/>
      <c r="R127" s="50"/>
      <c r="S127" s="59"/>
    </row>
    <row r="128" spans="1:19" x14ac:dyDescent="0.3">
      <c r="A128" s="12" t="s">
        <v>194</v>
      </c>
      <c r="B128" s="19">
        <v>42115</v>
      </c>
      <c r="C128" s="46" t="s">
        <v>31</v>
      </c>
      <c r="D128" s="13" t="s">
        <v>45</v>
      </c>
      <c r="E128" s="13" t="s">
        <v>34</v>
      </c>
      <c r="F128" s="13" t="s">
        <v>77</v>
      </c>
      <c r="G128" s="13">
        <v>31.23</v>
      </c>
      <c r="H128" s="13">
        <v>12</v>
      </c>
      <c r="I128" s="13">
        <v>374.76</v>
      </c>
      <c r="J128" s="14" t="s">
        <v>15</v>
      </c>
      <c r="Q128" s="50"/>
      <c r="R128" s="50"/>
      <c r="S128" s="59"/>
    </row>
    <row r="129" spans="1:19" x14ac:dyDescent="0.3">
      <c r="A129" s="12" t="s">
        <v>195</v>
      </c>
      <c r="B129" s="19">
        <v>42121</v>
      </c>
      <c r="C129" s="46" t="s">
        <v>31</v>
      </c>
      <c r="D129" s="13" t="s">
        <v>85</v>
      </c>
      <c r="E129" s="13" t="s">
        <v>17</v>
      </c>
      <c r="F129" s="13" t="s">
        <v>54</v>
      </c>
      <c r="G129" s="13">
        <v>15</v>
      </c>
      <c r="H129" s="13">
        <v>4</v>
      </c>
      <c r="I129" s="13">
        <v>60</v>
      </c>
      <c r="J129" s="14" t="s">
        <v>15</v>
      </c>
      <c r="Q129" s="50"/>
      <c r="R129" s="50"/>
      <c r="S129" s="59"/>
    </row>
    <row r="130" spans="1:19" x14ac:dyDescent="0.3">
      <c r="A130" s="12" t="s">
        <v>196</v>
      </c>
      <c r="B130" s="19">
        <v>42122</v>
      </c>
      <c r="C130" s="46" t="s">
        <v>28</v>
      </c>
      <c r="D130" s="13" t="s">
        <v>12</v>
      </c>
      <c r="E130" s="13" t="s">
        <v>21</v>
      </c>
      <c r="F130" s="13" t="s">
        <v>197</v>
      </c>
      <c r="G130" s="13">
        <v>19.45</v>
      </c>
      <c r="H130" s="13">
        <v>15</v>
      </c>
      <c r="I130" s="13">
        <v>291.75</v>
      </c>
      <c r="J130" s="14" t="s">
        <v>15</v>
      </c>
      <c r="Q130" s="50"/>
      <c r="R130" s="50"/>
      <c r="S130" s="59"/>
    </row>
    <row r="131" spans="1:19" x14ac:dyDescent="0.3">
      <c r="A131" s="12" t="s">
        <v>198</v>
      </c>
      <c r="B131" s="19">
        <v>42122</v>
      </c>
      <c r="C131" s="46" t="s">
        <v>20</v>
      </c>
      <c r="D131" s="13" t="s">
        <v>12</v>
      </c>
      <c r="E131" s="13" t="s">
        <v>21</v>
      </c>
      <c r="F131" s="13" t="s">
        <v>22</v>
      </c>
      <c r="G131" s="13">
        <v>28.5</v>
      </c>
      <c r="H131" s="13">
        <v>4</v>
      </c>
      <c r="I131" s="13">
        <v>114</v>
      </c>
      <c r="J131" s="14" t="s">
        <v>15</v>
      </c>
      <c r="Q131" s="50"/>
      <c r="R131" s="50"/>
      <c r="S131" s="59"/>
    </row>
    <row r="132" spans="1:19" x14ac:dyDescent="0.3">
      <c r="A132" s="12" t="s">
        <v>199</v>
      </c>
      <c r="B132" s="19">
        <v>42124</v>
      </c>
      <c r="C132" s="46" t="s">
        <v>31</v>
      </c>
      <c r="D132" s="13" t="s">
        <v>12</v>
      </c>
      <c r="E132" s="13" t="s">
        <v>13</v>
      </c>
      <c r="F132" s="13" t="s">
        <v>200</v>
      </c>
      <c r="G132" s="13">
        <v>38</v>
      </c>
      <c r="H132" s="13">
        <v>4</v>
      </c>
      <c r="I132" s="13">
        <v>152</v>
      </c>
      <c r="J132" s="14" t="s">
        <v>15</v>
      </c>
      <c r="Q132" s="50"/>
      <c r="R132" s="50"/>
      <c r="S132" s="59"/>
    </row>
    <row r="133" spans="1:19" x14ac:dyDescent="0.3">
      <c r="A133" s="12" t="s">
        <v>201</v>
      </c>
      <c r="B133" s="19">
        <v>42124</v>
      </c>
      <c r="C133" s="46" t="s">
        <v>28</v>
      </c>
      <c r="D133" s="13" t="s">
        <v>45</v>
      </c>
      <c r="E133" s="13" t="s">
        <v>17</v>
      </c>
      <c r="F133" s="13" t="s">
        <v>79</v>
      </c>
      <c r="G133" s="13">
        <v>18</v>
      </c>
      <c r="H133" s="13">
        <v>25</v>
      </c>
      <c r="I133" s="13">
        <v>450</v>
      </c>
      <c r="J133" s="14" t="s">
        <v>26</v>
      </c>
      <c r="Q133" s="50"/>
      <c r="R133" s="50"/>
      <c r="S133" s="59"/>
    </row>
    <row r="134" spans="1:19" x14ac:dyDescent="0.3">
      <c r="A134" s="12" t="s">
        <v>202</v>
      </c>
      <c r="B134" s="19">
        <v>42124</v>
      </c>
      <c r="C134" s="46" t="s">
        <v>31</v>
      </c>
      <c r="D134" s="13" t="s">
        <v>45</v>
      </c>
      <c r="E134" s="13" t="s">
        <v>21</v>
      </c>
      <c r="F134" s="13" t="s">
        <v>61</v>
      </c>
      <c r="G134" s="13">
        <v>21.35</v>
      </c>
      <c r="H134" s="13">
        <v>30</v>
      </c>
      <c r="I134" s="13">
        <v>640.5</v>
      </c>
      <c r="J134" s="14" t="s">
        <v>26</v>
      </c>
      <c r="Q134" s="50"/>
      <c r="R134" s="50"/>
      <c r="S134" s="59"/>
    </row>
    <row r="135" spans="1:19" x14ac:dyDescent="0.3">
      <c r="A135" s="12" t="s">
        <v>203</v>
      </c>
      <c r="B135" s="19">
        <v>42127</v>
      </c>
      <c r="C135" s="46" t="s">
        <v>11</v>
      </c>
      <c r="D135" s="13" t="s">
        <v>12</v>
      </c>
      <c r="E135" s="13" t="s">
        <v>17</v>
      </c>
      <c r="F135" s="13" t="s">
        <v>29</v>
      </c>
      <c r="G135" s="13">
        <v>46</v>
      </c>
      <c r="H135" s="13">
        <v>30</v>
      </c>
      <c r="I135" s="13">
        <v>1380</v>
      </c>
      <c r="J135" s="14" t="s">
        <v>15</v>
      </c>
      <c r="Q135" s="50"/>
      <c r="R135" s="50"/>
      <c r="S135" s="59"/>
    </row>
    <row r="136" spans="1:19" x14ac:dyDescent="0.3">
      <c r="A136" s="12" t="s">
        <v>204</v>
      </c>
      <c r="B136" s="19">
        <v>42127</v>
      </c>
      <c r="C136" s="46" t="s">
        <v>11</v>
      </c>
      <c r="D136" s="13" t="s">
        <v>12</v>
      </c>
      <c r="E136" s="13" t="s">
        <v>21</v>
      </c>
      <c r="F136" s="13" t="s">
        <v>22</v>
      </c>
      <c r="G136" s="13">
        <v>28.5</v>
      </c>
      <c r="H136" s="13">
        <v>10</v>
      </c>
      <c r="I136" s="13">
        <v>285</v>
      </c>
      <c r="J136" s="14" t="s">
        <v>15</v>
      </c>
      <c r="Q136" s="50"/>
      <c r="R136" s="50"/>
      <c r="S136" s="59"/>
    </row>
    <row r="137" spans="1:19" x14ac:dyDescent="0.3">
      <c r="A137" s="12" t="s">
        <v>205</v>
      </c>
      <c r="B137" s="19">
        <v>42128</v>
      </c>
      <c r="C137" s="46" t="s">
        <v>11</v>
      </c>
      <c r="D137" s="13" t="s">
        <v>24</v>
      </c>
      <c r="E137" s="13" t="s">
        <v>17</v>
      </c>
      <c r="F137" s="13" t="s">
        <v>70</v>
      </c>
      <c r="G137" s="13">
        <v>14</v>
      </c>
      <c r="H137" s="13">
        <v>20</v>
      </c>
      <c r="I137" s="13">
        <v>280</v>
      </c>
      <c r="J137" s="14" t="s">
        <v>15</v>
      </c>
      <c r="Q137" s="50"/>
      <c r="R137" s="50"/>
      <c r="S137" s="59"/>
    </row>
    <row r="138" spans="1:19" x14ac:dyDescent="0.3">
      <c r="A138" s="12" t="s">
        <v>206</v>
      </c>
      <c r="B138" s="19">
        <v>42128</v>
      </c>
      <c r="C138" s="46" t="s">
        <v>31</v>
      </c>
      <c r="D138" s="13" t="s">
        <v>45</v>
      </c>
      <c r="E138" s="13" t="s">
        <v>51</v>
      </c>
      <c r="F138" s="13" t="s">
        <v>81</v>
      </c>
      <c r="G138" s="13">
        <v>24</v>
      </c>
      <c r="H138" s="13">
        <v>35</v>
      </c>
      <c r="I138" s="13">
        <v>840</v>
      </c>
      <c r="J138" s="14" t="s">
        <v>26</v>
      </c>
      <c r="Q138" s="50"/>
      <c r="R138" s="50"/>
      <c r="S138" s="59"/>
    </row>
    <row r="139" spans="1:19" x14ac:dyDescent="0.3">
      <c r="A139" s="12" t="s">
        <v>207</v>
      </c>
      <c r="B139" s="19">
        <v>42128</v>
      </c>
      <c r="C139" s="46" t="s">
        <v>20</v>
      </c>
      <c r="D139" s="13" t="s">
        <v>45</v>
      </c>
      <c r="E139" s="13" t="s">
        <v>21</v>
      </c>
      <c r="F139" s="13" t="s">
        <v>22</v>
      </c>
      <c r="G139" s="13">
        <v>30</v>
      </c>
      <c r="H139" s="13">
        <v>40</v>
      </c>
      <c r="I139" s="13">
        <v>1200</v>
      </c>
      <c r="J139" s="14" t="s">
        <v>26</v>
      </c>
      <c r="Q139" s="50"/>
      <c r="R139" s="50"/>
      <c r="S139" s="59"/>
    </row>
    <row r="140" spans="1:19" x14ac:dyDescent="0.3">
      <c r="A140" s="12" t="s">
        <v>208</v>
      </c>
      <c r="B140" s="19">
        <v>42128</v>
      </c>
      <c r="C140" s="46" t="s">
        <v>20</v>
      </c>
      <c r="D140" s="13" t="s">
        <v>45</v>
      </c>
      <c r="E140" s="13" t="s">
        <v>13</v>
      </c>
      <c r="F140" s="13" t="s">
        <v>41</v>
      </c>
      <c r="G140" s="13">
        <v>34</v>
      </c>
      <c r="H140" s="13">
        <v>50</v>
      </c>
      <c r="I140" s="13">
        <v>1700</v>
      </c>
      <c r="J140" s="14" t="s">
        <v>26</v>
      </c>
      <c r="Q140" s="50"/>
      <c r="R140" s="50"/>
      <c r="S140" s="59"/>
    </row>
    <row r="141" spans="1:19" x14ac:dyDescent="0.3">
      <c r="A141" s="12" t="s">
        <v>209</v>
      </c>
      <c r="B141" s="19">
        <v>42129</v>
      </c>
      <c r="C141" s="46" t="s">
        <v>11</v>
      </c>
      <c r="D141" s="13" t="s">
        <v>12</v>
      </c>
      <c r="E141" s="13" t="s">
        <v>51</v>
      </c>
      <c r="F141" s="13" t="s">
        <v>118</v>
      </c>
      <c r="G141" s="13">
        <v>39</v>
      </c>
      <c r="H141" s="13">
        <v>12</v>
      </c>
      <c r="I141" s="13">
        <v>468</v>
      </c>
      <c r="J141" s="14" t="s">
        <v>26</v>
      </c>
      <c r="Q141" s="50"/>
      <c r="R141" s="50"/>
      <c r="S141" s="59"/>
    </row>
    <row r="142" spans="1:19" x14ac:dyDescent="0.3">
      <c r="A142" s="12" t="s">
        <v>210</v>
      </c>
      <c r="B142" s="19">
        <v>42129</v>
      </c>
      <c r="C142" s="46" t="s">
        <v>20</v>
      </c>
      <c r="D142" s="13" t="s">
        <v>12</v>
      </c>
      <c r="E142" s="13" t="s">
        <v>13</v>
      </c>
      <c r="F142" s="13" t="s">
        <v>41</v>
      </c>
      <c r="G142" s="13">
        <v>34</v>
      </c>
      <c r="H142" s="13">
        <v>35</v>
      </c>
      <c r="I142" s="13">
        <v>1190</v>
      </c>
      <c r="J142" s="14" t="s">
        <v>26</v>
      </c>
      <c r="Q142" s="50"/>
      <c r="R142" s="50"/>
      <c r="S142" s="59"/>
    </row>
    <row r="143" spans="1:19" x14ac:dyDescent="0.3">
      <c r="A143" s="12" t="s">
        <v>211</v>
      </c>
      <c r="B143" s="19">
        <v>42129</v>
      </c>
      <c r="C143" s="46" t="s">
        <v>11</v>
      </c>
      <c r="D143" s="13" t="s">
        <v>12</v>
      </c>
      <c r="E143" s="13" t="s">
        <v>51</v>
      </c>
      <c r="F143" s="13" t="s">
        <v>81</v>
      </c>
      <c r="G143" s="13">
        <v>6</v>
      </c>
      <c r="H143" s="13">
        <v>30</v>
      </c>
      <c r="I143" s="13">
        <v>180</v>
      </c>
      <c r="J143" s="14" t="s">
        <v>26</v>
      </c>
      <c r="Q143" s="50"/>
      <c r="R143" s="50"/>
      <c r="S143" s="59"/>
    </row>
    <row r="144" spans="1:19" x14ac:dyDescent="0.3">
      <c r="A144" s="12" t="s">
        <v>212</v>
      </c>
      <c r="B144" s="19">
        <v>42129</v>
      </c>
      <c r="C144" s="46" t="s">
        <v>11</v>
      </c>
      <c r="D144" s="13" t="s">
        <v>45</v>
      </c>
      <c r="E144" s="13" t="s">
        <v>17</v>
      </c>
      <c r="F144" s="13" t="s">
        <v>54</v>
      </c>
      <c r="G144" s="13">
        <v>15</v>
      </c>
      <c r="H144" s="13">
        <v>3</v>
      </c>
      <c r="I144" s="13">
        <v>45</v>
      </c>
      <c r="J144" s="14" t="s">
        <v>26</v>
      </c>
      <c r="Q144" s="50"/>
      <c r="R144" s="50"/>
      <c r="S144" s="59"/>
    </row>
    <row r="145" spans="1:19" x14ac:dyDescent="0.3">
      <c r="A145" s="12" t="s">
        <v>213</v>
      </c>
      <c r="B145" s="19">
        <v>42134</v>
      </c>
      <c r="C145" s="46" t="s">
        <v>20</v>
      </c>
      <c r="D145" s="13" t="s">
        <v>12</v>
      </c>
      <c r="E145" s="13" t="s">
        <v>17</v>
      </c>
      <c r="F145" s="13" t="s">
        <v>29</v>
      </c>
      <c r="G145" s="13">
        <v>46</v>
      </c>
      <c r="H145" s="13">
        <v>36</v>
      </c>
      <c r="I145" s="13">
        <v>1656</v>
      </c>
      <c r="J145" s="14" t="s">
        <v>26</v>
      </c>
      <c r="Q145" s="50"/>
      <c r="R145" s="50"/>
      <c r="S145" s="59"/>
    </row>
    <row r="146" spans="1:19" x14ac:dyDescent="0.3">
      <c r="A146" s="12" t="s">
        <v>214</v>
      </c>
      <c r="B146" s="19">
        <v>42134</v>
      </c>
      <c r="C146" s="46" t="s">
        <v>20</v>
      </c>
      <c r="D146" s="13" t="s">
        <v>12</v>
      </c>
      <c r="E146" s="13" t="s">
        <v>21</v>
      </c>
      <c r="F146" s="13" t="s">
        <v>97</v>
      </c>
      <c r="G146" s="13">
        <v>13</v>
      </c>
      <c r="H146" s="13">
        <v>28</v>
      </c>
      <c r="I146" s="13">
        <v>364</v>
      </c>
      <c r="J146" s="14" t="s">
        <v>26</v>
      </c>
      <c r="Q146" s="50"/>
      <c r="R146" s="50"/>
      <c r="S146" s="59"/>
    </row>
    <row r="147" spans="1:19" x14ac:dyDescent="0.3">
      <c r="A147" s="12" t="s">
        <v>215</v>
      </c>
      <c r="B147" s="19">
        <v>42134</v>
      </c>
      <c r="C147" s="46" t="s">
        <v>11</v>
      </c>
      <c r="D147" s="13" t="s">
        <v>12</v>
      </c>
      <c r="E147" s="13" t="s">
        <v>51</v>
      </c>
      <c r="F147" s="13" t="s">
        <v>81</v>
      </c>
      <c r="G147" s="13">
        <v>45.6</v>
      </c>
      <c r="H147" s="13">
        <v>8</v>
      </c>
      <c r="I147" s="13">
        <v>364.8</v>
      </c>
      <c r="J147" s="14" t="s">
        <v>26</v>
      </c>
      <c r="Q147" s="50"/>
      <c r="R147" s="50"/>
      <c r="S147" s="59"/>
    </row>
    <row r="148" spans="1:19" x14ac:dyDescent="0.3">
      <c r="A148" s="12" t="s">
        <v>216</v>
      </c>
      <c r="B148" s="19">
        <v>42189</v>
      </c>
      <c r="C148" s="46" t="s">
        <v>31</v>
      </c>
      <c r="D148" s="13" t="s">
        <v>24</v>
      </c>
      <c r="E148" s="13" t="s">
        <v>13</v>
      </c>
      <c r="F148" s="13" t="s">
        <v>113</v>
      </c>
      <c r="G148" s="13">
        <v>2.5</v>
      </c>
      <c r="H148" s="13">
        <v>10</v>
      </c>
      <c r="I148" s="13">
        <v>25</v>
      </c>
      <c r="J148" s="14" t="s">
        <v>15</v>
      </c>
      <c r="Q148" s="50"/>
      <c r="R148" s="50"/>
      <c r="S148" s="59"/>
    </row>
    <row r="149" spans="1:19" x14ac:dyDescent="0.3">
      <c r="A149" s="12" t="s">
        <v>210</v>
      </c>
      <c r="B149" s="19">
        <v>42215</v>
      </c>
      <c r="C149" s="46" t="s">
        <v>20</v>
      </c>
      <c r="D149" s="13" t="s">
        <v>12</v>
      </c>
      <c r="E149" s="13" t="s">
        <v>17</v>
      </c>
      <c r="F149" s="13" t="s">
        <v>18</v>
      </c>
      <c r="G149" s="13">
        <v>19</v>
      </c>
      <c r="H149" s="13">
        <v>10</v>
      </c>
      <c r="I149" s="13">
        <v>190</v>
      </c>
      <c r="J149" s="14" t="s">
        <v>15</v>
      </c>
      <c r="Q149" s="50"/>
      <c r="R149" s="50"/>
      <c r="S149" s="59"/>
    </row>
    <row r="150" spans="1:19" x14ac:dyDescent="0.3">
      <c r="A150" s="12" t="s">
        <v>217</v>
      </c>
      <c r="B150" s="19">
        <v>42212</v>
      </c>
      <c r="C150" s="46" t="s">
        <v>11</v>
      </c>
      <c r="D150" s="13" t="s">
        <v>12</v>
      </c>
      <c r="E150" s="13" t="s">
        <v>51</v>
      </c>
      <c r="F150" s="13" t="s">
        <v>59</v>
      </c>
      <c r="G150" s="13">
        <v>97</v>
      </c>
      <c r="H150" s="13">
        <v>20</v>
      </c>
      <c r="I150" s="13">
        <v>1940</v>
      </c>
      <c r="J150" s="14" t="s">
        <v>15</v>
      </c>
      <c r="Q150" s="50"/>
      <c r="R150" s="50"/>
      <c r="S150" s="59"/>
    </row>
    <row r="151" spans="1:19" x14ac:dyDescent="0.3">
      <c r="A151" s="12" t="s">
        <v>218</v>
      </c>
      <c r="B151" s="19">
        <v>42220</v>
      </c>
      <c r="C151" s="46" t="s">
        <v>31</v>
      </c>
      <c r="D151" s="13" t="s">
        <v>12</v>
      </c>
      <c r="E151" s="13" t="s">
        <v>34</v>
      </c>
      <c r="F151" s="13" t="s">
        <v>64</v>
      </c>
      <c r="G151" s="13">
        <v>9.65</v>
      </c>
      <c r="H151" s="13">
        <v>4</v>
      </c>
      <c r="I151" s="13">
        <v>38.6</v>
      </c>
      <c r="J151" s="14" t="s">
        <v>26</v>
      </c>
      <c r="Q151" s="50"/>
      <c r="R151" s="50"/>
      <c r="S151" s="59"/>
    </row>
    <row r="152" spans="1:19" x14ac:dyDescent="0.3">
      <c r="A152" s="12" t="s">
        <v>219</v>
      </c>
      <c r="B152" s="19">
        <v>42210</v>
      </c>
      <c r="C152" s="46" t="s">
        <v>11</v>
      </c>
      <c r="D152" s="13" t="s">
        <v>12</v>
      </c>
      <c r="E152" s="13" t="s">
        <v>13</v>
      </c>
      <c r="F152" s="13" t="s">
        <v>124</v>
      </c>
      <c r="G152" s="13">
        <v>21.5</v>
      </c>
      <c r="H152" s="13">
        <v>9</v>
      </c>
      <c r="I152" s="13">
        <v>193.5</v>
      </c>
      <c r="J152" s="14" t="s">
        <v>15</v>
      </c>
      <c r="Q152" s="50"/>
      <c r="R152" s="50"/>
      <c r="S152" s="59"/>
    </row>
    <row r="153" spans="1:19" x14ac:dyDescent="0.3">
      <c r="A153" s="12" t="s">
        <v>220</v>
      </c>
      <c r="B153" s="19">
        <v>42215</v>
      </c>
      <c r="C153" s="46" t="s">
        <v>28</v>
      </c>
      <c r="D153" s="13" t="s">
        <v>24</v>
      </c>
      <c r="E153" s="13" t="s">
        <v>34</v>
      </c>
      <c r="F153" s="13" t="s">
        <v>64</v>
      </c>
      <c r="G153" s="13">
        <v>53</v>
      </c>
      <c r="H153" s="13">
        <v>7</v>
      </c>
      <c r="I153" s="13">
        <v>371</v>
      </c>
      <c r="J153" s="14" t="s">
        <v>26</v>
      </c>
      <c r="R153" s="50"/>
      <c r="S153" s="59"/>
    </row>
    <row r="154" spans="1:19" x14ac:dyDescent="0.3">
      <c r="A154" s="12" t="s">
        <v>221</v>
      </c>
      <c r="B154" s="19">
        <v>42217</v>
      </c>
      <c r="C154" s="46" t="s">
        <v>20</v>
      </c>
      <c r="D154" s="13" t="s">
        <v>12</v>
      </c>
      <c r="E154" s="13" t="s">
        <v>34</v>
      </c>
      <c r="F154" s="13" t="s">
        <v>77</v>
      </c>
      <c r="G154" s="13">
        <v>31.23</v>
      </c>
      <c r="H154" s="13">
        <v>30</v>
      </c>
      <c r="I154" s="13">
        <v>936.9</v>
      </c>
      <c r="J154" s="14" t="s">
        <v>26</v>
      </c>
      <c r="R154" s="50"/>
      <c r="S154" s="59"/>
    </row>
    <row r="155" spans="1:19" x14ac:dyDescent="0.3">
      <c r="A155" s="12" t="s">
        <v>222</v>
      </c>
      <c r="B155" s="19">
        <v>42208</v>
      </c>
      <c r="C155" s="46" t="s">
        <v>11</v>
      </c>
      <c r="D155" s="13" t="s">
        <v>24</v>
      </c>
      <c r="E155" s="13" t="s">
        <v>34</v>
      </c>
      <c r="F155" s="13" t="s">
        <v>77</v>
      </c>
      <c r="G155" s="13">
        <v>31.23</v>
      </c>
      <c r="H155" s="13">
        <v>6</v>
      </c>
      <c r="I155" s="13">
        <v>187.38</v>
      </c>
      <c r="J155" s="14" t="s">
        <v>26</v>
      </c>
      <c r="R155" s="50"/>
      <c r="S155" s="59"/>
    </row>
    <row r="156" spans="1:19" x14ac:dyDescent="0.3">
      <c r="A156" s="12" t="s">
        <v>223</v>
      </c>
      <c r="B156" s="19">
        <v>42194</v>
      </c>
      <c r="C156" s="46" t="s">
        <v>28</v>
      </c>
      <c r="D156" s="13" t="s">
        <v>45</v>
      </c>
      <c r="E156" s="13" t="s">
        <v>21</v>
      </c>
      <c r="F156" s="13" t="s">
        <v>111</v>
      </c>
      <c r="G156" s="13">
        <v>22</v>
      </c>
      <c r="H156" s="13">
        <v>25</v>
      </c>
      <c r="I156" s="13">
        <v>550</v>
      </c>
      <c r="J156" s="14" t="s">
        <v>15</v>
      </c>
      <c r="R156" s="50"/>
      <c r="S156" s="59"/>
    </row>
    <row r="157" spans="1:19" x14ac:dyDescent="0.3">
      <c r="A157" s="12" t="s">
        <v>224</v>
      </c>
      <c r="B157" s="19">
        <v>42195</v>
      </c>
      <c r="C157" s="46" t="s">
        <v>28</v>
      </c>
      <c r="D157" s="13" t="s">
        <v>12</v>
      </c>
      <c r="E157" s="13" t="s">
        <v>13</v>
      </c>
      <c r="F157" s="13" t="s">
        <v>41</v>
      </c>
      <c r="G157" s="13">
        <v>34</v>
      </c>
      <c r="H157" s="13">
        <v>15</v>
      </c>
      <c r="I157" s="13">
        <v>510</v>
      </c>
      <c r="J157" s="14" t="s">
        <v>26</v>
      </c>
      <c r="R157" s="50"/>
      <c r="S157" s="59"/>
    </row>
    <row r="158" spans="1:19" x14ac:dyDescent="0.3">
      <c r="A158" s="12" t="s">
        <v>225</v>
      </c>
      <c r="B158" s="19">
        <v>42208</v>
      </c>
      <c r="C158" s="46" t="s">
        <v>11</v>
      </c>
      <c r="D158" s="13" t="s">
        <v>45</v>
      </c>
      <c r="E158" s="13" t="s">
        <v>34</v>
      </c>
      <c r="F158" s="13" t="s">
        <v>64</v>
      </c>
      <c r="G158" s="13">
        <v>12</v>
      </c>
      <c r="H158" s="13">
        <v>28</v>
      </c>
      <c r="I158" s="13">
        <v>336</v>
      </c>
      <c r="J158" s="14" t="s">
        <v>26</v>
      </c>
      <c r="R158" s="50"/>
      <c r="S158" s="59"/>
    </row>
    <row r="159" spans="1:19" x14ac:dyDescent="0.3">
      <c r="A159" s="12" t="s">
        <v>226</v>
      </c>
      <c r="B159" s="19">
        <v>42216</v>
      </c>
      <c r="C159" s="46" t="s">
        <v>28</v>
      </c>
      <c r="D159" s="13" t="s">
        <v>12</v>
      </c>
      <c r="E159" s="13" t="s">
        <v>13</v>
      </c>
      <c r="F159" s="13" t="s">
        <v>14</v>
      </c>
      <c r="G159" s="13">
        <v>62.5</v>
      </c>
      <c r="H159" s="13">
        <v>4</v>
      </c>
      <c r="I159" s="13">
        <v>250</v>
      </c>
      <c r="J159" s="14" t="s">
        <v>26</v>
      </c>
      <c r="R159" s="50"/>
      <c r="S159" s="59"/>
    </row>
    <row r="160" spans="1:19" x14ac:dyDescent="0.3">
      <c r="A160" s="12" t="s">
        <v>227</v>
      </c>
      <c r="B160" s="19">
        <v>42193</v>
      </c>
      <c r="C160" s="46" t="s">
        <v>11</v>
      </c>
      <c r="D160" s="13" t="s">
        <v>12</v>
      </c>
      <c r="E160" s="13" t="s">
        <v>34</v>
      </c>
      <c r="F160" s="13" t="s">
        <v>77</v>
      </c>
      <c r="G160" s="13">
        <v>31.23</v>
      </c>
      <c r="H160" s="13">
        <v>6</v>
      </c>
      <c r="I160" s="13">
        <v>187.38</v>
      </c>
      <c r="J160" s="14" t="s">
        <v>15</v>
      </c>
      <c r="R160" s="50"/>
      <c r="S160" s="59"/>
    </row>
    <row r="161" spans="1:10" x14ac:dyDescent="0.3">
      <c r="A161" s="12" t="s">
        <v>228</v>
      </c>
      <c r="B161" s="19">
        <v>42199</v>
      </c>
      <c r="C161" s="46" t="s">
        <v>31</v>
      </c>
      <c r="D161" s="13" t="s">
        <v>45</v>
      </c>
      <c r="E161" s="13" t="s">
        <v>13</v>
      </c>
      <c r="F161" s="13" t="s">
        <v>41</v>
      </c>
      <c r="G161" s="13">
        <v>34</v>
      </c>
      <c r="H161" s="13">
        <v>15</v>
      </c>
      <c r="I161" s="13">
        <v>510</v>
      </c>
      <c r="J161" s="14" t="s">
        <v>26</v>
      </c>
    </row>
    <row r="162" spans="1:10" x14ac:dyDescent="0.3">
      <c r="A162" s="12" t="s">
        <v>229</v>
      </c>
      <c r="B162" s="19">
        <v>42200</v>
      </c>
      <c r="C162" s="46" t="s">
        <v>11</v>
      </c>
      <c r="D162" s="13" t="s">
        <v>12</v>
      </c>
      <c r="E162" s="13" t="s">
        <v>17</v>
      </c>
      <c r="F162" s="13" t="s">
        <v>25</v>
      </c>
      <c r="G162" s="13">
        <v>7.75</v>
      </c>
      <c r="H162" s="13">
        <v>42</v>
      </c>
      <c r="I162" s="13">
        <v>325.5</v>
      </c>
      <c r="J162" s="14" t="s">
        <v>15</v>
      </c>
    </row>
    <row r="163" spans="1:10" x14ac:dyDescent="0.3">
      <c r="A163" s="12" t="s">
        <v>230</v>
      </c>
      <c r="B163" s="19">
        <v>42193</v>
      </c>
      <c r="C163" s="46" t="s">
        <v>11</v>
      </c>
      <c r="D163" s="13" t="s">
        <v>12</v>
      </c>
      <c r="E163" s="13" t="s">
        <v>17</v>
      </c>
      <c r="F163" s="13" t="s">
        <v>79</v>
      </c>
      <c r="G163" s="13">
        <v>18</v>
      </c>
      <c r="H163" s="13">
        <v>10</v>
      </c>
      <c r="I163" s="13">
        <v>180</v>
      </c>
      <c r="J163" s="14" t="s">
        <v>15</v>
      </c>
    </row>
    <row r="164" spans="1:10" x14ac:dyDescent="0.3">
      <c r="A164" s="12" t="s">
        <v>231</v>
      </c>
      <c r="B164" s="19">
        <v>42191</v>
      </c>
      <c r="C164" s="46" t="s">
        <v>20</v>
      </c>
      <c r="D164" s="13" t="s">
        <v>24</v>
      </c>
      <c r="E164" s="13" t="s">
        <v>21</v>
      </c>
      <c r="F164" s="13" t="s">
        <v>87</v>
      </c>
      <c r="G164" s="13">
        <v>21.05</v>
      </c>
      <c r="H164" s="13">
        <v>15</v>
      </c>
      <c r="I164" s="13">
        <v>315.75</v>
      </c>
      <c r="J164" s="14" t="s">
        <v>26</v>
      </c>
    </row>
    <row r="165" spans="1:10" x14ac:dyDescent="0.3">
      <c r="A165" s="12" t="s">
        <v>232</v>
      </c>
      <c r="B165" s="19">
        <v>42191</v>
      </c>
      <c r="C165" s="46" t="s">
        <v>20</v>
      </c>
      <c r="D165" s="13" t="s">
        <v>12</v>
      </c>
      <c r="E165" s="13" t="s">
        <v>17</v>
      </c>
      <c r="F165" s="13" t="s">
        <v>54</v>
      </c>
      <c r="G165" s="13">
        <v>53</v>
      </c>
      <c r="H165" s="13">
        <v>35</v>
      </c>
      <c r="I165" s="13">
        <v>1855</v>
      </c>
      <c r="J165" s="14" t="s">
        <v>26</v>
      </c>
    </row>
    <row r="166" spans="1:10" x14ac:dyDescent="0.3">
      <c r="A166" s="12" t="s">
        <v>233</v>
      </c>
      <c r="B166" s="19">
        <v>42191</v>
      </c>
      <c r="C166" s="46" t="s">
        <v>11</v>
      </c>
      <c r="D166" s="13" t="s">
        <v>12</v>
      </c>
      <c r="E166" s="13" t="s">
        <v>34</v>
      </c>
      <c r="F166" s="13" t="s">
        <v>64</v>
      </c>
      <c r="G166" s="13">
        <v>9.65</v>
      </c>
      <c r="H166" s="13">
        <v>10</v>
      </c>
      <c r="I166" s="13">
        <v>96.5</v>
      </c>
      <c r="J166" s="14" t="s">
        <v>26</v>
      </c>
    </row>
    <row r="167" spans="1:10" x14ac:dyDescent="0.3">
      <c r="A167" s="12" t="s">
        <v>234</v>
      </c>
      <c r="B167" s="19">
        <v>42193</v>
      </c>
      <c r="C167" s="46" t="s">
        <v>31</v>
      </c>
      <c r="D167" s="13" t="s">
        <v>24</v>
      </c>
      <c r="E167" s="13" t="s">
        <v>34</v>
      </c>
      <c r="F167" s="13" t="s">
        <v>75</v>
      </c>
      <c r="G167" s="13">
        <v>20</v>
      </c>
      <c r="H167" s="13">
        <v>40</v>
      </c>
      <c r="I167" s="13">
        <v>800</v>
      </c>
      <c r="J167" s="14" t="s">
        <v>26</v>
      </c>
    </row>
    <row r="168" spans="1:10" x14ac:dyDescent="0.3">
      <c r="A168" s="12" t="s">
        <v>235</v>
      </c>
      <c r="B168" s="19">
        <v>42193</v>
      </c>
      <c r="C168" s="46" t="s">
        <v>28</v>
      </c>
      <c r="D168" s="13" t="s">
        <v>12</v>
      </c>
      <c r="E168" s="13" t="s">
        <v>17</v>
      </c>
      <c r="F168" s="13" t="s">
        <v>37</v>
      </c>
      <c r="G168" s="13">
        <v>18</v>
      </c>
      <c r="H168" s="13">
        <v>42</v>
      </c>
      <c r="I168" s="13">
        <v>756</v>
      </c>
      <c r="J168" s="14" t="s">
        <v>26</v>
      </c>
    </row>
    <row r="169" spans="1:10" x14ac:dyDescent="0.3">
      <c r="A169" s="12" t="s">
        <v>236</v>
      </c>
      <c r="B169" s="19">
        <v>42193</v>
      </c>
      <c r="C169" s="46" t="s">
        <v>31</v>
      </c>
      <c r="D169" s="13" t="s">
        <v>12</v>
      </c>
      <c r="E169" s="13" t="s">
        <v>13</v>
      </c>
      <c r="F169" s="13" t="s">
        <v>99</v>
      </c>
      <c r="G169" s="13">
        <v>12.5</v>
      </c>
      <c r="H169" s="13">
        <v>20</v>
      </c>
      <c r="I169" s="13">
        <v>250</v>
      </c>
      <c r="J169" s="14" t="s">
        <v>26</v>
      </c>
    </row>
    <row r="170" spans="1:10" x14ac:dyDescent="0.3">
      <c r="A170" s="12" t="s">
        <v>237</v>
      </c>
      <c r="B170" s="19">
        <v>42198</v>
      </c>
      <c r="C170" s="46" t="s">
        <v>11</v>
      </c>
      <c r="D170" s="13" t="s">
        <v>12</v>
      </c>
      <c r="E170" s="13" t="s">
        <v>51</v>
      </c>
      <c r="F170" s="13" t="s">
        <v>138</v>
      </c>
      <c r="G170" s="13">
        <v>32.799999999999997</v>
      </c>
      <c r="H170" s="13">
        <v>15</v>
      </c>
      <c r="I170" s="13">
        <v>491.99999999999994</v>
      </c>
      <c r="J170" s="14" t="s">
        <v>26</v>
      </c>
    </row>
    <row r="171" spans="1:10" x14ac:dyDescent="0.3">
      <c r="A171" s="12" t="s">
        <v>238</v>
      </c>
      <c r="B171" s="19">
        <v>42198</v>
      </c>
      <c r="C171" s="46" t="s">
        <v>20</v>
      </c>
      <c r="D171" s="13" t="s">
        <v>12</v>
      </c>
      <c r="E171" s="13" t="s">
        <v>21</v>
      </c>
      <c r="F171" s="13" t="s">
        <v>97</v>
      </c>
      <c r="G171" s="13">
        <v>13</v>
      </c>
      <c r="H171" s="13">
        <v>12</v>
      </c>
      <c r="I171" s="13">
        <v>156</v>
      </c>
      <c r="J171" s="14" t="s">
        <v>26</v>
      </c>
    </row>
    <row r="172" spans="1:10" x14ac:dyDescent="0.3">
      <c r="A172" s="12" t="s">
        <v>239</v>
      </c>
      <c r="B172" s="19">
        <v>42202</v>
      </c>
      <c r="C172" s="46" t="s">
        <v>28</v>
      </c>
      <c r="D172" s="13" t="s">
        <v>12</v>
      </c>
      <c r="E172" s="13" t="s">
        <v>17</v>
      </c>
      <c r="F172" s="13" t="s">
        <v>72</v>
      </c>
      <c r="G172" s="13">
        <v>18</v>
      </c>
      <c r="H172" s="13">
        <v>20</v>
      </c>
      <c r="I172" s="13">
        <v>360</v>
      </c>
      <c r="J172" s="14" t="s">
        <v>26</v>
      </c>
    </row>
    <row r="173" spans="1:10" x14ac:dyDescent="0.3">
      <c r="A173" s="12" t="s">
        <v>240</v>
      </c>
      <c r="B173" s="19">
        <v>42202</v>
      </c>
      <c r="C173" s="46" t="s">
        <v>28</v>
      </c>
      <c r="D173" s="13" t="s">
        <v>12</v>
      </c>
      <c r="E173" s="13" t="s">
        <v>34</v>
      </c>
      <c r="F173" s="13" t="s">
        <v>241</v>
      </c>
      <c r="G173" s="13">
        <v>10</v>
      </c>
      <c r="H173" s="13">
        <v>20</v>
      </c>
      <c r="I173" s="13">
        <v>200</v>
      </c>
      <c r="J173" s="14" t="s">
        <v>26</v>
      </c>
    </row>
    <row r="174" spans="1:10" x14ac:dyDescent="0.3">
      <c r="A174" s="12" t="s">
        <v>242</v>
      </c>
      <c r="B174" s="19">
        <v>42228</v>
      </c>
      <c r="C174" s="46" t="s">
        <v>31</v>
      </c>
      <c r="D174" s="13" t="s">
        <v>85</v>
      </c>
      <c r="E174" s="13" t="s">
        <v>17</v>
      </c>
      <c r="F174" s="13" t="s">
        <v>128</v>
      </c>
      <c r="G174" s="13">
        <v>4.5</v>
      </c>
      <c r="H174" s="13">
        <v>6</v>
      </c>
      <c r="I174" s="13">
        <v>27</v>
      </c>
      <c r="J174" s="14" t="s">
        <v>15</v>
      </c>
    </row>
    <row r="175" spans="1:10" x14ac:dyDescent="0.3">
      <c r="A175" s="12" t="s">
        <v>243</v>
      </c>
      <c r="B175" s="19">
        <v>42228</v>
      </c>
      <c r="C175" s="46" t="s">
        <v>31</v>
      </c>
      <c r="D175" s="13" t="s">
        <v>85</v>
      </c>
      <c r="E175" s="13" t="s">
        <v>17</v>
      </c>
      <c r="F175" s="13" t="s">
        <v>72</v>
      </c>
      <c r="G175" s="13">
        <v>18</v>
      </c>
      <c r="H175" s="13">
        <v>4</v>
      </c>
      <c r="I175" s="13">
        <v>72</v>
      </c>
      <c r="J175" s="14" t="s">
        <v>15</v>
      </c>
    </row>
    <row r="176" spans="1:10" x14ac:dyDescent="0.3">
      <c r="A176" s="12" t="s">
        <v>244</v>
      </c>
      <c r="B176" s="19">
        <v>42228</v>
      </c>
      <c r="C176" s="46" t="s">
        <v>28</v>
      </c>
      <c r="D176" s="13" t="s">
        <v>85</v>
      </c>
      <c r="E176" s="13" t="s">
        <v>34</v>
      </c>
      <c r="F176" s="13" t="s">
        <v>188</v>
      </c>
      <c r="G176" s="13">
        <v>9.1999999999999993</v>
      </c>
      <c r="H176" s="13">
        <v>1</v>
      </c>
      <c r="I176" s="13">
        <v>9.1999999999999993</v>
      </c>
      <c r="J176" s="14" t="s">
        <v>15</v>
      </c>
    </row>
    <row r="177" spans="1:10" x14ac:dyDescent="0.3">
      <c r="A177" s="12" t="s">
        <v>245</v>
      </c>
      <c r="B177" s="19">
        <v>42229</v>
      </c>
      <c r="C177" s="46" t="s">
        <v>28</v>
      </c>
      <c r="D177" s="13" t="s">
        <v>85</v>
      </c>
      <c r="E177" s="13" t="s">
        <v>13</v>
      </c>
      <c r="F177" s="13" t="s">
        <v>14</v>
      </c>
      <c r="G177" s="13">
        <v>19.5</v>
      </c>
      <c r="H177" s="13">
        <v>2</v>
      </c>
      <c r="I177" s="13">
        <v>39</v>
      </c>
      <c r="J177" s="14" t="s">
        <v>15</v>
      </c>
    </row>
    <row r="178" spans="1:10" x14ac:dyDescent="0.3">
      <c r="A178" s="12" t="s">
        <v>246</v>
      </c>
      <c r="B178" s="19">
        <v>42229</v>
      </c>
      <c r="C178" s="46" t="s">
        <v>20</v>
      </c>
      <c r="D178" s="13" t="s">
        <v>85</v>
      </c>
      <c r="E178" s="13" t="s">
        <v>51</v>
      </c>
      <c r="F178" s="13" t="s">
        <v>81</v>
      </c>
      <c r="G178" s="13">
        <v>25.89</v>
      </c>
      <c r="H178" s="13">
        <v>6</v>
      </c>
      <c r="I178" s="13">
        <v>155.34</v>
      </c>
      <c r="J178" s="14" t="s">
        <v>15</v>
      </c>
    </row>
    <row r="179" spans="1:10" x14ac:dyDescent="0.3">
      <c r="A179" s="12" t="s">
        <v>247</v>
      </c>
      <c r="B179" s="19">
        <v>42236</v>
      </c>
      <c r="C179" s="46" t="s">
        <v>20</v>
      </c>
      <c r="D179" s="13" t="s">
        <v>24</v>
      </c>
      <c r="E179" s="13" t="s">
        <v>13</v>
      </c>
      <c r="F179" s="13" t="s">
        <v>14</v>
      </c>
      <c r="G179" s="13">
        <v>12</v>
      </c>
      <c r="H179" s="13">
        <v>15</v>
      </c>
      <c r="I179" s="13">
        <v>180</v>
      </c>
      <c r="J179" s="14" t="s">
        <v>26</v>
      </c>
    </row>
    <row r="180" spans="1:10" x14ac:dyDescent="0.3">
      <c r="A180" s="12" t="s">
        <v>248</v>
      </c>
      <c r="B180" s="19">
        <v>42236</v>
      </c>
      <c r="C180" s="46" t="s">
        <v>31</v>
      </c>
      <c r="D180" s="13" t="s">
        <v>12</v>
      </c>
      <c r="E180" s="13" t="s">
        <v>17</v>
      </c>
      <c r="F180" s="13" t="s">
        <v>144</v>
      </c>
      <c r="G180" s="13">
        <v>14</v>
      </c>
      <c r="H180" s="13">
        <v>20</v>
      </c>
      <c r="I180" s="13">
        <v>280</v>
      </c>
      <c r="J180" s="14" t="s">
        <v>26</v>
      </c>
    </row>
    <row r="181" spans="1:10" x14ac:dyDescent="0.3">
      <c r="A181" s="12" t="s">
        <v>249</v>
      </c>
      <c r="B181" s="19">
        <v>42236</v>
      </c>
      <c r="C181" s="46" t="s">
        <v>28</v>
      </c>
      <c r="D181" s="13" t="s">
        <v>12</v>
      </c>
      <c r="E181" s="13" t="s">
        <v>34</v>
      </c>
      <c r="F181" s="13" t="s">
        <v>94</v>
      </c>
      <c r="G181" s="13">
        <v>17.45</v>
      </c>
      <c r="H181" s="13">
        <v>40</v>
      </c>
      <c r="I181" s="13">
        <v>698</v>
      </c>
      <c r="J181" s="14" t="s">
        <v>26</v>
      </c>
    </row>
    <row r="182" spans="1:10" x14ac:dyDescent="0.3">
      <c r="A182" s="12" t="s">
        <v>250</v>
      </c>
      <c r="B182" s="19">
        <v>42240</v>
      </c>
      <c r="C182" s="46" t="s">
        <v>28</v>
      </c>
      <c r="D182" s="13" t="s">
        <v>45</v>
      </c>
      <c r="E182" s="13" t="s">
        <v>21</v>
      </c>
      <c r="F182" s="13" t="s">
        <v>251</v>
      </c>
      <c r="G182" s="13">
        <v>10</v>
      </c>
      <c r="H182" s="13">
        <v>30</v>
      </c>
      <c r="I182" s="13">
        <v>300</v>
      </c>
      <c r="J182" s="14" t="s">
        <v>26</v>
      </c>
    </row>
    <row r="183" spans="1:10" x14ac:dyDescent="0.3">
      <c r="A183" s="12" t="s">
        <v>252</v>
      </c>
      <c r="B183" s="19">
        <v>42240</v>
      </c>
      <c r="C183" s="46" t="s">
        <v>28</v>
      </c>
      <c r="D183" s="13" t="s">
        <v>45</v>
      </c>
      <c r="E183" s="13" t="s">
        <v>34</v>
      </c>
      <c r="F183" s="13" t="s">
        <v>64</v>
      </c>
      <c r="G183" s="13">
        <v>33.25</v>
      </c>
      <c r="H183" s="13">
        <v>9</v>
      </c>
      <c r="I183" s="13">
        <v>299.25</v>
      </c>
      <c r="J183" s="14" t="s">
        <v>26</v>
      </c>
    </row>
    <row r="184" spans="1:10" x14ac:dyDescent="0.3">
      <c r="A184" s="12" t="s">
        <v>253</v>
      </c>
      <c r="B184" s="19">
        <v>42241</v>
      </c>
      <c r="C184" s="46" t="s">
        <v>28</v>
      </c>
      <c r="D184" s="13" t="s">
        <v>12</v>
      </c>
      <c r="E184" s="13" t="s">
        <v>21</v>
      </c>
      <c r="F184" s="13" t="s">
        <v>197</v>
      </c>
      <c r="G184" s="13">
        <v>19.45</v>
      </c>
      <c r="H184" s="13">
        <v>24</v>
      </c>
      <c r="I184" s="13">
        <v>466.79999999999995</v>
      </c>
      <c r="J184" s="14" t="s">
        <v>26</v>
      </c>
    </row>
    <row r="185" spans="1:10" x14ac:dyDescent="0.3">
      <c r="A185" s="12" t="s">
        <v>254</v>
      </c>
      <c r="B185" s="19">
        <v>42241</v>
      </c>
      <c r="C185" s="46" t="s">
        <v>20</v>
      </c>
      <c r="D185" s="13" t="s">
        <v>12</v>
      </c>
      <c r="E185" s="13" t="s">
        <v>21</v>
      </c>
      <c r="F185" s="13" t="s">
        <v>22</v>
      </c>
      <c r="G185" s="13">
        <v>53</v>
      </c>
      <c r="H185" s="13">
        <v>2</v>
      </c>
      <c r="I185" s="13">
        <v>106</v>
      </c>
      <c r="J185" s="14" t="s">
        <v>26</v>
      </c>
    </row>
    <row r="186" spans="1:10" x14ac:dyDescent="0.3">
      <c r="A186" s="12" t="s">
        <v>255</v>
      </c>
      <c r="B186" s="19">
        <v>42241</v>
      </c>
      <c r="C186" s="46" t="s">
        <v>28</v>
      </c>
      <c r="D186" s="13" t="s">
        <v>12</v>
      </c>
      <c r="E186" s="13" t="s">
        <v>17</v>
      </c>
      <c r="F186" s="13" t="s">
        <v>54</v>
      </c>
      <c r="G186" s="13">
        <v>6</v>
      </c>
      <c r="H186" s="13">
        <v>20</v>
      </c>
      <c r="I186" s="13">
        <v>120</v>
      </c>
      <c r="J186" s="14" t="s">
        <v>26</v>
      </c>
    </row>
    <row r="187" spans="1:10" x14ac:dyDescent="0.3">
      <c r="A187" s="12" t="s">
        <v>256</v>
      </c>
      <c r="B187" s="19">
        <v>42241</v>
      </c>
      <c r="C187" s="46" t="s">
        <v>28</v>
      </c>
      <c r="D187" s="13" t="s">
        <v>12</v>
      </c>
      <c r="E187" s="13" t="s">
        <v>51</v>
      </c>
      <c r="F187" s="13" t="s">
        <v>52</v>
      </c>
      <c r="G187" s="13">
        <v>123.79</v>
      </c>
      <c r="H187" s="13">
        <v>15</v>
      </c>
      <c r="I187" s="13">
        <v>1856.8500000000001</v>
      </c>
      <c r="J187" s="14" t="s">
        <v>15</v>
      </c>
    </row>
    <row r="188" spans="1:10" x14ac:dyDescent="0.3">
      <c r="A188" s="12" t="s">
        <v>257</v>
      </c>
      <c r="B188" s="19">
        <v>42241</v>
      </c>
      <c r="C188" s="46" t="s">
        <v>28</v>
      </c>
      <c r="D188" s="13" t="s">
        <v>12</v>
      </c>
      <c r="E188" s="13" t="s">
        <v>21</v>
      </c>
      <c r="F188" s="13" t="s">
        <v>61</v>
      </c>
      <c r="G188" s="13">
        <v>21.35</v>
      </c>
      <c r="H188" s="13">
        <v>20</v>
      </c>
      <c r="I188" s="13">
        <v>427</v>
      </c>
      <c r="J188" s="14" t="s">
        <v>15</v>
      </c>
    </row>
    <row r="189" spans="1:10" x14ac:dyDescent="0.3">
      <c r="A189" s="12" t="s">
        <v>258</v>
      </c>
      <c r="B189" s="19">
        <v>42241</v>
      </c>
      <c r="C189" s="46" t="s">
        <v>28</v>
      </c>
      <c r="D189" s="13" t="s">
        <v>12</v>
      </c>
      <c r="E189" s="13" t="s">
        <v>21</v>
      </c>
      <c r="F189" s="13" t="s">
        <v>97</v>
      </c>
      <c r="G189" s="13">
        <v>13</v>
      </c>
      <c r="H189" s="13">
        <v>10</v>
      </c>
      <c r="I189" s="13">
        <v>130</v>
      </c>
      <c r="J189" s="14" t="s">
        <v>15</v>
      </c>
    </row>
    <row r="190" spans="1:10" x14ac:dyDescent="0.3">
      <c r="A190" s="12" t="s">
        <v>259</v>
      </c>
      <c r="B190" s="19">
        <v>42241</v>
      </c>
      <c r="C190" s="46" t="s">
        <v>28</v>
      </c>
      <c r="D190" s="13" t="s">
        <v>12</v>
      </c>
      <c r="E190" s="13" t="s">
        <v>34</v>
      </c>
      <c r="F190" s="13" t="s">
        <v>75</v>
      </c>
      <c r="G190" s="13">
        <v>20</v>
      </c>
      <c r="H190" s="13">
        <v>15</v>
      </c>
      <c r="I190" s="13">
        <v>300</v>
      </c>
      <c r="J190" s="14" t="s">
        <v>15</v>
      </c>
    </row>
    <row r="191" spans="1:10" x14ac:dyDescent="0.3">
      <c r="A191" s="12" t="s">
        <v>260</v>
      </c>
      <c r="B191" s="19">
        <v>42242</v>
      </c>
      <c r="C191" s="46" t="s">
        <v>31</v>
      </c>
      <c r="D191" s="13" t="s">
        <v>12</v>
      </c>
      <c r="E191" s="13" t="s">
        <v>34</v>
      </c>
      <c r="F191" s="13" t="s">
        <v>35</v>
      </c>
      <c r="G191" s="13">
        <v>81</v>
      </c>
      <c r="H191" s="13">
        <v>20</v>
      </c>
      <c r="I191" s="13">
        <v>1620</v>
      </c>
      <c r="J191" s="14" t="s">
        <v>26</v>
      </c>
    </row>
    <row r="192" spans="1:10" x14ac:dyDescent="0.3">
      <c r="A192" s="12" t="s">
        <v>261</v>
      </c>
      <c r="B192" s="19">
        <v>42251</v>
      </c>
      <c r="C192" s="46" t="s">
        <v>28</v>
      </c>
      <c r="D192" s="13" t="s">
        <v>12</v>
      </c>
      <c r="E192" s="13" t="s">
        <v>17</v>
      </c>
      <c r="F192" s="13" t="s">
        <v>54</v>
      </c>
      <c r="G192" s="13">
        <v>15</v>
      </c>
      <c r="H192" s="13">
        <v>20</v>
      </c>
      <c r="I192" s="13">
        <v>300</v>
      </c>
      <c r="J192" s="14" t="s">
        <v>26</v>
      </c>
    </row>
    <row r="193" spans="1:10" x14ac:dyDescent="0.3">
      <c r="A193" s="12" t="s">
        <v>262</v>
      </c>
      <c r="B193" s="19">
        <v>42251</v>
      </c>
      <c r="C193" s="46" t="s">
        <v>20</v>
      </c>
      <c r="D193" s="13" t="s">
        <v>12</v>
      </c>
      <c r="E193" s="13" t="s">
        <v>34</v>
      </c>
      <c r="F193" s="13" t="s">
        <v>188</v>
      </c>
      <c r="G193" s="13">
        <v>9.1999999999999993</v>
      </c>
      <c r="H193" s="13">
        <v>15</v>
      </c>
      <c r="I193" s="13">
        <v>138</v>
      </c>
      <c r="J193" s="14" t="s">
        <v>26</v>
      </c>
    </row>
    <row r="194" spans="1:10" x14ac:dyDescent="0.3">
      <c r="A194" s="12" t="s">
        <v>263</v>
      </c>
      <c r="B194" s="19">
        <v>42256</v>
      </c>
      <c r="C194" s="46" t="s">
        <v>11</v>
      </c>
      <c r="D194" s="13" t="s">
        <v>85</v>
      </c>
      <c r="E194" s="13" t="s">
        <v>21</v>
      </c>
      <c r="F194" s="13" t="s">
        <v>87</v>
      </c>
      <c r="G194" s="13">
        <v>21.05</v>
      </c>
      <c r="H194" s="13">
        <v>30</v>
      </c>
      <c r="I194" s="13">
        <v>631.5</v>
      </c>
      <c r="J194" s="14" t="s">
        <v>26</v>
      </c>
    </row>
    <row r="195" spans="1:10" x14ac:dyDescent="0.3">
      <c r="A195" s="12" t="s">
        <v>264</v>
      </c>
      <c r="B195" s="19">
        <v>42256</v>
      </c>
      <c r="C195" s="46" t="s">
        <v>11</v>
      </c>
      <c r="D195" s="13" t="s">
        <v>85</v>
      </c>
      <c r="E195" s="13" t="s">
        <v>34</v>
      </c>
      <c r="F195" s="13" t="s">
        <v>64</v>
      </c>
      <c r="G195" s="13">
        <v>18.399999999999999</v>
      </c>
      <c r="H195" s="13">
        <v>40</v>
      </c>
      <c r="I195" s="13">
        <v>736</v>
      </c>
      <c r="J195" s="14" t="s">
        <v>26</v>
      </c>
    </row>
    <row r="196" spans="1:10" x14ac:dyDescent="0.3">
      <c r="A196" s="12" t="s">
        <v>265</v>
      </c>
      <c r="B196" s="19">
        <v>42256</v>
      </c>
      <c r="C196" s="46" t="s">
        <v>31</v>
      </c>
      <c r="D196" s="13" t="s">
        <v>85</v>
      </c>
      <c r="E196" s="13" t="s">
        <v>34</v>
      </c>
      <c r="F196" s="13" t="s">
        <v>43</v>
      </c>
      <c r="G196" s="13">
        <v>12.5</v>
      </c>
      <c r="H196" s="13">
        <v>15</v>
      </c>
      <c r="I196" s="13">
        <v>187.5</v>
      </c>
      <c r="J196" s="14" t="s">
        <v>26</v>
      </c>
    </row>
    <row r="197" spans="1:10" x14ac:dyDescent="0.3">
      <c r="A197" s="12" t="s">
        <v>266</v>
      </c>
      <c r="B197" s="19">
        <v>42261</v>
      </c>
      <c r="C197" s="46" t="s">
        <v>20</v>
      </c>
      <c r="D197" s="13" t="s">
        <v>85</v>
      </c>
      <c r="E197" s="13" t="s">
        <v>51</v>
      </c>
      <c r="F197" s="13" t="s">
        <v>138</v>
      </c>
      <c r="G197" s="13">
        <v>32.799999999999997</v>
      </c>
      <c r="H197" s="13">
        <v>10</v>
      </c>
      <c r="I197" s="13">
        <v>328</v>
      </c>
      <c r="J197" s="14" t="s">
        <v>26</v>
      </c>
    </row>
    <row r="198" spans="1:10" x14ac:dyDescent="0.3">
      <c r="A198" s="12" t="s">
        <v>267</v>
      </c>
      <c r="B198" s="19">
        <v>42261</v>
      </c>
      <c r="C198" s="46" t="s">
        <v>31</v>
      </c>
      <c r="D198" s="13" t="s">
        <v>85</v>
      </c>
      <c r="E198" s="13" t="s">
        <v>51</v>
      </c>
      <c r="F198" s="13" t="s">
        <v>268</v>
      </c>
      <c r="G198" s="13">
        <v>7.45</v>
      </c>
      <c r="H198" s="13">
        <v>5</v>
      </c>
      <c r="I198" s="13">
        <v>37.25</v>
      </c>
      <c r="J198" s="14" t="s">
        <v>26</v>
      </c>
    </row>
    <row r="199" spans="1:10" x14ac:dyDescent="0.3">
      <c r="A199" s="12" t="s">
        <v>269</v>
      </c>
      <c r="B199" s="19">
        <v>42261</v>
      </c>
      <c r="C199" s="46" t="s">
        <v>20</v>
      </c>
      <c r="D199" s="13" t="s">
        <v>85</v>
      </c>
      <c r="E199" s="13" t="s">
        <v>21</v>
      </c>
      <c r="F199" s="13" t="s">
        <v>22</v>
      </c>
      <c r="G199" s="13">
        <v>25.89</v>
      </c>
      <c r="H199" s="13">
        <v>10</v>
      </c>
      <c r="I199" s="13">
        <v>258.89999999999998</v>
      </c>
      <c r="J199" s="14" t="s">
        <v>26</v>
      </c>
    </row>
    <row r="200" spans="1:10" x14ac:dyDescent="0.3">
      <c r="A200" s="12" t="s">
        <v>270</v>
      </c>
      <c r="B200" s="19">
        <v>42271</v>
      </c>
      <c r="C200" s="46" t="s">
        <v>11</v>
      </c>
      <c r="D200" s="13" t="s">
        <v>45</v>
      </c>
      <c r="E200" s="13" t="s">
        <v>17</v>
      </c>
      <c r="F200" s="13" t="s">
        <v>54</v>
      </c>
      <c r="G200" s="13">
        <v>15</v>
      </c>
      <c r="H200" s="13">
        <v>30</v>
      </c>
      <c r="I200" s="13">
        <v>450</v>
      </c>
      <c r="J200" s="14" t="s">
        <v>26</v>
      </c>
    </row>
    <row r="201" spans="1:10" x14ac:dyDescent="0.3">
      <c r="A201" s="12" t="s">
        <v>271</v>
      </c>
      <c r="B201" s="19">
        <v>42271</v>
      </c>
      <c r="C201" s="46" t="s">
        <v>20</v>
      </c>
      <c r="D201" s="13" t="s">
        <v>45</v>
      </c>
      <c r="E201" s="13" t="s">
        <v>17</v>
      </c>
      <c r="F201" s="13" t="s">
        <v>144</v>
      </c>
      <c r="G201" s="13">
        <v>14</v>
      </c>
      <c r="H201" s="13">
        <v>14</v>
      </c>
      <c r="I201" s="13">
        <v>196</v>
      </c>
      <c r="J201" s="14" t="s">
        <v>26</v>
      </c>
    </row>
    <row r="202" spans="1:10" x14ac:dyDescent="0.3">
      <c r="A202" s="12" t="s">
        <v>272</v>
      </c>
      <c r="B202" s="19">
        <v>42276</v>
      </c>
      <c r="C202" s="46" t="s">
        <v>31</v>
      </c>
      <c r="D202" s="13" t="s">
        <v>45</v>
      </c>
      <c r="E202" s="13" t="s">
        <v>17</v>
      </c>
      <c r="F202" s="13" t="s">
        <v>134</v>
      </c>
      <c r="G202" s="13">
        <v>18</v>
      </c>
      <c r="H202" s="13">
        <v>6</v>
      </c>
      <c r="I202" s="13">
        <v>108</v>
      </c>
      <c r="J202" s="14" t="s">
        <v>26</v>
      </c>
    </row>
    <row r="203" spans="1:10" x14ac:dyDescent="0.3">
      <c r="A203" s="12" t="s">
        <v>273</v>
      </c>
      <c r="B203" s="19">
        <v>42276</v>
      </c>
      <c r="C203" s="46" t="s">
        <v>11</v>
      </c>
      <c r="D203" s="13" t="s">
        <v>45</v>
      </c>
      <c r="E203" s="13" t="s">
        <v>34</v>
      </c>
      <c r="F203" s="13" t="s">
        <v>64</v>
      </c>
      <c r="G203" s="13">
        <v>9.65</v>
      </c>
      <c r="H203" s="13">
        <v>20</v>
      </c>
      <c r="I203" s="13">
        <v>193</v>
      </c>
      <c r="J203" s="14" t="s">
        <v>26</v>
      </c>
    </row>
    <row r="204" spans="1:10" x14ac:dyDescent="0.3">
      <c r="A204" s="12" t="s">
        <v>274</v>
      </c>
      <c r="B204" s="19">
        <v>42278</v>
      </c>
      <c r="C204" s="46" t="s">
        <v>31</v>
      </c>
      <c r="D204" s="13" t="s">
        <v>45</v>
      </c>
      <c r="E204" s="13" t="s">
        <v>17</v>
      </c>
      <c r="F204" s="13" t="s">
        <v>72</v>
      </c>
      <c r="G204" s="13">
        <v>18</v>
      </c>
      <c r="H204" s="13">
        <v>10</v>
      </c>
      <c r="I204" s="13">
        <v>180</v>
      </c>
      <c r="J204" s="14" t="s">
        <v>26</v>
      </c>
    </row>
    <row r="205" spans="1:10" x14ac:dyDescent="0.3">
      <c r="A205" s="12" t="s">
        <v>275</v>
      </c>
      <c r="B205" s="19">
        <v>42285</v>
      </c>
      <c r="C205" s="46" t="s">
        <v>11</v>
      </c>
      <c r="D205" s="13" t="s">
        <v>85</v>
      </c>
      <c r="E205" s="13" t="s">
        <v>17</v>
      </c>
      <c r="F205" s="13" t="s">
        <v>25</v>
      </c>
      <c r="G205" s="13">
        <v>7.75</v>
      </c>
      <c r="H205" s="13">
        <v>50</v>
      </c>
      <c r="I205" s="13">
        <v>387.5</v>
      </c>
      <c r="J205" s="14" t="s">
        <v>26</v>
      </c>
    </row>
    <row r="206" spans="1:10" x14ac:dyDescent="0.3">
      <c r="A206" s="12" t="s">
        <v>276</v>
      </c>
      <c r="B206" s="19">
        <v>42285</v>
      </c>
      <c r="C206" s="46" t="s">
        <v>11</v>
      </c>
      <c r="D206" s="13" t="s">
        <v>85</v>
      </c>
      <c r="E206" s="13" t="s">
        <v>21</v>
      </c>
      <c r="F206" s="13" t="s">
        <v>111</v>
      </c>
      <c r="G206" s="13">
        <v>22</v>
      </c>
      <c r="H206" s="13">
        <v>24</v>
      </c>
      <c r="I206" s="13">
        <v>528</v>
      </c>
      <c r="J206" s="14" t="s">
        <v>26</v>
      </c>
    </row>
    <row r="207" spans="1:10" x14ac:dyDescent="0.3">
      <c r="A207" s="12" t="s">
        <v>277</v>
      </c>
      <c r="B207" s="19">
        <v>42285</v>
      </c>
      <c r="C207" s="46" t="s">
        <v>11</v>
      </c>
      <c r="D207" s="13" t="s">
        <v>85</v>
      </c>
      <c r="E207" s="13" t="s">
        <v>51</v>
      </c>
      <c r="F207" s="13" t="s">
        <v>81</v>
      </c>
      <c r="G207" s="13">
        <v>19.5</v>
      </c>
      <c r="H207" s="13">
        <v>16</v>
      </c>
      <c r="I207" s="13">
        <v>312</v>
      </c>
      <c r="J207" s="14" t="s">
        <v>26</v>
      </c>
    </row>
    <row r="208" spans="1:10" x14ac:dyDescent="0.3">
      <c r="A208" s="12" t="s">
        <v>278</v>
      </c>
      <c r="B208" s="19">
        <v>42312</v>
      </c>
      <c r="C208" s="46" t="s">
        <v>11</v>
      </c>
      <c r="D208" s="13" t="s">
        <v>12</v>
      </c>
      <c r="E208" s="13" t="s">
        <v>17</v>
      </c>
      <c r="F208" s="13" t="s">
        <v>37</v>
      </c>
      <c r="G208" s="13">
        <v>18</v>
      </c>
      <c r="H208" s="13">
        <v>50</v>
      </c>
      <c r="I208" s="13">
        <v>900</v>
      </c>
      <c r="J208" s="14" t="s">
        <v>26</v>
      </c>
    </row>
    <row r="209" spans="1:10" x14ac:dyDescent="0.3">
      <c r="A209" s="12" t="s">
        <v>279</v>
      </c>
      <c r="B209" s="19">
        <v>42312</v>
      </c>
      <c r="C209" s="46" t="s">
        <v>11</v>
      </c>
      <c r="D209" s="13" t="s">
        <v>12</v>
      </c>
      <c r="E209" s="13" t="s">
        <v>17</v>
      </c>
      <c r="F209" s="13" t="s">
        <v>25</v>
      </c>
      <c r="G209" s="13">
        <v>7.75</v>
      </c>
      <c r="H209" s="13">
        <v>6</v>
      </c>
      <c r="I209" s="13">
        <v>46.5</v>
      </c>
      <c r="J209" s="14" t="s">
        <v>26</v>
      </c>
    </row>
    <row r="210" spans="1:10" x14ac:dyDescent="0.3">
      <c r="A210" s="12" t="s">
        <v>280</v>
      </c>
      <c r="B210" s="19">
        <v>42312</v>
      </c>
      <c r="C210" s="46" t="s">
        <v>20</v>
      </c>
      <c r="D210" s="13" t="s">
        <v>12</v>
      </c>
      <c r="E210" s="13" t="s">
        <v>21</v>
      </c>
      <c r="F210" s="13" t="s">
        <v>22</v>
      </c>
      <c r="G210" s="13">
        <v>18.399999999999999</v>
      </c>
      <c r="H210" s="13">
        <v>4</v>
      </c>
      <c r="I210" s="13">
        <v>73.599999999999994</v>
      </c>
      <c r="J210" s="14" t="s">
        <v>26</v>
      </c>
    </row>
    <row r="211" spans="1:10" x14ac:dyDescent="0.3">
      <c r="A211" s="12" t="s">
        <v>281</v>
      </c>
      <c r="B211" s="19">
        <v>42312</v>
      </c>
      <c r="C211" s="46" t="s">
        <v>28</v>
      </c>
      <c r="D211" s="13" t="s">
        <v>12</v>
      </c>
      <c r="E211" s="13" t="s">
        <v>34</v>
      </c>
      <c r="F211" s="13" t="s">
        <v>68</v>
      </c>
      <c r="G211" s="13">
        <v>14</v>
      </c>
      <c r="H211" s="13">
        <v>10</v>
      </c>
      <c r="I211" s="13">
        <v>140</v>
      </c>
      <c r="J211" s="14" t="s">
        <v>26</v>
      </c>
    </row>
    <row r="212" spans="1:10" x14ac:dyDescent="0.3">
      <c r="A212" s="12" t="s">
        <v>282</v>
      </c>
      <c r="B212" s="19">
        <v>42321</v>
      </c>
      <c r="C212" s="46" t="s">
        <v>11</v>
      </c>
      <c r="D212" s="13" t="s">
        <v>45</v>
      </c>
      <c r="E212" s="13" t="s">
        <v>17</v>
      </c>
      <c r="F212" s="13" t="s">
        <v>128</v>
      </c>
      <c r="G212" s="13">
        <v>4.5</v>
      </c>
      <c r="H212" s="13">
        <v>25</v>
      </c>
      <c r="I212" s="13">
        <v>112.5</v>
      </c>
      <c r="J212" s="14" t="s">
        <v>15</v>
      </c>
    </row>
    <row r="213" spans="1:10" x14ac:dyDescent="0.3">
      <c r="A213" s="12" t="s">
        <v>283</v>
      </c>
      <c r="B213" s="19">
        <v>42321</v>
      </c>
      <c r="C213" s="46" t="s">
        <v>11</v>
      </c>
      <c r="D213" s="13" t="s">
        <v>45</v>
      </c>
      <c r="E213" s="13" t="s">
        <v>21</v>
      </c>
      <c r="F213" s="13" t="s">
        <v>22</v>
      </c>
      <c r="G213" s="13">
        <v>19.5</v>
      </c>
      <c r="H213" s="13">
        <v>25</v>
      </c>
      <c r="I213" s="13">
        <v>487.5</v>
      </c>
      <c r="J213" s="14" t="s">
        <v>15</v>
      </c>
    </row>
    <row r="214" spans="1:10" x14ac:dyDescent="0.3">
      <c r="A214" s="12" t="s">
        <v>284</v>
      </c>
      <c r="B214" s="19">
        <v>42327</v>
      </c>
      <c r="C214" s="46" t="s">
        <v>11</v>
      </c>
      <c r="D214" s="13" t="s">
        <v>45</v>
      </c>
      <c r="E214" s="13" t="s">
        <v>13</v>
      </c>
      <c r="F214" s="13" t="s">
        <v>41</v>
      </c>
      <c r="G214" s="13">
        <v>34</v>
      </c>
      <c r="H214" s="13">
        <v>80</v>
      </c>
      <c r="I214" s="13">
        <v>2720</v>
      </c>
      <c r="J214" s="14" t="s">
        <v>26</v>
      </c>
    </row>
    <row r="215" spans="1:10" x14ac:dyDescent="0.3">
      <c r="A215" s="12" t="s">
        <v>285</v>
      </c>
      <c r="B215" s="19">
        <v>42327</v>
      </c>
      <c r="C215" s="46" t="s">
        <v>11</v>
      </c>
      <c r="D215" s="13" t="s">
        <v>45</v>
      </c>
      <c r="E215" s="13" t="s">
        <v>13</v>
      </c>
      <c r="F215" s="13" t="s">
        <v>99</v>
      </c>
      <c r="G215" s="13">
        <v>12.5</v>
      </c>
      <c r="H215" s="13">
        <v>70</v>
      </c>
      <c r="I215" s="13">
        <v>875</v>
      </c>
      <c r="J215" s="14" t="s">
        <v>26</v>
      </c>
    </row>
    <row r="216" spans="1:10" x14ac:dyDescent="0.3">
      <c r="A216" s="12" t="s">
        <v>286</v>
      </c>
      <c r="B216" s="19">
        <v>42327</v>
      </c>
      <c r="C216" s="46" t="s">
        <v>11</v>
      </c>
      <c r="D216" s="13" t="s">
        <v>45</v>
      </c>
      <c r="E216" s="13" t="s">
        <v>34</v>
      </c>
      <c r="F216" s="13" t="s">
        <v>94</v>
      </c>
      <c r="G216" s="13">
        <v>17.45</v>
      </c>
      <c r="H216" s="13">
        <v>56</v>
      </c>
      <c r="I216" s="13">
        <v>977.19999999999993</v>
      </c>
      <c r="J216" s="14" t="s">
        <v>26</v>
      </c>
    </row>
    <row r="217" spans="1:10" x14ac:dyDescent="0.3">
      <c r="A217" s="12" t="s">
        <v>287</v>
      </c>
      <c r="B217" s="19">
        <v>42332</v>
      </c>
      <c r="C217" s="46" t="s">
        <v>28</v>
      </c>
      <c r="D217" s="13" t="s">
        <v>45</v>
      </c>
      <c r="E217" s="13" t="s">
        <v>13</v>
      </c>
      <c r="F217" s="13" t="s">
        <v>186</v>
      </c>
      <c r="G217" s="13">
        <v>36</v>
      </c>
      <c r="H217" s="13">
        <v>30</v>
      </c>
      <c r="I217" s="13">
        <v>1080</v>
      </c>
      <c r="J217" s="14" t="s">
        <v>15</v>
      </c>
    </row>
    <row r="218" spans="1:10" x14ac:dyDescent="0.3">
      <c r="A218" s="12" t="s">
        <v>288</v>
      </c>
      <c r="B218" s="19">
        <v>42332</v>
      </c>
      <c r="C218" s="46" t="s">
        <v>28</v>
      </c>
      <c r="D218" s="13" t="s">
        <v>45</v>
      </c>
      <c r="E218" s="13" t="s">
        <v>13</v>
      </c>
      <c r="F218" s="13" t="s">
        <v>124</v>
      </c>
      <c r="G218" s="13">
        <v>21.5</v>
      </c>
      <c r="H218" s="13">
        <v>5</v>
      </c>
      <c r="I218" s="13">
        <v>107.5</v>
      </c>
      <c r="J218" s="14" t="s">
        <v>15</v>
      </c>
    </row>
    <row r="219" spans="1:10" x14ac:dyDescent="0.3">
      <c r="A219" s="12" t="s">
        <v>289</v>
      </c>
      <c r="B219" s="19">
        <v>42334</v>
      </c>
      <c r="C219" s="46" t="s">
        <v>31</v>
      </c>
      <c r="D219" s="13" t="s">
        <v>85</v>
      </c>
      <c r="E219" s="13" t="s">
        <v>21</v>
      </c>
      <c r="F219" s="13" t="s">
        <v>97</v>
      </c>
      <c r="G219" s="13">
        <v>13</v>
      </c>
      <c r="H219" s="13">
        <v>5</v>
      </c>
      <c r="I219" s="13">
        <v>65</v>
      </c>
      <c r="J219" s="14" t="s">
        <v>26</v>
      </c>
    </row>
    <row r="220" spans="1:10" x14ac:dyDescent="0.3">
      <c r="A220" s="12" t="s">
        <v>290</v>
      </c>
      <c r="B220" s="19">
        <v>42334</v>
      </c>
      <c r="C220" s="46" t="s">
        <v>31</v>
      </c>
      <c r="D220" s="13" t="s">
        <v>85</v>
      </c>
      <c r="E220" s="13" t="s">
        <v>21</v>
      </c>
      <c r="F220" s="13" t="s">
        <v>87</v>
      </c>
      <c r="G220" s="13">
        <v>21.05</v>
      </c>
      <c r="H220" s="13">
        <v>5</v>
      </c>
      <c r="I220" s="13">
        <v>105.25</v>
      </c>
      <c r="J220" s="14" t="s">
        <v>26</v>
      </c>
    </row>
    <row r="221" spans="1:10" x14ac:dyDescent="0.3">
      <c r="A221" s="12" t="s">
        <v>291</v>
      </c>
      <c r="B221" s="19">
        <v>42340</v>
      </c>
      <c r="C221" s="46" t="s">
        <v>11</v>
      </c>
      <c r="D221" s="13" t="s">
        <v>12</v>
      </c>
      <c r="E221" s="13" t="s">
        <v>17</v>
      </c>
      <c r="F221" s="13" t="s">
        <v>32</v>
      </c>
      <c r="G221" s="13">
        <v>263.5</v>
      </c>
      <c r="H221" s="13">
        <v>40</v>
      </c>
      <c r="I221" s="13">
        <v>10540</v>
      </c>
      <c r="J221" s="14" t="s">
        <v>26</v>
      </c>
    </row>
    <row r="222" spans="1:10" x14ac:dyDescent="0.3">
      <c r="A222" s="12" t="s">
        <v>292</v>
      </c>
      <c r="B222" s="19">
        <v>42340</v>
      </c>
      <c r="C222" s="46" t="s">
        <v>11</v>
      </c>
      <c r="D222" s="13" t="s">
        <v>12</v>
      </c>
      <c r="E222" s="13" t="s">
        <v>13</v>
      </c>
      <c r="F222" s="13" t="s">
        <v>41</v>
      </c>
      <c r="G222" s="13">
        <v>34</v>
      </c>
      <c r="H222" s="13">
        <v>70</v>
      </c>
      <c r="I222" s="13">
        <v>2380</v>
      </c>
      <c r="J222" s="14" t="s">
        <v>26</v>
      </c>
    </row>
    <row r="223" spans="1:10" x14ac:dyDescent="0.3">
      <c r="A223" s="12" t="s">
        <v>293</v>
      </c>
      <c r="B223" s="19">
        <v>42340</v>
      </c>
      <c r="C223" s="46" t="s">
        <v>11</v>
      </c>
      <c r="D223" s="13" t="s">
        <v>12</v>
      </c>
      <c r="E223" s="13" t="s">
        <v>13</v>
      </c>
      <c r="F223" s="13" t="s">
        <v>56</v>
      </c>
      <c r="G223" s="13">
        <v>34.799999999999997</v>
      </c>
      <c r="H223" s="13">
        <v>42</v>
      </c>
      <c r="I223" s="13">
        <v>1461.6</v>
      </c>
      <c r="J223" s="14" t="s">
        <v>26</v>
      </c>
    </row>
    <row r="224" spans="1:10" x14ac:dyDescent="0.3">
      <c r="A224" s="12" t="s">
        <v>294</v>
      </c>
      <c r="B224" s="19">
        <v>42340</v>
      </c>
      <c r="C224" s="46" t="s">
        <v>28</v>
      </c>
      <c r="D224" s="13" t="s">
        <v>12</v>
      </c>
      <c r="E224" s="13" t="s">
        <v>34</v>
      </c>
      <c r="F224" s="13" t="s">
        <v>35</v>
      </c>
      <c r="G224" s="13">
        <v>81</v>
      </c>
      <c r="H224" s="13">
        <v>12</v>
      </c>
      <c r="I224" s="13">
        <v>972</v>
      </c>
      <c r="J224" s="14" t="s">
        <v>26</v>
      </c>
    </row>
    <row r="225" spans="1:10" x14ac:dyDescent="0.3">
      <c r="A225" s="12" t="s">
        <v>295</v>
      </c>
      <c r="B225" s="19">
        <v>42345</v>
      </c>
      <c r="C225" s="46" t="s">
        <v>20</v>
      </c>
      <c r="D225" s="13" t="s">
        <v>45</v>
      </c>
      <c r="E225" s="13" t="s">
        <v>17</v>
      </c>
      <c r="F225" s="13" t="s">
        <v>37</v>
      </c>
      <c r="G225" s="13">
        <v>18</v>
      </c>
      <c r="H225" s="13">
        <v>20</v>
      </c>
      <c r="I225" s="13">
        <v>360</v>
      </c>
      <c r="J225" s="14" t="s">
        <v>26</v>
      </c>
    </row>
    <row r="226" spans="1:10" x14ac:dyDescent="0.3">
      <c r="A226" s="12" t="s">
        <v>296</v>
      </c>
      <c r="B226" s="19">
        <v>42345</v>
      </c>
      <c r="C226" s="46" t="s">
        <v>11</v>
      </c>
      <c r="D226" s="13" t="s">
        <v>45</v>
      </c>
      <c r="E226" s="13" t="s">
        <v>17</v>
      </c>
      <c r="F226" s="13" t="s">
        <v>54</v>
      </c>
      <c r="G226" s="13">
        <v>45.6</v>
      </c>
      <c r="H226" s="13">
        <v>20</v>
      </c>
      <c r="I226" s="13">
        <v>912</v>
      </c>
      <c r="J226" s="14" t="s">
        <v>26</v>
      </c>
    </row>
    <row r="227" spans="1:10" x14ac:dyDescent="0.3">
      <c r="A227" s="12" t="s">
        <v>297</v>
      </c>
      <c r="B227" s="19">
        <v>42347</v>
      </c>
      <c r="C227" s="46" t="s">
        <v>28</v>
      </c>
      <c r="D227" s="13" t="s">
        <v>12</v>
      </c>
      <c r="E227" s="13" t="s">
        <v>21</v>
      </c>
      <c r="F227" s="13" t="s">
        <v>87</v>
      </c>
      <c r="G227" s="13">
        <v>21.05</v>
      </c>
      <c r="H227" s="13">
        <v>20</v>
      </c>
      <c r="I227" s="13">
        <v>421</v>
      </c>
      <c r="J227" s="14" t="s">
        <v>15</v>
      </c>
    </row>
    <row r="228" spans="1:10" x14ac:dyDescent="0.3">
      <c r="A228" s="12" t="s">
        <v>298</v>
      </c>
      <c r="B228" s="19">
        <v>42347</v>
      </c>
      <c r="C228" s="46" t="s">
        <v>20</v>
      </c>
      <c r="D228" s="13" t="s">
        <v>12</v>
      </c>
      <c r="E228" s="13" t="s">
        <v>21</v>
      </c>
      <c r="F228" s="13" t="s">
        <v>299</v>
      </c>
      <c r="G228" s="13">
        <v>43.9</v>
      </c>
      <c r="H228" s="13">
        <v>16</v>
      </c>
      <c r="I228" s="13">
        <v>702.4</v>
      </c>
      <c r="J228" s="14" t="s">
        <v>15</v>
      </c>
    </row>
    <row r="229" spans="1:10" x14ac:dyDescent="0.3">
      <c r="A229" s="12" t="s">
        <v>300</v>
      </c>
      <c r="B229" s="19">
        <v>42347</v>
      </c>
      <c r="C229" s="46" t="s">
        <v>11</v>
      </c>
      <c r="D229" s="13" t="s">
        <v>12</v>
      </c>
      <c r="E229" s="13" t="s">
        <v>34</v>
      </c>
      <c r="F229" s="13" t="s">
        <v>64</v>
      </c>
      <c r="G229" s="13">
        <v>9.65</v>
      </c>
      <c r="H229" s="13">
        <v>8</v>
      </c>
      <c r="I229" s="13">
        <v>77.2</v>
      </c>
      <c r="J229" s="14" t="s">
        <v>15</v>
      </c>
    </row>
    <row r="230" spans="1:10" x14ac:dyDescent="0.3">
      <c r="A230" s="12" t="s">
        <v>301</v>
      </c>
      <c r="B230" s="19">
        <v>42352</v>
      </c>
      <c r="C230" s="46" t="s">
        <v>20</v>
      </c>
      <c r="D230" s="13" t="s">
        <v>45</v>
      </c>
      <c r="E230" s="13" t="s">
        <v>51</v>
      </c>
      <c r="F230" s="13" t="s">
        <v>81</v>
      </c>
      <c r="G230" s="13">
        <v>38</v>
      </c>
      <c r="H230" s="13">
        <v>20</v>
      </c>
      <c r="I230" s="13">
        <v>760</v>
      </c>
      <c r="J230" s="14" t="s">
        <v>26</v>
      </c>
    </row>
    <row r="231" spans="1:10" x14ac:dyDescent="0.3">
      <c r="A231" s="12" t="s">
        <v>302</v>
      </c>
      <c r="B231" s="19">
        <v>42352</v>
      </c>
      <c r="C231" s="46" t="s">
        <v>20</v>
      </c>
      <c r="D231" s="13" t="s">
        <v>45</v>
      </c>
      <c r="E231" s="13" t="s">
        <v>13</v>
      </c>
      <c r="F231" s="13" t="s">
        <v>14</v>
      </c>
      <c r="G231" s="13">
        <v>6</v>
      </c>
      <c r="H231" s="13">
        <v>20</v>
      </c>
      <c r="I231" s="13">
        <v>120</v>
      </c>
      <c r="J231" s="14" t="s">
        <v>26</v>
      </c>
    </row>
    <row r="232" spans="1:10" x14ac:dyDescent="0.3">
      <c r="A232" s="12" t="s">
        <v>303</v>
      </c>
      <c r="B232" s="19">
        <v>42352</v>
      </c>
      <c r="C232" s="46" t="s">
        <v>31</v>
      </c>
      <c r="D232" s="13" t="s">
        <v>45</v>
      </c>
      <c r="E232" s="13" t="s">
        <v>34</v>
      </c>
      <c r="F232" s="13" t="s">
        <v>64</v>
      </c>
      <c r="G232" s="13">
        <v>16.25</v>
      </c>
      <c r="H232" s="13">
        <v>15</v>
      </c>
      <c r="I232" s="13">
        <v>243.75</v>
      </c>
      <c r="J232" s="14" t="s">
        <v>26</v>
      </c>
    </row>
    <row r="233" spans="1:10" x14ac:dyDescent="0.3">
      <c r="A233" s="12" t="s">
        <v>304</v>
      </c>
      <c r="B233" s="19">
        <v>42354</v>
      </c>
      <c r="C233" s="46" t="s">
        <v>28</v>
      </c>
      <c r="D233" s="13" t="s">
        <v>12</v>
      </c>
      <c r="E233" s="13" t="s">
        <v>17</v>
      </c>
      <c r="F233" s="13" t="s">
        <v>128</v>
      </c>
      <c r="G233" s="13">
        <v>4.5</v>
      </c>
      <c r="H233" s="13">
        <v>15</v>
      </c>
      <c r="I233" s="13">
        <v>67.5</v>
      </c>
      <c r="J233" s="14" t="s">
        <v>26</v>
      </c>
    </row>
    <row r="234" spans="1:10" x14ac:dyDescent="0.3">
      <c r="A234" s="12" t="s">
        <v>305</v>
      </c>
      <c r="B234" s="19">
        <v>42354</v>
      </c>
      <c r="C234" s="46" t="s">
        <v>28</v>
      </c>
      <c r="D234" s="13" t="s">
        <v>12</v>
      </c>
      <c r="E234" s="13" t="s">
        <v>17</v>
      </c>
      <c r="F234" s="13" t="s">
        <v>144</v>
      </c>
      <c r="G234" s="13">
        <v>14</v>
      </c>
      <c r="H234" s="13">
        <v>10</v>
      </c>
      <c r="I234" s="13">
        <v>140</v>
      </c>
      <c r="J234" s="14" t="s">
        <v>26</v>
      </c>
    </row>
    <row r="235" spans="1:10" x14ac:dyDescent="0.3">
      <c r="A235" s="12" t="s">
        <v>306</v>
      </c>
      <c r="B235" s="19">
        <v>42355</v>
      </c>
      <c r="C235" s="46" t="s">
        <v>20</v>
      </c>
      <c r="D235" s="13" t="s">
        <v>45</v>
      </c>
      <c r="E235" s="13" t="s">
        <v>51</v>
      </c>
      <c r="F235" s="13" t="s">
        <v>138</v>
      </c>
      <c r="G235" s="13">
        <v>32.799999999999997</v>
      </c>
      <c r="H235" s="13">
        <v>40</v>
      </c>
      <c r="I235" s="13">
        <v>1312</v>
      </c>
      <c r="J235" s="14" t="s">
        <v>15</v>
      </c>
    </row>
    <row r="236" spans="1:10" x14ac:dyDescent="0.3">
      <c r="A236" s="12" t="s">
        <v>307</v>
      </c>
      <c r="B236" s="19">
        <v>42355</v>
      </c>
      <c r="C236" s="46" t="s">
        <v>11</v>
      </c>
      <c r="D236" s="13" t="s">
        <v>45</v>
      </c>
      <c r="E236" s="13" t="s">
        <v>21</v>
      </c>
      <c r="F236" s="13" t="s">
        <v>22</v>
      </c>
      <c r="G236" s="13">
        <v>7</v>
      </c>
      <c r="H236" s="13">
        <v>20</v>
      </c>
      <c r="I236" s="13">
        <v>140</v>
      </c>
      <c r="J236" s="14" t="s">
        <v>15</v>
      </c>
    </row>
    <row r="237" spans="1:10" x14ac:dyDescent="0.3">
      <c r="A237" s="12" t="s">
        <v>308</v>
      </c>
      <c r="B237" s="19">
        <v>42355</v>
      </c>
      <c r="C237" s="46" t="s">
        <v>20</v>
      </c>
      <c r="D237" s="13" t="s">
        <v>45</v>
      </c>
      <c r="E237" s="13" t="s">
        <v>13</v>
      </c>
      <c r="F237" s="13" t="s">
        <v>14</v>
      </c>
      <c r="G237" s="13">
        <v>9.5</v>
      </c>
      <c r="H237" s="13">
        <v>15</v>
      </c>
      <c r="I237" s="13">
        <v>142.5</v>
      </c>
      <c r="J237" s="14" t="s">
        <v>15</v>
      </c>
    </row>
    <row r="238" spans="1:10" x14ac:dyDescent="0.3">
      <c r="A238" s="12" t="s">
        <v>309</v>
      </c>
      <c r="B238" s="19">
        <v>42368</v>
      </c>
      <c r="C238" s="46" t="s">
        <v>31</v>
      </c>
      <c r="D238" s="13" t="s">
        <v>45</v>
      </c>
      <c r="E238" s="13" t="s">
        <v>17</v>
      </c>
      <c r="F238" s="13" t="s">
        <v>72</v>
      </c>
      <c r="G238" s="13">
        <v>18</v>
      </c>
      <c r="H238" s="13">
        <v>35</v>
      </c>
      <c r="I238" s="13">
        <v>630</v>
      </c>
      <c r="J238" s="14" t="s">
        <v>26</v>
      </c>
    </row>
    <row r="239" spans="1:10" x14ac:dyDescent="0.3">
      <c r="A239" s="12" t="s">
        <v>310</v>
      </c>
      <c r="B239" s="19">
        <v>42368</v>
      </c>
      <c r="C239" s="46" t="s">
        <v>20</v>
      </c>
      <c r="D239" s="13" t="s">
        <v>45</v>
      </c>
      <c r="E239" s="13" t="s">
        <v>51</v>
      </c>
      <c r="F239" s="13" t="s">
        <v>52</v>
      </c>
      <c r="G239" s="13">
        <v>123.79</v>
      </c>
      <c r="H239" s="13">
        <v>21</v>
      </c>
      <c r="I239" s="13">
        <v>2599.59</v>
      </c>
      <c r="J239" s="14" t="s">
        <v>26</v>
      </c>
    </row>
    <row r="240" spans="1:10" x14ac:dyDescent="0.3">
      <c r="A240" s="12" t="s">
        <v>311</v>
      </c>
      <c r="B240" s="19">
        <v>42368</v>
      </c>
      <c r="C240" s="46" t="s">
        <v>31</v>
      </c>
      <c r="D240" s="13" t="s">
        <v>45</v>
      </c>
      <c r="E240" s="13" t="s">
        <v>34</v>
      </c>
      <c r="F240" s="13" t="s">
        <v>75</v>
      </c>
      <c r="G240" s="13">
        <v>20</v>
      </c>
      <c r="H240" s="13">
        <v>30</v>
      </c>
      <c r="I240" s="13">
        <v>600</v>
      </c>
      <c r="J240" s="14" t="s">
        <v>26</v>
      </c>
    </row>
    <row r="241" spans="1:23" x14ac:dyDescent="0.3">
      <c r="A241" s="12" t="s">
        <v>312</v>
      </c>
      <c r="B241" s="19">
        <v>42009</v>
      </c>
      <c r="C241" s="46" t="s">
        <v>11</v>
      </c>
      <c r="D241" s="13" t="s">
        <v>12</v>
      </c>
      <c r="E241" s="13" t="s">
        <v>13</v>
      </c>
      <c r="F241" s="13" t="s">
        <v>14</v>
      </c>
      <c r="G241" s="13">
        <v>45.6</v>
      </c>
      <c r="H241" s="13">
        <v>42</v>
      </c>
      <c r="I241" s="13">
        <v>1915.2</v>
      </c>
      <c r="J241" s="14" t="s">
        <v>15</v>
      </c>
    </row>
    <row r="242" spans="1:23" x14ac:dyDescent="0.3">
      <c r="A242" s="12" t="s">
        <v>313</v>
      </c>
      <c r="B242" s="19">
        <v>42009</v>
      </c>
      <c r="C242" s="46" t="s">
        <v>20</v>
      </c>
      <c r="D242" s="13" t="s">
        <v>12</v>
      </c>
      <c r="E242" s="13" t="s">
        <v>21</v>
      </c>
      <c r="F242" s="13" t="s">
        <v>22</v>
      </c>
      <c r="G242" s="13">
        <v>19</v>
      </c>
      <c r="H242" s="13">
        <v>5</v>
      </c>
      <c r="I242" s="13">
        <v>95</v>
      </c>
      <c r="J242" s="14" t="s">
        <v>15</v>
      </c>
    </row>
    <row r="243" spans="1:23" x14ac:dyDescent="0.3">
      <c r="A243" s="12" t="s">
        <v>314</v>
      </c>
      <c r="B243" s="19">
        <v>42009</v>
      </c>
      <c r="C243" s="46" t="s">
        <v>20</v>
      </c>
      <c r="D243" s="13" t="s">
        <v>12</v>
      </c>
      <c r="E243" s="13" t="s">
        <v>21</v>
      </c>
      <c r="F243" s="13" t="s">
        <v>22</v>
      </c>
      <c r="G243" s="13">
        <v>18.399999999999999</v>
      </c>
      <c r="H243" s="13">
        <v>2</v>
      </c>
      <c r="I243" s="13">
        <v>36.799999999999997</v>
      </c>
      <c r="J243" s="14" t="s">
        <v>15</v>
      </c>
    </row>
    <row r="244" spans="1:23" x14ac:dyDescent="0.3">
      <c r="A244" s="12" t="s">
        <v>42</v>
      </c>
      <c r="B244" s="19">
        <v>42009</v>
      </c>
      <c r="C244" s="46" t="s">
        <v>20</v>
      </c>
      <c r="D244" s="13" t="s">
        <v>12</v>
      </c>
      <c r="E244" s="13" t="s">
        <v>34</v>
      </c>
      <c r="F244" s="13" t="s">
        <v>241</v>
      </c>
      <c r="G244" s="13">
        <v>10</v>
      </c>
      <c r="H244" s="13">
        <v>30</v>
      </c>
      <c r="I244" s="13">
        <v>300</v>
      </c>
      <c r="J244" s="14" t="s">
        <v>15</v>
      </c>
    </row>
    <row r="245" spans="1:23" x14ac:dyDescent="0.3">
      <c r="A245" s="12" t="s">
        <v>315</v>
      </c>
      <c r="B245" s="19">
        <v>42011</v>
      </c>
      <c r="C245" s="46" t="s">
        <v>20</v>
      </c>
      <c r="D245" s="13" t="s">
        <v>24</v>
      </c>
      <c r="E245" s="13" t="s">
        <v>17</v>
      </c>
      <c r="F245" s="13" t="s">
        <v>54</v>
      </c>
      <c r="G245" s="13">
        <v>23.25</v>
      </c>
      <c r="H245" s="13">
        <v>12</v>
      </c>
      <c r="I245" s="13">
        <v>279</v>
      </c>
      <c r="J245" s="14" t="s">
        <v>15</v>
      </c>
    </row>
    <row r="246" spans="1:23" x14ac:dyDescent="0.3">
      <c r="A246" s="12" t="s">
        <v>316</v>
      </c>
      <c r="B246" s="19">
        <v>43472</v>
      </c>
      <c r="C246" s="46" t="s">
        <v>20</v>
      </c>
      <c r="D246" s="13" t="s">
        <v>24</v>
      </c>
      <c r="E246" s="13" t="s">
        <v>34</v>
      </c>
      <c r="F246" s="13" t="s">
        <v>241</v>
      </c>
      <c r="G246" s="13">
        <v>10</v>
      </c>
      <c r="H246" s="13">
        <v>12</v>
      </c>
      <c r="I246" s="13">
        <v>120</v>
      </c>
      <c r="J246" s="14" t="s">
        <v>15</v>
      </c>
    </row>
    <row r="247" spans="1:23" x14ac:dyDescent="0.3">
      <c r="A247" s="12" t="s">
        <v>317</v>
      </c>
      <c r="B247" s="19">
        <v>42016</v>
      </c>
      <c r="C247" s="46" t="s">
        <v>11</v>
      </c>
      <c r="D247" s="13" t="s">
        <v>12</v>
      </c>
      <c r="E247" s="13" t="s">
        <v>13</v>
      </c>
      <c r="F247" s="13" t="s">
        <v>113</v>
      </c>
      <c r="G247" s="13">
        <v>2.5</v>
      </c>
      <c r="H247" s="13">
        <v>50</v>
      </c>
      <c r="I247" s="13">
        <v>125</v>
      </c>
      <c r="J247" s="14" t="s">
        <v>26</v>
      </c>
    </row>
    <row r="248" spans="1:23" x14ac:dyDescent="0.3">
      <c r="A248" s="12" t="s">
        <v>318</v>
      </c>
      <c r="B248" s="19">
        <v>42016</v>
      </c>
      <c r="C248" s="46" t="s">
        <v>28</v>
      </c>
      <c r="D248" s="13" t="s">
        <v>12</v>
      </c>
      <c r="E248" s="13" t="s">
        <v>34</v>
      </c>
      <c r="F248" s="13" t="s">
        <v>188</v>
      </c>
      <c r="G248" s="13">
        <v>9.1999999999999993</v>
      </c>
      <c r="H248" s="13">
        <v>18</v>
      </c>
      <c r="I248" s="13">
        <v>165.6</v>
      </c>
      <c r="J248" s="14" t="s">
        <v>26</v>
      </c>
    </row>
    <row r="249" spans="1:23" x14ac:dyDescent="0.3">
      <c r="A249" s="12" t="s">
        <v>319</v>
      </c>
      <c r="B249" s="19">
        <v>42023</v>
      </c>
      <c r="C249" s="46" t="s">
        <v>31</v>
      </c>
      <c r="D249" s="13" t="s">
        <v>12</v>
      </c>
      <c r="E249" s="13" t="s">
        <v>17</v>
      </c>
      <c r="F249" s="13" t="s">
        <v>54</v>
      </c>
      <c r="G249" s="13">
        <v>15</v>
      </c>
      <c r="H249" s="13">
        <v>8</v>
      </c>
      <c r="I249" s="13">
        <v>120</v>
      </c>
      <c r="J249" s="14" t="s">
        <v>15</v>
      </c>
    </row>
    <row r="250" spans="1:23" x14ac:dyDescent="0.3">
      <c r="A250" s="12" t="s">
        <v>320</v>
      </c>
      <c r="B250" s="19">
        <v>42023</v>
      </c>
      <c r="C250" s="46" t="s">
        <v>11</v>
      </c>
      <c r="D250" s="13" t="s">
        <v>12</v>
      </c>
      <c r="E250" s="13" t="s">
        <v>21</v>
      </c>
      <c r="F250" s="13" t="s">
        <v>22</v>
      </c>
      <c r="G250" s="13">
        <v>15</v>
      </c>
      <c r="H250" s="13">
        <v>20</v>
      </c>
      <c r="I250" s="13">
        <v>300</v>
      </c>
      <c r="J250" s="14" t="s">
        <v>15</v>
      </c>
      <c r="Q250" s="58"/>
      <c r="R250" s="58"/>
      <c r="S250" s="58"/>
      <c r="T250" s="58"/>
      <c r="U250" s="58"/>
      <c r="V250" s="58"/>
      <c r="W250" s="58"/>
    </row>
    <row r="251" spans="1:23" x14ac:dyDescent="0.3">
      <c r="A251" s="12" t="s">
        <v>321</v>
      </c>
      <c r="B251" s="19">
        <v>42023</v>
      </c>
      <c r="C251" s="46" t="s">
        <v>28</v>
      </c>
      <c r="D251" s="13" t="s">
        <v>12</v>
      </c>
      <c r="E251" s="13" t="s">
        <v>34</v>
      </c>
      <c r="F251" s="13" t="s">
        <v>64</v>
      </c>
      <c r="G251" s="13">
        <v>6</v>
      </c>
      <c r="H251" s="13">
        <v>2</v>
      </c>
      <c r="I251" s="13">
        <v>12</v>
      </c>
      <c r="J251" s="14" t="s">
        <v>15</v>
      </c>
      <c r="L251" s="33"/>
      <c r="N251" s="50"/>
      <c r="Q251" s="51"/>
      <c r="R251" s="51"/>
      <c r="S251" s="51"/>
      <c r="T251" s="51"/>
      <c r="U251" s="51"/>
      <c r="V251" s="51"/>
      <c r="W251" s="51"/>
    </row>
    <row r="252" spans="1:23" x14ac:dyDescent="0.3">
      <c r="A252" s="12" t="s">
        <v>322</v>
      </c>
      <c r="B252" s="19">
        <v>42023</v>
      </c>
      <c r="C252" s="46" t="s">
        <v>20</v>
      </c>
      <c r="D252" s="13" t="s">
        <v>12</v>
      </c>
      <c r="E252" s="13" t="s">
        <v>51</v>
      </c>
      <c r="F252" s="13" t="s">
        <v>138</v>
      </c>
      <c r="G252" s="13">
        <v>32.799999999999997</v>
      </c>
      <c r="H252" s="13">
        <v>15</v>
      </c>
      <c r="I252" s="13">
        <v>491.99999999999994</v>
      </c>
      <c r="J252" s="14" t="s">
        <v>15</v>
      </c>
      <c r="N252" s="50"/>
      <c r="Q252" s="51"/>
      <c r="R252" s="51"/>
      <c r="S252" s="51"/>
      <c r="T252" s="51"/>
      <c r="U252" s="51"/>
      <c r="V252" s="51"/>
      <c r="W252" s="51"/>
    </row>
    <row r="253" spans="1:23" x14ac:dyDescent="0.3">
      <c r="A253" s="12" t="s">
        <v>323</v>
      </c>
      <c r="B253" s="19">
        <v>42023</v>
      </c>
      <c r="C253" s="46" t="s">
        <v>11</v>
      </c>
      <c r="D253" s="13" t="s">
        <v>12</v>
      </c>
      <c r="E253" s="13" t="s">
        <v>21</v>
      </c>
      <c r="F253" s="13" t="s">
        <v>97</v>
      </c>
      <c r="G253" s="13">
        <v>13</v>
      </c>
      <c r="H253" s="13">
        <v>10</v>
      </c>
      <c r="I253" s="13">
        <v>130</v>
      </c>
      <c r="J253" s="14" t="s">
        <v>15</v>
      </c>
      <c r="N253" s="50"/>
      <c r="Q253" s="51"/>
      <c r="R253" s="51"/>
      <c r="S253" s="51"/>
      <c r="T253" s="51"/>
      <c r="U253" s="51"/>
      <c r="V253" s="51"/>
      <c r="W253" s="51"/>
    </row>
    <row r="254" spans="1:23" x14ac:dyDescent="0.3">
      <c r="A254" s="12" t="s">
        <v>324</v>
      </c>
      <c r="B254" s="19">
        <v>42023</v>
      </c>
      <c r="C254" s="46" t="s">
        <v>11</v>
      </c>
      <c r="D254" s="13" t="s">
        <v>12</v>
      </c>
      <c r="E254" s="13" t="s">
        <v>34</v>
      </c>
      <c r="F254" s="13" t="s">
        <v>77</v>
      </c>
      <c r="G254" s="13">
        <v>31.23</v>
      </c>
      <c r="H254" s="13">
        <v>30</v>
      </c>
      <c r="I254" s="13">
        <v>936.9</v>
      </c>
      <c r="J254" s="14" t="s">
        <v>15</v>
      </c>
      <c r="N254" s="50"/>
      <c r="Q254" s="51"/>
      <c r="R254" s="51"/>
      <c r="S254" s="51"/>
      <c r="T254" s="51"/>
      <c r="U254" s="51"/>
      <c r="V254" s="51"/>
      <c r="W254" s="51"/>
    </row>
    <row r="255" spans="1:23" x14ac:dyDescent="0.3">
      <c r="A255" s="12" t="s">
        <v>325</v>
      </c>
      <c r="B255" s="19">
        <v>42023</v>
      </c>
      <c r="C255" s="46" t="s">
        <v>20</v>
      </c>
      <c r="D255" s="13" t="s">
        <v>12</v>
      </c>
      <c r="E255" s="13" t="s">
        <v>34</v>
      </c>
      <c r="F255" s="13" t="s">
        <v>188</v>
      </c>
      <c r="G255" s="13">
        <v>9.1999999999999993</v>
      </c>
      <c r="H255" s="13">
        <v>4</v>
      </c>
      <c r="I255" s="13">
        <v>36.799999999999997</v>
      </c>
      <c r="J255" s="14" t="s">
        <v>15</v>
      </c>
      <c r="N255" s="50"/>
      <c r="Q255" s="51"/>
      <c r="R255" s="51"/>
      <c r="S255" s="51"/>
      <c r="T255" s="51"/>
      <c r="U255" s="51"/>
      <c r="V255" s="51"/>
      <c r="W255" s="51"/>
    </row>
    <row r="256" spans="1:23" x14ac:dyDescent="0.3">
      <c r="A256" s="12" t="s">
        <v>326</v>
      </c>
      <c r="B256" s="19">
        <v>42025</v>
      </c>
      <c r="C256" s="46" t="s">
        <v>11</v>
      </c>
      <c r="D256" s="13" t="s">
        <v>12</v>
      </c>
      <c r="E256" s="13" t="s">
        <v>13</v>
      </c>
      <c r="F256" s="13" t="s">
        <v>66</v>
      </c>
      <c r="G256" s="13">
        <v>55</v>
      </c>
      <c r="H256" s="13">
        <v>20</v>
      </c>
      <c r="I256" s="13">
        <v>1100</v>
      </c>
      <c r="J256" s="14" t="s">
        <v>26</v>
      </c>
      <c r="N256" s="50"/>
      <c r="Q256" s="51"/>
      <c r="R256" s="51"/>
      <c r="S256" s="51"/>
      <c r="T256" s="51"/>
      <c r="U256" s="51"/>
      <c r="V256" s="51"/>
      <c r="W256" s="51"/>
    </row>
    <row r="257" spans="1:23" x14ac:dyDescent="0.3">
      <c r="A257" s="12" t="s">
        <v>327</v>
      </c>
      <c r="B257" s="19">
        <v>42025</v>
      </c>
      <c r="C257" s="46" t="s">
        <v>20</v>
      </c>
      <c r="D257" s="13" t="s">
        <v>12</v>
      </c>
      <c r="E257" s="13" t="s">
        <v>13</v>
      </c>
      <c r="F257" s="13" t="s">
        <v>99</v>
      </c>
      <c r="G257" s="13">
        <v>12.5</v>
      </c>
      <c r="H257" s="13">
        <v>14</v>
      </c>
      <c r="I257" s="13">
        <v>175</v>
      </c>
      <c r="J257" s="14" t="s">
        <v>26</v>
      </c>
      <c r="N257" s="50"/>
      <c r="Q257" s="51"/>
      <c r="R257" s="51"/>
      <c r="S257" s="51"/>
      <c r="T257" s="51"/>
      <c r="U257" s="51"/>
      <c r="V257" s="51"/>
      <c r="W257" s="51"/>
    </row>
    <row r="258" spans="1:23" x14ac:dyDescent="0.3">
      <c r="A258" s="12" t="s">
        <v>328</v>
      </c>
      <c r="B258" s="19">
        <v>42029</v>
      </c>
      <c r="C258" s="46" t="s">
        <v>11</v>
      </c>
      <c r="D258" s="13" t="s">
        <v>85</v>
      </c>
      <c r="E258" s="13" t="s">
        <v>34</v>
      </c>
      <c r="F258" s="13" t="s">
        <v>64</v>
      </c>
      <c r="G258" s="13">
        <v>33.25</v>
      </c>
      <c r="H258" s="13">
        <v>7</v>
      </c>
      <c r="I258" s="13">
        <v>232.75</v>
      </c>
      <c r="J258" s="14" t="s">
        <v>15</v>
      </c>
      <c r="N258" s="50"/>
      <c r="Q258" s="51"/>
      <c r="R258" s="51"/>
      <c r="S258" s="51"/>
      <c r="T258" s="51"/>
      <c r="U258" s="51"/>
      <c r="V258" s="51"/>
      <c r="W258" s="51"/>
    </row>
    <row r="259" spans="1:23" x14ac:dyDescent="0.3">
      <c r="A259" s="12" t="s">
        <v>329</v>
      </c>
      <c r="B259" s="19">
        <v>42029</v>
      </c>
      <c r="C259" s="46" t="s">
        <v>11</v>
      </c>
      <c r="D259" s="13" t="s">
        <v>85</v>
      </c>
      <c r="E259" s="13" t="s">
        <v>13</v>
      </c>
      <c r="F259" s="13" t="s">
        <v>14</v>
      </c>
      <c r="G259" s="13">
        <v>38</v>
      </c>
      <c r="H259" s="13">
        <v>5</v>
      </c>
      <c r="I259" s="13">
        <v>190</v>
      </c>
      <c r="J259" s="14" t="s">
        <v>15</v>
      </c>
      <c r="N259" s="50"/>
      <c r="Q259" s="51"/>
      <c r="R259" s="51"/>
      <c r="S259" s="51"/>
      <c r="T259" s="51"/>
      <c r="U259" s="51"/>
      <c r="V259" s="51"/>
      <c r="W259" s="51"/>
    </row>
    <row r="260" spans="1:23" x14ac:dyDescent="0.3">
      <c r="A260" s="12" t="s">
        <v>330</v>
      </c>
      <c r="B260" s="19">
        <v>42037</v>
      </c>
      <c r="C260" s="46" t="s">
        <v>31</v>
      </c>
      <c r="D260" s="13" t="s">
        <v>45</v>
      </c>
      <c r="E260" s="13" t="s">
        <v>17</v>
      </c>
      <c r="F260" s="13" t="s">
        <v>18</v>
      </c>
      <c r="G260" s="13">
        <v>19</v>
      </c>
      <c r="H260" s="13">
        <v>10</v>
      </c>
      <c r="I260" s="13">
        <v>190</v>
      </c>
      <c r="J260" s="14" t="s">
        <v>26</v>
      </c>
      <c r="N260" s="50"/>
      <c r="Q260" s="51"/>
      <c r="R260" s="51"/>
      <c r="S260" s="51"/>
      <c r="T260" s="51"/>
      <c r="U260" s="51"/>
      <c r="V260" s="51"/>
      <c r="W260" s="51"/>
    </row>
    <row r="261" spans="1:23" x14ac:dyDescent="0.3">
      <c r="A261" s="12" t="s">
        <v>331</v>
      </c>
      <c r="B261" s="19">
        <v>42037</v>
      </c>
      <c r="C261" s="46" t="s">
        <v>31</v>
      </c>
      <c r="D261" s="13" t="s">
        <v>45</v>
      </c>
      <c r="E261" s="13" t="s">
        <v>13</v>
      </c>
      <c r="F261" s="13" t="s">
        <v>14</v>
      </c>
      <c r="G261" s="13">
        <v>21</v>
      </c>
      <c r="H261" s="13">
        <v>12</v>
      </c>
      <c r="I261" s="13">
        <v>252</v>
      </c>
      <c r="J261" s="14" t="s">
        <v>26</v>
      </c>
      <c r="N261" s="50"/>
      <c r="Q261" s="51"/>
      <c r="R261" s="51"/>
      <c r="S261" s="51"/>
      <c r="T261" s="51"/>
      <c r="U261" s="51"/>
      <c r="V261" s="51"/>
      <c r="W261" s="51"/>
    </row>
    <row r="262" spans="1:23" x14ac:dyDescent="0.3">
      <c r="A262" s="12" t="s">
        <v>332</v>
      </c>
      <c r="B262" s="19">
        <v>42037</v>
      </c>
      <c r="C262" s="46" t="s">
        <v>31</v>
      </c>
      <c r="D262" s="13" t="s">
        <v>45</v>
      </c>
      <c r="E262" s="13" t="s">
        <v>13</v>
      </c>
      <c r="F262" s="13" t="s">
        <v>56</v>
      </c>
      <c r="G262" s="13">
        <v>34.799999999999997</v>
      </c>
      <c r="H262" s="13">
        <v>10</v>
      </c>
      <c r="I262" s="13">
        <v>348</v>
      </c>
      <c r="J262" s="14" t="s">
        <v>26</v>
      </c>
      <c r="N262" s="50"/>
      <c r="Q262" s="51"/>
      <c r="R262" s="51"/>
      <c r="S262" s="51"/>
      <c r="T262" s="51"/>
      <c r="U262" s="51"/>
      <c r="V262" s="51"/>
      <c r="W262" s="51"/>
    </row>
    <row r="263" spans="1:23" x14ac:dyDescent="0.3">
      <c r="A263" s="12" t="s">
        <v>333</v>
      </c>
      <c r="B263" s="19">
        <v>42047</v>
      </c>
      <c r="C263" s="46" t="s">
        <v>20</v>
      </c>
      <c r="D263" s="13" t="s">
        <v>12</v>
      </c>
      <c r="E263" s="13" t="s">
        <v>21</v>
      </c>
      <c r="F263" s="13" t="s">
        <v>87</v>
      </c>
      <c r="G263" s="13">
        <v>21.05</v>
      </c>
      <c r="H263" s="13">
        <v>35</v>
      </c>
      <c r="I263" s="13">
        <v>736.75</v>
      </c>
      <c r="J263" s="14" t="s">
        <v>26</v>
      </c>
      <c r="N263" s="50"/>
      <c r="Q263" s="51"/>
      <c r="R263" s="51"/>
      <c r="S263" s="51"/>
      <c r="T263" s="51"/>
      <c r="U263" s="51"/>
      <c r="V263" s="51"/>
      <c r="W263" s="51"/>
    </row>
    <row r="264" spans="1:23" x14ac:dyDescent="0.3">
      <c r="A264" s="12" t="s">
        <v>334</v>
      </c>
      <c r="B264" s="19">
        <v>42047</v>
      </c>
      <c r="C264" s="46" t="s">
        <v>20</v>
      </c>
      <c r="D264" s="13" t="s">
        <v>12</v>
      </c>
      <c r="E264" s="13" t="s">
        <v>13</v>
      </c>
      <c r="F264" s="13" t="s">
        <v>124</v>
      </c>
      <c r="G264" s="13">
        <v>21.5</v>
      </c>
      <c r="H264" s="13">
        <v>2</v>
      </c>
      <c r="I264" s="13">
        <v>43</v>
      </c>
      <c r="J264" s="14" t="s">
        <v>26</v>
      </c>
      <c r="N264" s="50"/>
      <c r="Q264" s="51"/>
      <c r="R264" s="51"/>
      <c r="S264" s="51"/>
      <c r="T264" s="51"/>
      <c r="U264" s="51"/>
      <c r="V264" s="51"/>
      <c r="W264" s="51"/>
    </row>
    <row r="265" spans="1:23" x14ac:dyDescent="0.3">
      <c r="A265" s="12" t="s">
        <v>335</v>
      </c>
      <c r="B265" s="19">
        <v>42047</v>
      </c>
      <c r="C265" s="46" t="s">
        <v>28</v>
      </c>
      <c r="D265" s="13" t="s">
        <v>12</v>
      </c>
      <c r="E265" s="13" t="s">
        <v>34</v>
      </c>
      <c r="F265" s="13" t="s">
        <v>188</v>
      </c>
      <c r="G265" s="13">
        <v>9.1999999999999993</v>
      </c>
      <c r="H265" s="13">
        <v>40</v>
      </c>
      <c r="I265" s="13">
        <v>368</v>
      </c>
      <c r="J265" s="14" t="s">
        <v>26</v>
      </c>
      <c r="N265" s="50"/>
      <c r="Q265" s="51"/>
      <c r="R265" s="51"/>
      <c r="S265" s="51"/>
      <c r="T265" s="51"/>
      <c r="U265" s="51"/>
      <c r="V265" s="51"/>
      <c r="W265" s="51"/>
    </row>
    <row r="266" spans="1:23" x14ac:dyDescent="0.3">
      <c r="A266" s="12" t="s">
        <v>336</v>
      </c>
      <c r="B266" s="19">
        <v>42050</v>
      </c>
      <c r="C266" s="46" t="s">
        <v>11</v>
      </c>
      <c r="D266" s="13" t="s">
        <v>24</v>
      </c>
      <c r="E266" s="13" t="s">
        <v>51</v>
      </c>
      <c r="F266" s="13" t="s">
        <v>81</v>
      </c>
      <c r="G266" s="13">
        <v>18.399999999999999</v>
      </c>
      <c r="H266" s="13">
        <v>20</v>
      </c>
      <c r="I266" s="13">
        <v>368</v>
      </c>
      <c r="J266" s="14" t="s">
        <v>26</v>
      </c>
      <c r="N266" s="50"/>
      <c r="Q266" s="51"/>
      <c r="R266" s="51"/>
      <c r="S266" s="51"/>
      <c r="T266" s="51"/>
      <c r="U266" s="51"/>
      <c r="V266" s="51"/>
      <c r="W266" s="51"/>
    </row>
    <row r="267" spans="1:23" x14ac:dyDescent="0.3">
      <c r="A267" s="12" t="s">
        <v>337</v>
      </c>
      <c r="B267" s="19">
        <v>42054</v>
      </c>
      <c r="C267" s="46" t="s">
        <v>11</v>
      </c>
      <c r="D267" s="13" t="s">
        <v>45</v>
      </c>
      <c r="E267" s="13" t="s">
        <v>17</v>
      </c>
      <c r="F267" s="13" t="s">
        <v>54</v>
      </c>
      <c r="G267" s="13">
        <v>15</v>
      </c>
      <c r="H267" s="13">
        <v>25</v>
      </c>
      <c r="I267" s="13">
        <v>375</v>
      </c>
      <c r="J267" s="14" t="s">
        <v>26</v>
      </c>
      <c r="N267" s="50"/>
      <c r="Q267" s="51"/>
      <c r="R267" s="51"/>
      <c r="S267" s="51"/>
      <c r="T267" s="51"/>
      <c r="U267" s="51"/>
      <c r="V267" s="51"/>
      <c r="W267" s="51"/>
    </row>
    <row r="268" spans="1:23" x14ac:dyDescent="0.3">
      <c r="A268" s="12" t="s">
        <v>338</v>
      </c>
      <c r="B268" s="19">
        <v>42054</v>
      </c>
      <c r="C268" s="46" t="s">
        <v>31</v>
      </c>
      <c r="D268" s="13" t="s">
        <v>45</v>
      </c>
      <c r="E268" s="13" t="s">
        <v>34</v>
      </c>
      <c r="F268" s="13" t="s">
        <v>339</v>
      </c>
      <c r="G268" s="13">
        <v>12.75</v>
      </c>
      <c r="H268" s="13">
        <v>15</v>
      </c>
      <c r="I268" s="13">
        <v>191.25</v>
      </c>
      <c r="J268" s="14" t="s">
        <v>26</v>
      </c>
      <c r="N268" s="50"/>
      <c r="Q268" s="51"/>
      <c r="R268" s="51"/>
      <c r="S268" s="51"/>
      <c r="T268" s="51"/>
      <c r="U268" s="51"/>
      <c r="V268" s="51"/>
      <c r="W268" s="51"/>
    </row>
    <row r="269" spans="1:23" x14ac:dyDescent="0.3">
      <c r="A269" s="12" t="s">
        <v>340</v>
      </c>
      <c r="B269" s="19">
        <v>42064</v>
      </c>
      <c r="C269" s="46" t="s">
        <v>28</v>
      </c>
      <c r="D269" s="13" t="s">
        <v>45</v>
      </c>
      <c r="E269" s="13" t="s">
        <v>17</v>
      </c>
      <c r="F269" s="13" t="s">
        <v>54</v>
      </c>
      <c r="G269" s="13">
        <v>9</v>
      </c>
      <c r="H269" s="13">
        <v>21</v>
      </c>
      <c r="I269" s="13">
        <v>189</v>
      </c>
      <c r="J269" s="14" t="s">
        <v>15</v>
      </c>
      <c r="N269" s="50"/>
      <c r="Q269" s="51"/>
      <c r="R269" s="51"/>
      <c r="S269" s="51"/>
      <c r="T269" s="51"/>
      <c r="U269" s="51"/>
      <c r="V269" s="51"/>
      <c r="W269" s="51"/>
    </row>
    <row r="270" spans="1:23" x14ac:dyDescent="0.3">
      <c r="A270" s="12" t="s">
        <v>341</v>
      </c>
      <c r="B270" s="19">
        <v>42064</v>
      </c>
      <c r="C270" s="46" t="s">
        <v>11</v>
      </c>
      <c r="D270" s="13" t="s">
        <v>45</v>
      </c>
      <c r="E270" s="13" t="s">
        <v>21</v>
      </c>
      <c r="F270" s="13" t="s">
        <v>22</v>
      </c>
      <c r="G270" s="13">
        <v>6</v>
      </c>
      <c r="H270" s="13">
        <v>1</v>
      </c>
      <c r="I270" s="13">
        <v>6</v>
      </c>
      <c r="J270" s="14" t="s">
        <v>15</v>
      </c>
      <c r="N270" s="50"/>
      <c r="Q270" s="51"/>
      <c r="R270" s="51"/>
      <c r="S270" s="51"/>
      <c r="T270" s="51"/>
      <c r="U270" s="51"/>
      <c r="V270" s="51"/>
      <c r="W270" s="51"/>
    </row>
    <row r="271" spans="1:23" x14ac:dyDescent="0.3">
      <c r="A271" s="12" t="s">
        <v>342</v>
      </c>
      <c r="B271" s="19">
        <v>42067</v>
      </c>
      <c r="C271" s="46" t="s">
        <v>28</v>
      </c>
      <c r="D271" s="13" t="s">
        <v>12</v>
      </c>
      <c r="E271" s="13" t="s">
        <v>13</v>
      </c>
      <c r="F271" s="13" t="s">
        <v>14</v>
      </c>
      <c r="G271" s="13">
        <v>21</v>
      </c>
      <c r="H271" s="13">
        <v>10</v>
      </c>
      <c r="I271" s="13">
        <v>210</v>
      </c>
      <c r="J271" s="14" t="s">
        <v>15</v>
      </c>
      <c r="N271" s="50"/>
      <c r="Q271" s="51"/>
      <c r="R271" s="51"/>
      <c r="S271" s="51"/>
      <c r="T271" s="51"/>
      <c r="U271" s="51"/>
      <c r="V271" s="51"/>
      <c r="W271" s="51"/>
    </row>
    <row r="272" spans="1:23" x14ac:dyDescent="0.3">
      <c r="A272" s="12" t="s">
        <v>343</v>
      </c>
      <c r="B272" s="19">
        <v>42067</v>
      </c>
      <c r="C272" s="46" t="s">
        <v>20</v>
      </c>
      <c r="D272" s="13" t="s">
        <v>12</v>
      </c>
      <c r="E272" s="13" t="s">
        <v>21</v>
      </c>
      <c r="F272" s="13" t="s">
        <v>22</v>
      </c>
      <c r="G272" s="13">
        <v>12</v>
      </c>
      <c r="H272" s="13">
        <v>5</v>
      </c>
      <c r="I272" s="13">
        <v>60</v>
      </c>
      <c r="J272" s="14" t="s">
        <v>15</v>
      </c>
      <c r="N272" s="50"/>
      <c r="Q272" s="51"/>
      <c r="R272" s="51"/>
      <c r="S272" s="51"/>
      <c r="T272" s="51"/>
      <c r="U272" s="51"/>
      <c r="V272" s="51"/>
      <c r="W272" s="51"/>
    </row>
    <row r="273" spans="1:23" x14ac:dyDescent="0.3">
      <c r="A273" s="12" t="s">
        <v>344</v>
      </c>
      <c r="B273" s="19">
        <v>42072</v>
      </c>
      <c r="C273" s="46" t="s">
        <v>28</v>
      </c>
      <c r="D273" s="13" t="s">
        <v>45</v>
      </c>
      <c r="E273" s="13" t="s">
        <v>34</v>
      </c>
      <c r="F273" s="13" t="s">
        <v>64</v>
      </c>
      <c r="G273" s="13">
        <v>30</v>
      </c>
      <c r="H273" s="13">
        <v>30</v>
      </c>
      <c r="I273" s="13">
        <v>900</v>
      </c>
      <c r="J273" s="14" t="s">
        <v>26</v>
      </c>
      <c r="N273" s="50"/>
      <c r="Q273" s="51"/>
      <c r="R273" s="51"/>
      <c r="S273" s="51"/>
      <c r="T273" s="51"/>
      <c r="U273" s="51"/>
      <c r="V273" s="51"/>
      <c r="W273" s="51"/>
    </row>
    <row r="274" spans="1:23" x14ac:dyDescent="0.3">
      <c r="A274" s="12" t="s">
        <v>345</v>
      </c>
      <c r="B274" s="19">
        <v>42072</v>
      </c>
      <c r="C274" s="46" t="s">
        <v>11</v>
      </c>
      <c r="D274" s="13" t="s">
        <v>45</v>
      </c>
      <c r="E274" s="13" t="s">
        <v>51</v>
      </c>
      <c r="F274" s="13" t="s">
        <v>81</v>
      </c>
      <c r="G274" s="13">
        <v>38</v>
      </c>
      <c r="H274" s="13">
        <v>20</v>
      </c>
      <c r="I274" s="13">
        <v>760</v>
      </c>
      <c r="J274" s="14" t="s">
        <v>26</v>
      </c>
      <c r="N274" s="50"/>
      <c r="Q274" s="51"/>
      <c r="R274" s="51"/>
      <c r="S274" s="51"/>
      <c r="T274" s="51"/>
      <c r="U274" s="51"/>
      <c r="V274" s="51"/>
      <c r="W274" s="51"/>
    </row>
    <row r="275" spans="1:23" x14ac:dyDescent="0.3">
      <c r="A275" s="12" t="s">
        <v>346</v>
      </c>
      <c r="B275" s="19">
        <v>42073</v>
      </c>
      <c r="C275" s="46" t="s">
        <v>11</v>
      </c>
      <c r="D275" s="13" t="s">
        <v>45</v>
      </c>
      <c r="E275" s="13" t="s">
        <v>17</v>
      </c>
      <c r="F275" s="13" t="s">
        <v>128</v>
      </c>
      <c r="G275" s="13">
        <v>4.5</v>
      </c>
      <c r="H275" s="13">
        <v>80</v>
      </c>
      <c r="I275" s="13">
        <v>360</v>
      </c>
      <c r="J275" s="14" t="s">
        <v>15</v>
      </c>
      <c r="N275" s="50"/>
      <c r="Q275" s="51"/>
      <c r="R275" s="51"/>
      <c r="S275" s="51"/>
      <c r="T275" s="51"/>
      <c r="U275" s="51"/>
      <c r="V275" s="51"/>
      <c r="W275" s="51"/>
    </row>
    <row r="276" spans="1:23" x14ac:dyDescent="0.3">
      <c r="A276" s="12" t="s">
        <v>347</v>
      </c>
      <c r="B276" s="19">
        <v>42073</v>
      </c>
      <c r="C276" s="46" t="s">
        <v>20</v>
      </c>
      <c r="D276" s="13" t="s">
        <v>45</v>
      </c>
      <c r="E276" s="13" t="s">
        <v>21</v>
      </c>
      <c r="F276" s="13" t="s">
        <v>22</v>
      </c>
      <c r="G276" s="13">
        <v>53</v>
      </c>
      <c r="H276" s="13">
        <v>18</v>
      </c>
      <c r="I276" s="13">
        <v>954</v>
      </c>
      <c r="J276" s="14" t="s">
        <v>15</v>
      </c>
      <c r="N276" s="50"/>
      <c r="Q276" s="51"/>
      <c r="R276" s="51"/>
      <c r="S276" s="51"/>
      <c r="T276" s="51"/>
      <c r="U276" s="51"/>
      <c r="V276" s="51"/>
      <c r="W276" s="51"/>
    </row>
    <row r="277" spans="1:23" x14ac:dyDescent="0.3">
      <c r="A277" s="12" t="s">
        <v>348</v>
      </c>
      <c r="B277" s="19">
        <v>42074</v>
      </c>
      <c r="C277" s="46" t="s">
        <v>20</v>
      </c>
      <c r="D277" s="13" t="s">
        <v>45</v>
      </c>
      <c r="E277" s="13" t="s">
        <v>13</v>
      </c>
      <c r="F277" s="13" t="s">
        <v>113</v>
      </c>
      <c r="G277" s="13">
        <v>2.5</v>
      </c>
      <c r="H277" s="13">
        <v>12</v>
      </c>
      <c r="I277" s="13">
        <v>30</v>
      </c>
      <c r="J277" s="14" t="s">
        <v>26</v>
      </c>
      <c r="N277" s="50"/>
      <c r="Q277" s="51"/>
      <c r="R277" s="51"/>
      <c r="S277" s="51"/>
      <c r="T277" s="51"/>
      <c r="U277" s="51"/>
      <c r="V277" s="51"/>
      <c r="W277" s="51"/>
    </row>
    <row r="278" spans="1:23" x14ac:dyDescent="0.3">
      <c r="A278" s="12" t="s">
        <v>349</v>
      </c>
      <c r="B278" s="19">
        <v>42074</v>
      </c>
      <c r="C278" s="46" t="s">
        <v>20</v>
      </c>
      <c r="D278" s="13" t="s">
        <v>45</v>
      </c>
      <c r="E278" s="13" t="s">
        <v>13</v>
      </c>
      <c r="F278" s="13" t="s">
        <v>124</v>
      </c>
      <c r="G278" s="13">
        <v>21.5</v>
      </c>
      <c r="H278" s="13">
        <v>12</v>
      </c>
      <c r="I278" s="13">
        <v>258</v>
      </c>
      <c r="J278" s="14" t="s">
        <v>26</v>
      </c>
      <c r="N278" s="50"/>
      <c r="Q278" s="51"/>
      <c r="R278" s="51"/>
      <c r="S278" s="51"/>
      <c r="T278" s="51"/>
      <c r="U278" s="51"/>
      <c r="V278" s="51"/>
      <c r="W278" s="51"/>
    </row>
    <row r="279" spans="1:23" x14ac:dyDescent="0.3">
      <c r="A279" s="12" t="s">
        <v>350</v>
      </c>
      <c r="B279" s="19">
        <v>42081</v>
      </c>
      <c r="C279" s="46" t="s">
        <v>31</v>
      </c>
      <c r="D279" s="13" t="s">
        <v>12</v>
      </c>
      <c r="E279" s="13" t="s">
        <v>13</v>
      </c>
      <c r="F279" s="13" t="s">
        <v>41</v>
      </c>
      <c r="G279" s="13">
        <v>34</v>
      </c>
      <c r="H279" s="13">
        <v>40</v>
      </c>
      <c r="I279" s="13">
        <v>1360</v>
      </c>
      <c r="J279" s="14" t="s">
        <v>26</v>
      </c>
      <c r="N279" s="50"/>
      <c r="Q279" s="51"/>
      <c r="R279" s="51"/>
      <c r="S279" s="51"/>
      <c r="T279" s="51"/>
      <c r="U279" s="51"/>
      <c r="V279" s="51"/>
      <c r="W279" s="51"/>
    </row>
    <row r="280" spans="1:23" x14ac:dyDescent="0.3">
      <c r="A280" s="12" t="s">
        <v>351</v>
      </c>
      <c r="B280" s="19">
        <v>42081</v>
      </c>
      <c r="C280" s="46" t="s">
        <v>28</v>
      </c>
      <c r="D280" s="13" t="s">
        <v>12</v>
      </c>
      <c r="E280" s="13" t="s">
        <v>34</v>
      </c>
      <c r="F280" s="13" t="s">
        <v>75</v>
      </c>
      <c r="G280" s="13">
        <v>20</v>
      </c>
      <c r="H280" s="13">
        <v>24</v>
      </c>
      <c r="I280" s="13">
        <v>480</v>
      </c>
      <c r="J280" s="14" t="s">
        <v>26</v>
      </c>
      <c r="N280" s="50"/>
      <c r="Q280" s="51"/>
      <c r="R280" s="51"/>
      <c r="S280" s="51"/>
      <c r="T280" s="51"/>
      <c r="U280" s="51"/>
      <c r="V280" s="51"/>
      <c r="W280" s="51"/>
    </row>
    <row r="281" spans="1:23" x14ac:dyDescent="0.3">
      <c r="A281" s="12" t="s">
        <v>352</v>
      </c>
      <c r="B281" s="19">
        <v>42085</v>
      </c>
      <c r="C281" s="46" t="s">
        <v>11</v>
      </c>
      <c r="D281" s="13" t="s">
        <v>45</v>
      </c>
      <c r="E281" s="13" t="s">
        <v>51</v>
      </c>
      <c r="F281" s="13" t="s">
        <v>81</v>
      </c>
      <c r="G281" s="13">
        <v>53</v>
      </c>
      <c r="H281" s="13">
        <v>3</v>
      </c>
      <c r="I281" s="13">
        <v>159</v>
      </c>
      <c r="J281" s="14" t="s">
        <v>26</v>
      </c>
      <c r="N281" s="50"/>
      <c r="Q281" s="51"/>
      <c r="R281" s="51"/>
      <c r="S281" s="51"/>
      <c r="T281" s="51"/>
      <c r="U281" s="51"/>
      <c r="V281" s="51"/>
      <c r="W281" s="51"/>
    </row>
    <row r="282" spans="1:23" x14ac:dyDescent="0.3">
      <c r="A282" s="12" t="s">
        <v>353</v>
      </c>
      <c r="B282" s="19">
        <v>42085</v>
      </c>
      <c r="C282" s="46" t="s">
        <v>31</v>
      </c>
      <c r="D282" s="13" t="s">
        <v>45</v>
      </c>
      <c r="E282" s="13" t="s">
        <v>17</v>
      </c>
      <c r="F282" s="13" t="s">
        <v>54</v>
      </c>
      <c r="G282" s="13">
        <v>18.399999999999999</v>
      </c>
      <c r="H282" s="13">
        <v>10</v>
      </c>
      <c r="I282" s="13">
        <v>184</v>
      </c>
      <c r="J282" s="14" t="s">
        <v>26</v>
      </c>
      <c r="N282" s="50"/>
      <c r="Q282" s="51"/>
      <c r="R282" s="51"/>
      <c r="S282" s="51"/>
      <c r="T282" s="51"/>
      <c r="U282" s="51"/>
      <c r="V282" s="51"/>
      <c r="W282" s="51"/>
    </row>
    <row r="283" spans="1:23" x14ac:dyDescent="0.3">
      <c r="A283" s="12" t="s">
        <v>354</v>
      </c>
      <c r="B283" s="19">
        <v>42085</v>
      </c>
      <c r="C283" s="46" t="s">
        <v>31</v>
      </c>
      <c r="D283" s="13" t="s">
        <v>45</v>
      </c>
      <c r="E283" s="13" t="s">
        <v>34</v>
      </c>
      <c r="F283" s="13" t="s">
        <v>241</v>
      </c>
      <c r="G283" s="13">
        <v>10</v>
      </c>
      <c r="H283" s="13">
        <v>14</v>
      </c>
      <c r="I283" s="13">
        <v>140</v>
      </c>
      <c r="J283" s="14" t="s">
        <v>26</v>
      </c>
      <c r="N283" s="50"/>
      <c r="Q283" s="51"/>
      <c r="R283" s="51"/>
      <c r="S283" s="51"/>
      <c r="T283" s="51"/>
      <c r="U283" s="51"/>
      <c r="V283" s="51"/>
      <c r="W283" s="51"/>
    </row>
    <row r="284" spans="1:23" x14ac:dyDescent="0.3">
      <c r="A284" s="12" t="s">
        <v>355</v>
      </c>
      <c r="B284" s="19">
        <v>42087</v>
      </c>
      <c r="C284" s="46" t="s">
        <v>31</v>
      </c>
      <c r="D284" s="13" t="s">
        <v>12</v>
      </c>
      <c r="E284" s="13" t="s">
        <v>51</v>
      </c>
      <c r="F284" s="13" t="s">
        <v>268</v>
      </c>
      <c r="G284" s="13">
        <v>7.45</v>
      </c>
      <c r="H284" s="13">
        <v>24</v>
      </c>
      <c r="I284" s="13">
        <v>178.8</v>
      </c>
      <c r="J284" s="14" t="s">
        <v>26</v>
      </c>
      <c r="N284" s="50"/>
      <c r="Q284" s="51"/>
      <c r="R284" s="51"/>
      <c r="S284" s="51"/>
      <c r="T284" s="51"/>
      <c r="U284" s="51"/>
      <c r="V284" s="51"/>
      <c r="W284" s="51"/>
    </row>
    <row r="285" spans="1:23" x14ac:dyDescent="0.3">
      <c r="A285" s="12" t="s">
        <v>356</v>
      </c>
      <c r="B285" s="19">
        <v>42087</v>
      </c>
      <c r="C285" s="46" t="s">
        <v>20</v>
      </c>
      <c r="D285" s="13" t="s">
        <v>12</v>
      </c>
      <c r="E285" s="13" t="s">
        <v>34</v>
      </c>
      <c r="F285" s="13" t="s">
        <v>188</v>
      </c>
      <c r="G285" s="13">
        <v>9.1999999999999993</v>
      </c>
      <c r="H285" s="13">
        <v>5</v>
      </c>
      <c r="I285" s="13">
        <v>46</v>
      </c>
      <c r="J285" s="14" t="s">
        <v>26</v>
      </c>
      <c r="N285" s="50"/>
      <c r="Q285" s="51"/>
      <c r="R285" s="51"/>
      <c r="S285" s="51"/>
      <c r="T285" s="51"/>
      <c r="U285" s="51"/>
      <c r="V285" s="51"/>
      <c r="W285" s="51"/>
    </row>
    <row r="286" spans="1:23" x14ac:dyDescent="0.3">
      <c r="A286" s="12" t="s">
        <v>357</v>
      </c>
      <c r="B286" s="19">
        <v>42094</v>
      </c>
      <c r="C286" s="46" t="s">
        <v>20</v>
      </c>
      <c r="D286" s="13" t="s">
        <v>12</v>
      </c>
      <c r="E286" s="13" t="s">
        <v>17</v>
      </c>
      <c r="F286" s="13" t="s">
        <v>54</v>
      </c>
      <c r="G286" s="13">
        <v>38</v>
      </c>
      <c r="H286" s="13">
        <v>30</v>
      </c>
      <c r="I286" s="13">
        <v>1140</v>
      </c>
      <c r="J286" s="14" t="s">
        <v>26</v>
      </c>
      <c r="N286" s="50"/>
      <c r="Q286" s="51"/>
      <c r="R286" s="51"/>
      <c r="S286" s="51"/>
      <c r="T286" s="51"/>
      <c r="U286" s="51"/>
      <c r="V286" s="51"/>
      <c r="W286" s="51"/>
    </row>
    <row r="287" spans="1:23" x14ac:dyDescent="0.3">
      <c r="A287" s="12" t="s">
        <v>358</v>
      </c>
      <c r="B287" s="19">
        <v>42096</v>
      </c>
      <c r="C287" s="46" t="s">
        <v>31</v>
      </c>
      <c r="D287" s="13" t="s">
        <v>12</v>
      </c>
      <c r="E287" s="13" t="s">
        <v>13</v>
      </c>
      <c r="F287" s="13" t="s">
        <v>99</v>
      </c>
      <c r="G287" s="13">
        <v>12.5</v>
      </c>
      <c r="H287" s="13">
        <v>20</v>
      </c>
      <c r="I287" s="13">
        <v>250</v>
      </c>
      <c r="J287" s="14" t="s">
        <v>26</v>
      </c>
      <c r="N287" s="50"/>
      <c r="Q287" s="51"/>
      <c r="R287" s="51"/>
      <c r="S287" s="51"/>
      <c r="T287" s="51"/>
      <c r="U287" s="51"/>
      <c r="V287" s="51"/>
      <c r="W287" s="51"/>
    </row>
    <row r="288" spans="1:23" x14ac:dyDescent="0.3">
      <c r="A288" s="12" t="s">
        <v>359</v>
      </c>
      <c r="B288" s="19">
        <v>42113</v>
      </c>
      <c r="C288" s="46" t="s">
        <v>28</v>
      </c>
      <c r="D288" s="13" t="s">
        <v>12</v>
      </c>
      <c r="E288" s="13" t="s">
        <v>17</v>
      </c>
      <c r="F288" s="13" t="s">
        <v>128</v>
      </c>
      <c r="G288" s="13">
        <v>4.5</v>
      </c>
      <c r="H288" s="13">
        <v>10</v>
      </c>
      <c r="I288" s="13">
        <v>45</v>
      </c>
      <c r="J288" s="14" t="s">
        <v>26</v>
      </c>
      <c r="N288" s="50"/>
      <c r="Q288" s="51"/>
      <c r="R288" s="51"/>
      <c r="S288" s="51"/>
      <c r="T288" s="51"/>
      <c r="U288" s="51"/>
      <c r="V288" s="51"/>
      <c r="W288" s="51"/>
    </row>
    <row r="289" spans="1:23" x14ac:dyDescent="0.3">
      <c r="A289" s="12" t="s">
        <v>360</v>
      </c>
      <c r="B289" s="19">
        <v>42113</v>
      </c>
      <c r="C289" s="46" t="s">
        <v>28</v>
      </c>
      <c r="D289" s="13" t="s">
        <v>12</v>
      </c>
      <c r="E289" s="13" t="s">
        <v>13</v>
      </c>
      <c r="F289" s="13" t="s">
        <v>41</v>
      </c>
      <c r="G289" s="13">
        <v>34</v>
      </c>
      <c r="H289" s="13">
        <v>12</v>
      </c>
      <c r="I289" s="13">
        <v>408</v>
      </c>
      <c r="J289" s="14" t="s">
        <v>26</v>
      </c>
      <c r="N289" s="50"/>
      <c r="Q289" s="51"/>
      <c r="R289" s="51"/>
      <c r="S289" s="51"/>
      <c r="T289" s="51"/>
      <c r="U289" s="51"/>
      <c r="V289" s="51"/>
      <c r="W289" s="51"/>
    </row>
    <row r="290" spans="1:23" x14ac:dyDescent="0.3">
      <c r="A290" s="12" t="s">
        <v>361</v>
      </c>
      <c r="B290" s="19">
        <v>42113</v>
      </c>
      <c r="C290" s="46" t="s">
        <v>11</v>
      </c>
      <c r="D290" s="13" t="s">
        <v>12</v>
      </c>
      <c r="E290" s="13" t="s">
        <v>51</v>
      </c>
      <c r="F290" s="13" t="s">
        <v>81</v>
      </c>
      <c r="G290" s="13">
        <v>12</v>
      </c>
      <c r="H290" s="13">
        <v>9</v>
      </c>
      <c r="I290" s="13">
        <v>108</v>
      </c>
      <c r="J290" s="14" t="s">
        <v>26</v>
      </c>
      <c r="N290" s="50"/>
      <c r="Q290" s="51"/>
      <c r="R290" s="51"/>
      <c r="S290" s="51"/>
      <c r="T290" s="51"/>
      <c r="U290" s="51"/>
      <c r="V290" s="51"/>
      <c r="W290" s="51"/>
    </row>
    <row r="291" spans="1:23" x14ac:dyDescent="0.3">
      <c r="A291" s="12" t="s">
        <v>362</v>
      </c>
      <c r="B291" s="19">
        <v>42113</v>
      </c>
      <c r="C291" s="46" t="s">
        <v>11</v>
      </c>
      <c r="D291" s="13" t="s">
        <v>12</v>
      </c>
      <c r="E291" s="13" t="s">
        <v>34</v>
      </c>
      <c r="F291" s="13" t="s">
        <v>136</v>
      </c>
      <c r="G291" s="13">
        <v>9.5</v>
      </c>
      <c r="H291" s="13">
        <v>6</v>
      </c>
      <c r="I291" s="13">
        <v>57</v>
      </c>
      <c r="J291" s="14" t="s">
        <v>26</v>
      </c>
      <c r="N291" s="50"/>
      <c r="Q291" s="51"/>
      <c r="R291" s="51"/>
      <c r="S291" s="51"/>
      <c r="T291" s="51"/>
      <c r="U291" s="51"/>
      <c r="V291" s="51"/>
      <c r="W291" s="51"/>
    </row>
    <row r="292" spans="1:23" x14ac:dyDescent="0.3">
      <c r="A292" s="12" t="s">
        <v>363</v>
      </c>
      <c r="B292" s="19">
        <v>42116</v>
      </c>
      <c r="C292" s="46" t="s">
        <v>28</v>
      </c>
      <c r="D292" s="13" t="s">
        <v>45</v>
      </c>
      <c r="E292" s="13" t="s">
        <v>17</v>
      </c>
      <c r="F292" s="13" t="s">
        <v>54</v>
      </c>
      <c r="G292" s="13">
        <v>15</v>
      </c>
      <c r="H292" s="13">
        <v>6</v>
      </c>
      <c r="I292" s="13">
        <v>90</v>
      </c>
      <c r="J292" s="14" t="s">
        <v>26</v>
      </c>
      <c r="N292" s="50"/>
      <c r="Q292" s="51"/>
      <c r="R292" s="51"/>
      <c r="S292" s="51"/>
      <c r="T292" s="51"/>
      <c r="U292" s="51"/>
      <c r="V292" s="51"/>
      <c r="W292" s="51"/>
    </row>
    <row r="293" spans="1:23" x14ac:dyDescent="0.3">
      <c r="A293" s="12" t="s">
        <v>364</v>
      </c>
      <c r="B293" s="19">
        <v>42116</v>
      </c>
      <c r="C293" s="46" t="s">
        <v>28</v>
      </c>
      <c r="D293" s="13" t="s">
        <v>45</v>
      </c>
      <c r="E293" s="13" t="s">
        <v>13</v>
      </c>
      <c r="F293" s="13" t="s">
        <v>14</v>
      </c>
      <c r="G293" s="13">
        <v>7</v>
      </c>
      <c r="H293" s="13">
        <v>6</v>
      </c>
      <c r="I293" s="13">
        <v>42</v>
      </c>
      <c r="J293" s="14" t="s">
        <v>26</v>
      </c>
      <c r="N293" s="50"/>
      <c r="Q293" s="51"/>
      <c r="R293" s="51"/>
      <c r="S293" s="51"/>
      <c r="T293" s="51"/>
      <c r="U293" s="51"/>
      <c r="V293" s="51"/>
      <c r="W293" s="51"/>
    </row>
    <row r="294" spans="1:23" x14ac:dyDescent="0.3">
      <c r="A294" s="12" t="s">
        <v>365</v>
      </c>
      <c r="B294" s="19">
        <v>42116</v>
      </c>
      <c r="C294" s="46" t="s">
        <v>11</v>
      </c>
      <c r="D294" s="13" t="s">
        <v>45</v>
      </c>
      <c r="E294" s="13" t="s">
        <v>13</v>
      </c>
      <c r="F294" s="13" t="s">
        <v>66</v>
      </c>
      <c r="G294" s="13">
        <v>55</v>
      </c>
      <c r="H294" s="13">
        <v>4</v>
      </c>
      <c r="I294" s="13">
        <v>220</v>
      </c>
      <c r="J294" s="14" t="s">
        <v>26</v>
      </c>
      <c r="N294" s="50"/>
      <c r="Q294" s="51"/>
      <c r="R294" s="51"/>
      <c r="S294" s="51"/>
      <c r="T294" s="51"/>
      <c r="U294" s="51"/>
      <c r="V294" s="51"/>
      <c r="W294" s="51"/>
    </row>
    <row r="295" spans="1:23" x14ac:dyDescent="0.3">
      <c r="A295" s="12" t="s">
        <v>366</v>
      </c>
      <c r="B295" s="19">
        <v>42121</v>
      </c>
      <c r="C295" s="46" t="s">
        <v>31</v>
      </c>
      <c r="D295" s="13" t="s">
        <v>24</v>
      </c>
      <c r="E295" s="13" t="s">
        <v>34</v>
      </c>
      <c r="F295" s="13" t="s">
        <v>64</v>
      </c>
      <c r="G295" s="13">
        <v>9.65</v>
      </c>
      <c r="H295" s="13">
        <v>10</v>
      </c>
      <c r="I295" s="13">
        <v>96.5</v>
      </c>
      <c r="J295" s="14" t="s">
        <v>26</v>
      </c>
      <c r="N295" s="50"/>
      <c r="Q295" s="51"/>
      <c r="R295" s="51"/>
      <c r="S295" s="51"/>
      <c r="T295" s="51"/>
      <c r="U295" s="51"/>
      <c r="V295" s="51"/>
      <c r="W295" s="51"/>
    </row>
    <row r="296" spans="1:23" x14ac:dyDescent="0.3">
      <c r="A296" s="12" t="s">
        <v>367</v>
      </c>
      <c r="B296" s="19">
        <v>42121</v>
      </c>
      <c r="C296" s="46" t="s">
        <v>20</v>
      </c>
      <c r="D296" s="13" t="s">
        <v>24</v>
      </c>
      <c r="E296" s="13" t="s">
        <v>17</v>
      </c>
      <c r="F296" s="13" t="s">
        <v>72</v>
      </c>
      <c r="G296" s="13">
        <v>18</v>
      </c>
      <c r="H296" s="13">
        <v>3</v>
      </c>
      <c r="I296" s="13">
        <v>54</v>
      </c>
      <c r="J296" s="14" t="s">
        <v>26</v>
      </c>
      <c r="N296" s="50"/>
      <c r="Q296" s="51"/>
      <c r="R296" s="51"/>
      <c r="S296" s="51"/>
      <c r="T296" s="51"/>
      <c r="U296" s="51"/>
      <c r="V296" s="51"/>
      <c r="W296" s="51"/>
    </row>
    <row r="297" spans="1:23" x14ac:dyDescent="0.3">
      <c r="A297" s="12" t="s">
        <v>368</v>
      </c>
      <c r="B297" s="19">
        <v>42121</v>
      </c>
      <c r="C297" s="46" t="s">
        <v>11</v>
      </c>
      <c r="D297" s="13" t="s">
        <v>24</v>
      </c>
      <c r="E297" s="13" t="s">
        <v>34</v>
      </c>
      <c r="F297" s="13" t="s">
        <v>43</v>
      </c>
      <c r="G297" s="13">
        <v>12.5</v>
      </c>
      <c r="H297" s="13">
        <v>60</v>
      </c>
      <c r="I297" s="13">
        <v>750</v>
      </c>
      <c r="J297" s="14" t="s">
        <v>26</v>
      </c>
      <c r="N297" s="50"/>
      <c r="Q297" s="51"/>
      <c r="R297" s="51"/>
      <c r="S297" s="51"/>
      <c r="T297" s="51"/>
      <c r="U297" s="51"/>
      <c r="V297" s="51"/>
      <c r="W297" s="51"/>
    </row>
    <row r="298" spans="1:23" x14ac:dyDescent="0.3">
      <c r="A298" s="12" t="s">
        <v>369</v>
      </c>
      <c r="B298" s="19">
        <v>42123</v>
      </c>
      <c r="C298" s="46" t="s">
        <v>28</v>
      </c>
      <c r="D298" s="13" t="s">
        <v>45</v>
      </c>
      <c r="E298" s="13" t="s">
        <v>51</v>
      </c>
      <c r="F298" s="13" t="s">
        <v>118</v>
      </c>
      <c r="G298" s="13">
        <v>39</v>
      </c>
      <c r="H298" s="13">
        <v>25</v>
      </c>
      <c r="I298" s="13">
        <v>975</v>
      </c>
      <c r="J298" s="14" t="s">
        <v>26</v>
      </c>
      <c r="N298" s="50"/>
      <c r="Q298" s="51"/>
      <c r="R298" s="51"/>
      <c r="S298" s="51"/>
      <c r="T298" s="51"/>
      <c r="U298" s="51"/>
      <c r="V298" s="51"/>
      <c r="W298" s="51"/>
    </row>
    <row r="299" spans="1:23" x14ac:dyDescent="0.3">
      <c r="A299" s="12" t="s">
        <v>370</v>
      </c>
      <c r="B299" s="19">
        <v>42123</v>
      </c>
      <c r="C299" s="46" t="s">
        <v>20</v>
      </c>
      <c r="D299" s="13" t="s">
        <v>45</v>
      </c>
      <c r="E299" s="13" t="s">
        <v>17</v>
      </c>
      <c r="F299" s="13" t="s">
        <v>54</v>
      </c>
      <c r="G299" s="13">
        <v>26</v>
      </c>
      <c r="H299" s="13">
        <v>18</v>
      </c>
      <c r="I299" s="13">
        <v>468</v>
      </c>
      <c r="J299" s="14" t="s">
        <v>26</v>
      </c>
      <c r="N299" s="50"/>
      <c r="Q299" s="51"/>
      <c r="R299" s="51"/>
      <c r="S299" s="51"/>
      <c r="T299" s="51"/>
      <c r="U299" s="51"/>
      <c r="V299" s="51"/>
      <c r="W299" s="51"/>
    </row>
    <row r="300" spans="1:23" x14ac:dyDescent="0.3">
      <c r="A300" s="12" t="s">
        <v>371</v>
      </c>
      <c r="B300" s="19">
        <v>42123</v>
      </c>
      <c r="C300" s="46" t="s">
        <v>28</v>
      </c>
      <c r="D300" s="13" t="s">
        <v>45</v>
      </c>
      <c r="E300" s="13" t="s">
        <v>13</v>
      </c>
      <c r="F300" s="13" t="s">
        <v>14</v>
      </c>
      <c r="G300" s="13">
        <v>9.65</v>
      </c>
      <c r="H300" s="13">
        <v>6</v>
      </c>
      <c r="I300" s="13">
        <v>57.900000000000006</v>
      </c>
      <c r="J300" s="14" t="s">
        <v>26</v>
      </c>
      <c r="N300" s="50"/>
      <c r="Q300" s="51"/>
      <c r="R300" s="51"/>
      <c r="S300" s="51"/>
      <c r="T300" s="51"/>
      <c r="U300" s="51"/>
      <c r="V300" s="51"/>
      <c r="W300" s="51"/>
    </row>
    <row r="301" spans="1:23" x14ac:dyDescent="0.3">
      <c r="A301" s="12" t="s">
        <v>372</v>
      </c>
      <c r="B301" s="19">
        <v>42123</v>
      </c>
      <c r="C301" s="46" t="s">
        <v>20</v>
      </c>
      <c r="D301" s="13" t="s">
        <v>45</v>
      </c>
      <c r="E301" s="13" t="s">
        <v>34</v>
      </c>
      <c r="F301" s="13" t="s">
        <v>35</v>
      </c>
      <c r="G301" s="13">
        <v>81</v>
      </c>
      <c r="H301" s="13">
        <v>15</v>
      </c>
      <c r="I301" s="13">
        <v>1215</v>
      </c>
      <c r="J301" s="14" t="s">
        <v>26</v>
      </c>
      <c r="N301" s="50"/>
      <c r="Q301" s="51"/>
      <c r="R301" s="51"/>
      <c r="S301" s="51"/>
      <c r="T301" s="51"/>
      <c r="U301" s="51"/>
      <c r="V301" s="51"/>
      <c r="W301" s="51"/>
    </row>
    <row r="302" spans="1:23" x14ac:dyDescent="0.3">
      <c r="A302" s="12" t="s">
        <v>373</v>
      </c>
      <c r="B302" s="19">
        <v>42130</v>
      </c>
      <c r="C302" s="46" t="s">
        <v>31</v>
      </c>
      <c r="D302" s="13" t="s">
        <v>24</v>
      </c>
      <c r="E302" s="13" t="s">
        <v>13</v>
      </c>
      <c r="F302" s="13" t="s">
        <v>66</v>
      </c>
      <c r="G302" s="13">
        <v>55</v>
      </c>
      <c r="H302" s="13">
        <v>50</v>
      </c>
      <c r="I302" s="13">
        <v>2750</v>
      </c>
      <c r="J302" s="14" t="s">
        <v>15</v>
      </c>
      <c r="N302" s="50"/>
      <c r="Q302" s="51"/>
      <c r="R302" s="51"/>
      <c r="S302" s="51"/>
      <c r="T302" s="51"/>
      <c r="U302" s="51"/>
      <c r="V302" s="51"/>
      <c r="W302" s="51"/>
    </row>
    <row r="303" spans="1:23" x14ac:dyDescent="0.3">
      <c r="A303" s="12" t="s">
        <v>374</v>
      </c>
      <c r="B303" s="19">
        <v>42131</v>
      </c>
      <c r="C303" s="46" t="s">
        <v>28</v>
      </c>
      <c r="D303" s="13" t="s">
        <v>45</v>
      </c>
      <c r="E303" s="13" t="s">
        <v>21</v>
      </c>
      <c r="F303" s="13" t="s">
        <v>375</v>
      </c>
      <c r="G303" s="13">
        <v>17</v>
      </c>
      <c r="H303" s="13">
        <v>24</v>
      </c>
      <c r="I303" s="13">
        <v>408</v>
      </c>
      <c r="J303" s="14" t="s">
        <v>26</v>
      </c>
      <c r="N303" s="50"/>
      <c r="Q303" s="51"/>
      <c r="R303" s="51"/>
      <c r="S303" s="51"/>
      <c r="T303" s="51"/>
      <c r="U303" s="51"/>
      <c r="V303" s="51"/>
      <c r="W303" s="51"/>
    </row>
    <row r="304" spans="1:23" x14ac:dyDescent="0.3">
      <c r="A304" s="12" t="s">
        <v>376</v>
      </c>
      <c r="B304" s="19">
        <v>42131</v>
      </c>
      <c r="C304" s="46" t="s">
        <v>20</v>
      </c>
      <c r="D304" s="13" t="s">
        <v>45</v>
      </c>
      <c r="E304" s="13" t="s">
        <v>34</v>
      </c>
      <c r="F304" s="13" t="s">
        <v>64</v>
      </c>
      <c r="G304" s="13">
        <v>25.89</v>
      </c>
      <c r="H304" s="13">
        <v>15</v>
      </c>
      <c r="I304" s="13">
        <v>388.35</v>
      </c>
      <c r="J304" s="14" t="s">
        <v>26</v>
      </c>
      <c r="N304" s="50"/>
      <c r="Q304" s="51"/>
      <c r="R304" s="51"/>
      <c r="S304" s="51"/>
      <c r="T304" s="51"/>
      <c r="U304" s="51"/>
      <c r="V304" s="51"/>
      <c r="W304" s="51"/>
    </row>
    <row r="305" spans="1:23" x14ac:dyDescent="0.3">
      <c r="A305" s="12" t="s">
        <v>377</v>
      </c>
      <c r="B305" s="19">
        <v>42137</v>
      </c>
      <c r="C305" s="46" t="s">
        <v>28</v>
      </c>
      <c r="D305" s="13" t="s">
        <v>45</v>
      </c>
      <c r="E305" s="13" t="s">
        <v>17</v>
      </c>
      <c r="F305" s="13" t="s">
        <v>54</v>
      </c>
      <c r="G305" s="13">
        <v>15</v>
      </c>
      <c r="H305" s="13">
        <v>7</v>
      </c>
      <c r="I305" s="13">
        <v>105</v>
      </c>
      <c r="J305" s="14" t="s">
        <v>26</v>
      </c>
      <c r="N305" s="50"/>
      <c r="Q305" s="51"/>
      <c r="R305" s="51"/>
      <c r="S305" s="51"/>
      <c r="T305" s="51"/>
      <c r="U305" s="51"/>
      <c r="V305" s="51"/>
      <c r="W305" s="51"/>
    </row>
    <row r="306" spans="1:23" x14ac:dyDescent="0.3">
      <c r="A306" s="12" t="s">
        <v>378</v>
      </c>
      <c r="B306" s="19">
        <v>42137</v>
      </c>
      <c r="C306" s="46" t="s">
        <v>11</v>
      </c>
      <c r="D306" s="13" t="s">
        <v>45</v>
      </c>
      <c r="E306" s="13" t="s">
        <v>13</v>
      </c>
      <c r="F306" s="13" t="s">
        <v>56</v>
      </c>
      <c r="G306" s="13">
        <v>34.799999999999997</v>
      </c>
      <c r="H306" s="13">
        <v>1</v>
      </c>
      <c r="I306" s="13">
        <v>34.799999999999997</v>
      </c>
      <c r="J306" s="14" t="s">
        <v>26</v>
      </c>
      <c r="N306" s="50"/>
      <c r="Q306" s="51"/>
      <c r="R306" s="51"/>
      <c r="S306" s="51"/>
      <c r="T306" s="51"/>
      <c r="U306" s="51"/>
      <c r="V306" s="51"/>
      <c r="W306" s="51"/>
    </row>
    <row r="307" spans="1:23" x14ac:dyDescent="0.3">
      <c r="A307" s="12" t="s">
        <v>379</v>
      </c>
      <c r="B307" s="19">
        <v>42138</v>
      </c>
      <c r="C307" s="46" t="s">
        <v>20</v>
      </c>
      <c r="D307" s="13" t="s">
        <v>45</v>
      </c>
      <c r="E307" s="13" t="s">
        <v>13</v>
      </c>
      <c r="F307" s="13" t="s">
        <v>113</v>
      </c>
      <c r="G307" s="13">
        <v>2.5</v>
      </c>
      <c r="H307" s="13">
        <v>15</v>
      </c>
      <c r="I307" s="13">
        <v>37.5</v>
      </c>
      <c r="J307" s="14" t="s">
        <v>26</v>
      </c>
      <c r="N307" s="50"/>
      <c r="Q307" s="51"/>
      <c r="R307" s="51"/>
      <c r="S307" s="51"/>
      <c r="T307" s="51"/>
      <c r="U307" s="51"/>
      <c r="V307" s="51"/>
      <c r="W307" s="51"/>
    </row>
    <row r="308" spans="1:23" x14ac:dyDescent="0.3">
      <c r="A308" s="12" t="s">
        <v>380</v>
      </c>
      <c r="B308" s="19">
        <v>42138</v>
      </c>
      <c r="C308" s="46" t="s">
        <v>28</v>
      </c>
      <c r="D308" s="13" t="s">
        <v>45</v>
      </c>
      <c r="E308" s="13" t="s">
        <v>34</v>
      </c>
      <c r="F308" s="13" t="s">
        <v>64</v>
      </c>
      <c r="G308" s="13">
        <v>6</v>
      </c>
      <c r="H308" s="13">
        <v>8</v>
      </c>
      <c r="I308" s="13">
        <v>48</v>
      </c>
      <c r="J308" s="14" t="s">
        <v>26</v>
      </c>
      <c r="N308" s="50"/>
      <c r="Q308" s="51"/>
      <c r="R308" s="51"/>
      <c r="S308" s="51"/>
      <c r="T308" s="51"/>
      <c r="U308" s="51"/>
      <c r="V308" s="51"/>
      <c r="W308" s="51"/>
    </row>
    <row r="309" spans="1:23" x14ac:dyDescent="0.3">
      <c r="A309" s="12" t="s">
        <v>381</v>
      </c>
      <c r="B309" s="19">
        <v>42138</v>
      </c>
      <c r="C309" s="46" t="s">
        <v>20</v>
      </c>
      <c r="D309" s="13" t="s">
        <v>45</v>
      </c>
      <c r="E309" s="13" t="s">
        <v>34</v>
      </c>
      <c r="F309" s="13" t="s">
        <v>241</v>
      </c>
      <c r="G309" s="13">
        <v>10</v>
      </c>
      <c r="H309" s="13">
        <v>15</v>
      </c>
      <c r="I309" s="13">
        <v>150</v>
      </c>
      <c r="J309" s="14" t="s">
        <v>26</v>
      </c>
      <c r="N309" s="50"/>
      <c r="Q309" s="51"/>
      <c r="R309" s="51"/>
      <c r="S309" s="51"/>
      <c r="T309" s="51"/>
      <c r="U309" s="51"/>
      <c r="V309" s="51"/>
      <c r="W309" s="51"/>
    </row>
    <row r="310" spans="1:23" x14ac:dyDescent="0.3">
      <c r="A310" s="12" t="s">
        <v>382</v>
      </c>
      <c r="B310" s="19">
        <v>42138</v>
      </c>
      <c r="C310" s="46" t="s">
        <v>28</v>
      </c>
      <c r="D310" s="13" t="s">
        <v>45</v>
      </c>
      <c r="E310" s="13" t="s">
        <v>34</v>
      </c>
      <c r="F310" s="13" t="s">
        <v>75</v>
      </c>
      <c r="G310" s="13">
        <v>20</v>
      </c>
      <c r="H310" s="13">
        <v>6</v>
      </c>
      <c r="I310" s="13">
        <v>120</v>
      </c>
      <c r="J310" s="14" t="s">
        <v>26</v>
      </c>
      <c r="N310" s="50"/>
      <c r="Q310" s="51"/>
      <c r="R310" s="51"/>
      <c r="S310" s="51"/>
      <c r="T310" s="51"/>
      <c r="U310" s="51"/>
      <c r="V310" s="51"/>
      <c r="W310" s="51"/>
    </row>
    <row r="311" spans="1:23" x14ac:dyDescent="0.3">
      <c r="A311" s="12" t="s">
        <v>383</v>
      </c>
      <c r="B311" s="19">
        <v>42141</v>
      </c>
      <c r="C311" s="46" t="s">
        <v>20</v>
      </c>
      <c r="D311" s="13" t="s">
        <v>24</v>
      </c>
      <c r="E311" s="13" t="s">
        <v>17</v>
      </c>
      <c r="F311" s="13" t="s">
        <v>32</v>
      </c>
      <c r="G311" s="13">
        <v>263.5</v>
      </c>
      <c r="H311" s="13">
        <v>4</v>
      </c>
      <c r="I311" s="13">
        <v>1054</v>
      </c>
      <c r="J311" s="14" t="s">
        <v>15</v>
      </c>
      <c r="N311" s="50"/>
      <c r="Q311" s="51"/>
      <c r="R311" s="51"/>
      <c r="S311" s="51"/>
      <c r="T311" s="51"/>
      <c r="U311" s="51"/>
      <c r="V311" s="51"/>
      <c r="W311" s="51"/>
    </row>
    <row r="312" spans="1:23" x14ac:dyDescent="0.3">
      <c r="A312" s="12" t="s">
        <v>127</v>
      </c>
      <c r="B312" s="19">
        <v>42141</v>
      </c>
      <c r="C312" s="46" t="s">
        <v>20</v>
      </c>
      <c r="D312" s="13" t="s">
        <v>12</v>
      </c>
      <c r="E312" s="13" t="s">
        <v>17</v>
      </c>
      <c r="F312" s="13" t="s">
        <v>128</v>
      </c>
      <c r="G312" s="13">
        <v>4.5</v>
      </c>
      <c r="H312" s="13">
        <v>35</v>
      </c>
      <c r="I312" s="13">
        <v>157.5</v>
      </c>
      <c r="J312" s="14" t="s">
        <v>15</v>
      </c>
      <c r="N312" s="50"/>
      <c r="Q312" s="51"/>
      <c r="R312" s="51"/>
      <c r="S312" s="51"/>
      <c r="T312" s="51"/>
      <c r="U312" s="51"/>
      <c r="V312" s="51"/>
      <c r="W312" s="51"/>
    </row>
    <row r="313" spans="1:23" x14ac:dyDescent="0.3">
      <c r="A313" s="12" t="s">
        <v>384</v>
      </c>
      <c r="B313" s="19">
        <v>42141</v>
      </c>
      <c r="C313" s="46" t="s">
        <v>31</v>
      </c>
      <c r="D313" s="13" t="s">
        <v>12</v>
      </c>
      <c r="E313" s="13" t="s">
        <v>21</v>
      </c>
      <c r="F313" s="13" t="s">
        <v>87</v>
      </c>
      <c r="G313" s="13">
        <v>21.05</v>
      </c>
      <c r="H313" s="13">
        <v>36</v>
      </c>
      <c r="I313" s="13">
        <v>757.80000000000007</v>
      </c>
      <c r="J313" s="14" t="s">
        <v>15</v>
      </c>
      <c r="N313" s="50"/>
      <c r="Q313" s="51"/>
      <c r="R313" s="51"/>
      <c r="S313" s="51"/>
      <c r="T313" s="51"/>
      <c r="U313" s="51"/>
      <c r="V313" s="51"/>
      <c r="W313" s="51"/>
    </row>
    <row r="314" spans="1:23" x14ac:dyDescent="0.3">
      <c r="A314" s="12" t="s">
        <v>385</v>
      </c>
      <c r="B314" s="19">
        <v>42145</v>
      </c>
      <c r="C314" s="46" t="s">
        <v>28</v>
      </c>
      <c r="D314" s="13" t="s">
        <v>45</v>
      </c>
      <c r="E314" s="13" t="s">
        <v>13</v>
      </c>
      <c r="F314" s="13" t="s">
        <v>121</v>
      </c>
      <c r="G314" s="13">
        <v>32</v>
      </c>
      <c r="H314" s="13">
        <v>24</v>
      </c>
      <c r="I314" s="13">
        <v>768</v>
      </c>
      <c r="J314" s="14" t="s">
        <v>26</v>
      </c>
      <c r="N314" s="50"/>
      <c r="Q314" s="51"/>
      <c r="R314" s="51"/>
      <c r="S314" s="51"/>
      <c r="T314" s="51"/>
      <c r="U314" s="51"/>
      <c r="V314" s="51"/>
      <c r="W314" s="51"/>
    </row>
    <row r="315" spans="1:23" x14ac:dyDescent="0.3">
      <c r="A315" s="12" t="s">
        <v>386</v>
      </c>
      <c r="B315" s="19">
        <v>42145</v>
      </c>
      <c r="C315" s="46" t="s">
        <v>11</v>
      </c>
      <c r="D315" s="13" t="s">
        <v>45</v>
      </c>
      <c r="E315" s="13" t="s">
        <v>21</v>
      </c>
      <c r="F315" s="13" t="s">
        <v>22</v>
      </c>
      <c r="G315" s="13">
        <v>19</v>
      </c>
      <c r="H315" s="13">
        <v>60</v>
      </c>
      <c r="I315" s="13">
        <v>1140</v>
      </c>
      <c r="J315" s="14" t="s">
        <v>26</v>
      </c>
      <c r="N315" s="50"/>
      <c r="Q315" s="51"/>
      <c r="R315" s="51"/>
      <c r="S315" s="51"/>
      <c r="T315" s="51"/>
      <c r="U315" s="51"/>
      <c r="V315" s="51"/>
      <c r="W315" s="51"/>
    </row>
    <row r="316" spans="1:23" x14ac:dyDescent="0.3">
      <c r="A316" s="12" t="s">
        <v>387</v>
      </c>
      <c r="B316" s="19">
        <v>42150</v>
      </c>
      <c r="C316" s="46" t="s">
        <v>31</v>
      </c>
      <c r="D316" s="13" t="s">
        <v>85</v>
      </c>
      <c r="E316" s="13" t="s">
        <v>51</v>
      </c>
      <c r="F316" s="13" t="s">
        <v>118</v>
      </c>
      <c r="G316" s="13">
        <v>39</v>
      </c>
      <c r="H316" s="13">
        <v>8</v>
      </c>
      <c r="I316" s="13">
        <v>312</v>
      </c>
      <c r="J316" s="14" t="s">
        <v>26</v>
      </c>
      <c r="N316" s="50"/>
      <c r="Q316" s="51"/>
      <c r="R316" s="51"/>
      <c r="S316" s="51"/>
      <c r="T316" s="51"/>
      <c r="U316" s="51"/>
      <c r="V316" s="51"/>
      <c r="W316" s="51"/>
    </row>
    <row r="317" spans="1:23" x14ac:dyDescent="0.3">
      <c r="A317" s="12" t="s">
        <v>388</v>
      </c>
      <c r="B317" s="19">
        <v>42150</v>
      </c>
      <c r="C317" s="46" t="s">
        <v>20</v>
      </c>
      <c r="D317" s="13" t="s">
        <v>85</v>
      </c>
      <c r="E317" s="13" t="s">
        <v>21</v>
      </c>
      <c r="F317" s="13" t="s">
        <v>22</v>
      </c>
      <c r="G317" s="13">
        <v>28.5</v>
      </c>
      <c r="H317" s="13">
        <v>10</v>
      </c>
      <c r="I317" s="13">
        <v>285</v>
      </c>
      <c r="J317" s="14" t="s">
        <v>26</v>
      </c>
      <c r="N317" s="50"/>
      <c r="Q317" s="51"/>
      <c r="R317" s="51"/>
      <c r="S317" s="51"/>
      <c r="T317" s="51"/>
      <c r="U317" s="51"/>
      <c r="V317" s="51"/>
      <c r="W317" s="51"/>
    </row>
    <row r="318" spans="1:23" x14ac:dyDescent="0.3">
      <c r="A318" s="12" t="s">
        <v>389</v>
      </c>
      <c r="B318" s="19">
        <v>42150</v>
      </c>
      <c r="C318" s="46" t="s">
        <v>20</v>
      </c>
      <c r="D318" s="13" t="s">
        <v>85</v>
      </c>
      <c r="E318" s="13" t="s">
        <v>34</v>
      </c>
      <c r="F318" s="13" t="s">
        <v>188</v>
      </c>
      <c r="G318" s="13">
        <v>9.1999999999999993</v>
      </c>
      <c r="H318" s="13">
        <v>10</v>
      </c>
      <c r="I318" s="13">
        <v>92</v>
      </c>
      <c r="J318" s="14" t="s">
        <v>26</v>
      </c>
      <c r="N318" s="50"/>
      <c r="Q318" s="51"/>
      <c r="R318" s="51"/>
      <c r="S318" s="51"/>
      <c r="T318" s="51"/>
      <c r="U318" s="51"/>
      <c r="V318" s="51"/>
      <c r="W318" s="51"/>
    </row>
    <row r="319" spans="1:23" x14ac:dyDescent="0.3">
      <c r="A319" s="12" t="s">
        <v>390</v>
      </c>
      <c r="B319" s="19">
        <v>42150</v>
      </c>
      <c r="C319" s="46" t="s">
        <v>31</v>
      </c>
      <c r="D319" s="13" t="s">
        <v>85</v>
      </c>
      <c r="E319" s="13" t="s">
        <v>34</v>
      </c>
      <c r="F319" s="13" t="s">
        <v>241</v>
      </c>
      <c r="G319" s="13">
        <v>10</v>
      </c>
      <c r="H319" s="13">
        <v>6</v>
      </c>
      <c r="I319" s="13">
        <v>60</v>
      </c>
      <c r="J319" s="14" t="s">
        <v>26</v>
      </c>
      <c r="N319" s="50"/>
      <c r="Q319" s="51"/>
      <c r="R319" s="51"/>
      <c r="S319" s="51"/>
      <c r="T319" s="51"/>
      <c r="U319" s="51"/>
      <c r="V319" s="51"/>
      <c r="W319" s="51"/>
    </row>
    <row r="320" spans="1:23" x14ac:dyDescent="0.3">
      <c r="A320" s="12" t="s">
        <v>391</v>
      </c>
      <c r="B320" s="19">
        <v>42157</v>
      </c>
      <c r="C320" s="46" t="s">
        <v>20</v>
      </c>
      <c r="D320" s="13" t="s">
        <v>45</v>
      </c>
      <c r="E320" s="13" t="s">
        <v>51</v>
      </c>
      <c r="F320" s="13" t="s">
        <v>138</v>
      </c>
      <c r="G320" s="13">
        <v>32.799999999999997</v>
      </c>
      <c r="H320" s="13">
        <v>18</v>
      </c>
      <c r="I320" s="13">
        <v>590.4</v>
      </c>
      <c r="J320" s="14" t="s">
        <v>26</v>
      </c>
      <c r="N320" s="50"/>
      <c r="Q320" s="51"/>
      <c r="R320" s="51"/>
      <c r="S320" s="51"/>
      <c r="T320" s="51"/>
      <c r="U320" s="51"/>
      <c r="V320" s="51"/>
      <c r="W320" s="51"/>
    </row>
    <row r="321" spans="1:23" x14ac:dyDescent="0.3">
      <c r="A321" s="12" t="s">
        <v>392</v>
      </c>
      <c r="B321" s="19">
        <v>42157</v>
      </c>
      <c r="C321" s="46" t="s">
        <v>20</v>
      </c>
      <c r="D321" s="13" t="s">
        <v>45</v>
      </c>
      <c r="E321" s="13" t="s">
        <v>34</v>
      </c>
      <c r="F321" s="13" t="s">
        <v>64</v>
      </c>
      <c r="G321" s="13">
        <v>53</v>
      </c>
      <c r="H321" s="13">
        <v>20</v>
      </c>
      <c r="I321" s="13">
        <v>1060</v>
      </c>
      <c r="J321" s="14" t="s">
        <v>26</v>
      </c>
      <c r="N321" s="50"/>
      <c r="Q321" s="51"/>
      <c r="R321" s="51"/>
      <c r="S321" s="51"/>
      <c r="T321" s="51"/>
      <c r="U321" s="51"/>
      <c r="V321" s="51"/>
      <c r="W321" s="51"/>
    </row>
    <row r="322" spans="1:23" x14ac:dyDescent="0.3">
      <c r="A322" s="12" t="s">
        <v>393</v>
      </c>
      <c r="B322" s="19">
        <v>42157</v>
      </c>
      <c r="C322" s="46" t="s">
        <v>11</v>
      </c>
      <c r="D322" s="13" t="s">
        <v>45</v>
      </c>
      <c r="E322" s="13" t="s">
        <v>13</v>
      </c>
      <c r="F322" s="13" t="s">
        <v>14</v>
      </c>
      <c r="G322" s="13">
        <v>7</v>
      </c>
      <c r="H322" s="13">
        <v>30</v>
      </c>
      <c r="I322" s="13">
        <v>210</v>
      </c>
      <c r="J322" s="14" t="s">
        <v>26</v>
      </c>
      <c r="N322" s="50"/>
      <c r="Q322" s="51"/>
      <c r="R322" s="51"/>
      <c r="S322" s="51"/>
      <c r="T322" s="51"/>
      <c r="U322" s="51"/>
      <c r="V322" s="51"/>
      <c r="W322" s="51"/>
    </row>
    <row r="323" spans="1:23" x14ac:dyDescent="0.3">
      <c r="A323" s="12" t="s">
        <v>394</v>
      </c>
      <c r="B323" s="19">
        <v>42157</v>
      </c>
      <c r="C323" s="46" t="s">
        <v>28</v>
      </c>
      <c r="D323" s="13" t="s">
        <v>45</v>
      </c>
      <c r="E323" s="13" t="s">
        <v>17</v>
      </c>
      <c r="F323" s="13" t="s">
        <v>54</v>
      </c>
      <c r="G323" s="13">
        <v>15</v>
      </c>
      <c r="H323" s="13">
        <v>3</v>
      </c>
      <c r="I323" s="13">
        <v>45</v>
      </c>
      <c r="J323" s="14" t="s">
        <v>26</v>
      </c>
      <c r="N323" s="50"/>
      <c r="Q323" s="51"/>
      <c r="R323" s="51"/>
      <c r="S323" s="51"/>
      <c r="T323" s="51"/>
      <c r="U323" s="51"/>
      <c r="V323" s="51"/>
      <c r="W323" s="51"/>
    </row>
    <row r="324" spans="1:23" x14ac:dyDescent="0.3">
      <c r="A324" s="12" t="s">
        <v>395</v>
      </c>
      <c r="B324" s="19">
        <v>42157</v>
      </c>
      <c r="C324" s="46" t="s">
        <v>11</v>
      </c>
      <c r="D324" s="13" t="s">
        <v>45</v>
      </c>
      <c r="E324" s="13" t="s">
        <v>34</v>
      </c>
      <c r="F324" s="13" t="s">
        <v>136</v>
      </c>
      <c r="G324" s="13">
        <v>9.5</v>
      </c>
      <c r="H324" s="13">
        <v>25</v>
      </c>
      <c r="I324" s="13">
        <v>237.5</v>
      </c>
      <c r="J324" s="14" t="s">
        <v>26</v>
      </c>
      <c r="N324" s="50"/>
      <c r="Q324" s="51"/>
      <c r="R324" s="51"/>
      <c r="S324" s="51"/>
      <c r="T324" s="51"/>
      <c r="U324" s="51"/>
      <c r="V324" s="51"/>
      <c r="W324" s="51"/>
    </row>
    <row r="325" spans="1:23" x14ac:dyDescent="0.3">
      <c r="A325" s="12" t="s">
        <v>396</v>
      </c>
      <c r="B325" s="19">
        <v>42163</v>
      </c>
      <c r="C325" s="46" t="s">
        <v>28</v>
      </c>
      <c r="D325" s="13" t="s">
        <v>12</v>
      </c>
      <c r="E325" s="13" t="s">
        <v>51</v>
      </c>
      <c r="F325" s="13" t="s">
        <v>81</v>
      </c>
      <c r="G325" s="13">
        <v>7</v>
      </c>
      <c r="H325" s="13">
        <v>70</v>
      </c>
      <c r="I325" s="13">
        <v>490</v>
      </c>
      <c r="J325" s="14" t="s">
        <v>26</v>
      </c>
      <c r="N325" s="50"/>
      <c r="Q325" s="51"/>
      <c r="R325" s="51"/>
      <c r="S325" s="51"/>
      <c r="T325" s="51"/>
      <c r="U325" s="51"/>
      <c r="V325" s="51"/>
      <c r="W325" s="51"/>
    </row>
    <row r="326" spans="1:23" x14ac:dyDescent="0.3">
      <c r="A326" s="12" t="s">
        <v>397</v>
      </c>
      <c r="B326" s="19">
        <v>42163</v>
      </c>
      <c r="C326" s="46" t="s">
        <v>11</v>
      </c>
      <c r="D326" s="13" t="s">
        <v>12</v>
      </c>
      <c r="E326" s="13" t="s">
        <v>51</v>
      </c>
      <c r="F326" s="13" t="s">
        <v>81</v>
      </c>
      <c r="G326" s="13">
        <v>19</v>
      </c>
      <c r="H326" s="13">
        <v>25</v>
      </c>
      <c r="I326" s="13">
        <v>475</v>
      </c>
      <c r="J326" s="14" t="s">
        <v>26</v>
      </c>
      <c r="N326" s="50"/>
      <c r="Q326" s="51"/>
      <c r="R326" s="51"/>
      <c r="S326" s="51"/>
      <c r="T326" s="51"/>
      <c r="U326" s="51"/>
      <c r="V326" s="51"/>
      <c r="W326" s="51"/>
    </row>
    <row r="327" spans="1:23" x14ac:dyDescent="0.3">
      <c r="A327" s="12" t="s">
        <v>398</v>
      </c>
      <c r="B327" s="19">
        <v>42166</v>
      </c>
      <c r="C327" s="46" t="s">
        <v>20</v>
      </c>
      <c r="D327" s="13" t="s">
        <v>85</v>
      </c>
      <c r="E327" s="13" t="s">
        <v>34</v>
      </c>
      <c r="F327" s="13" t="s">
        <v>64</v>
      </c>
      <c r="G327" s="13">
        <v>31</v>
      </c>
      <c r="H327" s="13">
        <v>5</v>
      </c>
      <c r="I327" s="13">
        <v>155</v>
      </c>
      <c r="J327" s="14" t="s">
        <v>26</v>
      </c>
      <c r="N327" s="50"/>
      <c r="Q327" s="51"/>
      <c r="R327" s="51"/>
      <c r="S327" s="51"/>
      <c r="T327" s="51"/>
      <c r="U327" s="51"/>
      <c r="V327" s="51"/>
      <c r="W327" s="51"/>
    </row>
    <row r="328" spans="1:23" x14ac:dyDescent="0.3">
      <c r="A328" s="12" t="s">
        <v>399</v>
      </c>
      <c r="B328" s="19">
        <v>42177</v>
      </c>
      <c r="C328" s="46" t="s">
        <v>11</v>
      </c>
      <c r="D328" s="13" t="s">
        <v>45</v>
      </c>
      <c r="E328" s="13" t="s">
        <v>17</v>
      </c>
      <c r="F328" s="13" t="s">
        <v>72</v>
      </c>
      <c r="G328" s="13">
        <v>18</v>
      </c>
      <c r="H328" s="13">
        <v>20</v>
      </c>
      <c r="I328" s="13">
        <v>360</v>
      </c>
      <c r="J328" s="14" t="s">
        <v>26</v>
      </c>
      <c r="N328" s="50"/>
      <c r="Q328" s="51"/>
      <c r="R328" s="51"/>
      <c r="S328" s="51"/>
      <c r="T328" s="51"/>
      <c r="U328" s="51"/>
      <c r="V328" s="51"/>
      <c r="W328" s="51"/>
    </row>
    <row r="329" spans="1:23" x14ac:dyDescent="0.3">
      <c r="A329" s="12" t="s">
        <v>400</v>
      </c>
      <c r="B329" s="19">
        <v>42177</v>
      </c>
      <c r="C329" s="46" t="s">
        <v>28</v>
      </c>
      <c r="D329" s="13" t="s">
        <v>45</v>
      </c>
      <c r="E329" s="13" t="s">
        <v>21</v>
      </c>
      <c r="F329" s="13" t="s">
        <v>22</v>
      </c>
      <c r="G329" s="13">
        <v>19.5</v>
      </c>
      <c r="H329" s="13">
        <v>6</v>
      </c>
      <c r="I329" s="13">
        <v>117</v>
      </c>
      <c r="J329" s="14" t="s">
        <v>26</v>
      </c>
      <c r="N329" s="50"/>
      <c r="Q329" s="51"/>
      <c r="R329" s="51"/>
      <c r="S329" s="51"/>
      <c r="T329" s="51"/>
      <c r="U329" s="51"/>
      <c r="V329" s="51"/>
      <c r="W329" s="51"/>
    </row>
    <row r="330" spans="1:23" x14ac:dyDescent="0.3">
      <c r="A330" s="12" t="s">
        <v>401</v>
      </c>
      <c r="B330" s="19">
        <v>42179</v>
      </c>
      <c r="C330" s="46" t="s">
        <v>11</v>
      </c>
      <c r="D330" s="13" t="s">
        <v>12</v>
      </c>
      <c r="E330" s="13" t="s">
        <v>17</v>
      </c>
      <c r="F330" s="13" t="s">
        <v>25</v>
      </c>
      <c r="G330" s="13">
        <v>7.75</v>
      </c>
      <c r="H330" s="13">
        <v>50</v>
      </c>
      <c r="I330" s="13">
        <v>387.5</v>
      </c>
      <c r="J330" s="14" t="s">
        <v>15</v>
      </c>
      <c r="N330" s="50"/>
      <c r="Q330" s="51"/>
      <c r="R330" s="51"/>
      <c r="S330" s="51"/>
      <c r="T330" s="51"/>
      <c r="U330" s="51"/>
      <c r="V330" s="51"/>
      <c r="W330" s="51"/>
    </row>
    <row r="331" spans="1:23" x14ac:dyDescent="0.3">
      <c r="A331" s="12" t="s">
        <v>402</v>
      </c>
      <c r="B331" s="19">
        <v>42184</v>
      </c>
      <c r="C331" s="46" t="s">
        <v>20</v>
      </c>
      <c r="D331" s="13" t="s">
        <v>12</v>
      </c>
      <c r="E331" s="13" t="s">
        <v>34</v>
      </c>
      <c r="F331" s="13" t="s">
        <v>136</v>
      </c>
      <c r="G331" s="13">
        <v>9.5</v>
      </c>
      <c r="H331" s="13">
        <v>15</v>
      </c>
      <c r="I331" s="13">
        <v>142.5</v>
      </c>
      <c r="J331" s="14" t="s">
        <v>15</v>
      </c>
      <c r="N331" s="50"/>
      <c r="Q331" s="51"/>
      <c r="R331" s="51"/>
      <c r="S331" s="51"/>
      <c r="T331" s="51"/>
      <c r="U331" s="51"/>
      <c r="V331" s="51"/>
      <c r="W331" s="51"/>
    </row>
    <row r="332" spans="1:23" x14ac:dyDescent="0.3">
      <c r="A332" s="12" t="s">
        <v>403</v>
      </c>
      <c r="B332" s="19">
        <v>42185</v>
      </c>
      <c r="C332" s="46" t="s">
        <v>31</v>
      </c>
      <c r="D332" s="13" t="s">
        <v>12</v>
      </c>
      <c r="E332" s="13" t="s">
        <v>17</v>
      </c>
      <c r="F332" s="13" t="s">
        <v>72</v>
      </c>
      <c r="G332" s="13">
        <v>18</v>
      </c>
      <c r="H332" s="13">
        <v>20</v>
      </c>
      <c r="I332" s="13">
        <v>360</v>
      </c>
      <c r="J332" s="14" t="s">
        <v>15</v>
      </c>
      <c r="N332" s="50"/>
      <c r="Q332" s="51"/>
      <c r="R332" s="51"/>
      <c r="S332" s="51"/>
      <c r="T332" s="51"/>
      <c r="U332" s="51"/>
      <c r="V332" s="51"/>
      <c r="W332" s="51"/>
    </row>
    <row r="333" spans="1:23" x14ac:dyDescent="0.3">
      <c r="A333" s="12" t="s">
        <v>404</v>
      </c>
      <c r="B333" s="19">
        <v>42185</v>
      </c>
      <c r="C333" s="46" t="s">
        <v>31</v>
      </c>
      <c r="D333" s="13" t="s">
        <v>12</v>
      </c>
      <c r="E333" s="13" t="s">
        <v>21</v>
      </c>
      <c r="F333" s="13" t="s">
        <v>97</v>
      </c>
      <c r="G333" s="13">
        <v>13</v>
      </c>
      <c r="H333" s="13">
        <v>20</v>
      </c>
      <c r="I333" s="13">
        <v>260</v>
      </c>
      <c r="J333" s="14" t="s">
        <v>15</v>
      </c>
      <c r="N333" s="50"/>
      <c r="Q333" s="51"/>
      <c r="R333" s="51"/>
      <c r="S333" s="51"/>
      <c r="T333" s="51"/>
      <c r="U333" s="51"/>
      <c r="V333" s="51"/>
      <c r="W333" s="51"/>
    </row>
    <row r="334" spans="1:23" x14ac:dyDescent="0.3">
      <c r="A334" s="12" t="s">
        <v>405</v>
      </c>
      <c r="B334" s="19">
        <v>42198</v>
      </c>
      <c r="C334" s="46" t="s">
        <v>31</v>
      </c>
      <c r="D334" s="13" t="s">
        <v>45</v>
      </c>
      <c r="E334" s="13" t="s">
        <v>34</v>
      </c>
      <c r="F334" s="13" t="s">
        <v>90</v>
      </c>
      <c r="G334" s="13">
        <v>49.3</v>
      </c>
      <c r="H334" s="13">
        <v>10</v>
      </c>
      <c r="I334" s="13">
        <v>493</v>
      </c>
      <c r="J334" s="14" t="s">
        <v>26</v>
      </c>
      <c r="N334" s="50"/>
      <c r="Q334" s="51"/>
      <c r="R334" s="51"/>
      <c r="S334" s="51"/>
      <c r="T334" s="51"/>
      <c r="U334" s="51"/>
      <c r="V334" s="51"/>
      <c r="W334" s="51"/>
    </row>
    <row r="335" spans="1:23" x14ac:dyDescent="0.3">
      <c r="A335" s="12" t="s">
        <v>406</v>
      </c>
      <c r="B335" s="19">
        <v>42205</v>
      </c>
      <c r="C335" s="46" t="s">
        <v>31</v>
      </c>
      <c r="D335" s="13" t="s">
        <v>12</v>
      </c>
      <c r="E335" s="13" t="s">
        <v>51</v>
      </c>
      <c r="F335" s="13" t="s">
        <v>81</v>
      </c>
      <c r="G335" s="13">
        <v>24</v>
      </c>
      <c r="H335" s="13">
        <v>20</v>
      </c>
      <c r="I335" s="13">
        <v>480</v>
      </c>
      <c r="J335" s="14" t="s">
        <v>26</v>
      </c>
      <c r="N335" s="50"/>
      <c r="Q335" s="51"/>
      <c r="R335" s="51"/>
      <c r="S335" s="51"/>
      <c r="T335" s="51"/>
      <c r="U335" s="51"/>
      <c r="V335" s="51"/>
      <c r="W335" s="51"/>
    </row>
    <row r="336" spans="1:23" x14ac:dyDescent="0.3">
      <c r="A336" s="12" t="s">
        <v>407</v>
      </c>
      <c r="B336" s="19">
        <v>42205</v>
      </c>
      <c r="C336" s="46" t="s">
        <v>31</v>
      </c>
      <c r="D336" s="13" t="s">
        <v>12</v>
      </c>
      <c r="E336" s="13" t="s">
        <v>21</v>
      </c>
      <c r="F336" s="13" t="s">
        <v>111</v>
      </c>
      <c r="G336" s="13">
        <v>22</v>
      </c>
      <c r="H336" s="13">
        <v>20</v>
      </c>
      <c r="I336" s="13">
        <v>440</v>
      </c>
      <c r="J336" s="14" t="s">
        <v>26</v>
      </c>
      <c r="N336" s="50"/>
      <c r="Q336" s="51"/>
      <c r="R336" s="51"/>
      <c r="S336" s="51"/>
      <c r="T336" s="51"/>
      <c r="U336" s="51"/>
      <c r="V336" s="51"/>
      <c r="W336" s="51"/>
    </row>
    <row r="337" spans="1:23" x14ac:dyDescent="0.3">
      <c r="A337" s="12" t="s">
        <v>408</v>
      </c>
      <c r="B337" s="19">
        <v>42205</v>
      </c>
      <c r="C337" s="46" t="s">
        <v>11</v>
      </c>
      <c r="D337" s="13" t="s">
        <v>12</v>
      </c>
      <c r="E337" s="13" t="s">
        <v>34</v>
      </c>
      <c r="F337" s="13" t="s">
        <v>90</v>
      </c>
      <c r="G337" s="13">
        <v>49.3</v>
      </c>
      <c r="H337" s="13">
        <v>10</v>
      </c>
      <c r="I337" s="13">
        <v>493</v>
      </c>
      <c r="J337" s="14" t="s">
        <v>26</v>
      </c>
      <c r="N337" s="50"/>
      <c r="Q337" s="51"/>
      <c r="R337" s="51"/>
      <c r="S337" s="51"/>
      <c r="T337" s="51"/>
      <c r="U337" s="51"/>
      <c r="V337" s="51"/>
      <c r="W337" s="51"/>
    </row>
    <row r="338" spans="1:23" x14ac:dyDescent="0.3">
      <c r="A338" s="12" t="s">
        <v>409</v>
      </c>
      <c r="B338" s="19">
        <v>42219</v>
      </c>
      <c r="C338" s="46" t="s">
        <v>11</v>
      </c>
      <c r="D338" s="13" t="s">
        <v>45</v>
      </c>
      <c r="E338" s="13" t="s">
        <v>17</v>
      </c>
      <c r="F338" s="13" t="s">
        <v>54</v>
      </c>
      <c r="G338" s="13">
        <v>15</v>
      </c>
      <c r="H338" s="13">
        <v>20</v>
      </c>
      <c r="I338" s="13">
        <v>300</v>
      </c>
      <c r="J338" s="14" t="s">
        <v>26</v>
      </c>
      <c r="N338" s="50"/>
      <c r="Q338" s="51"/>
      <c r="R338" s="51"/>
      <c r="S338" s="51"/>
      <c r="T338" s="51"/>
      <c r="U338" s="51"/>
      <c r="V338" s="51"/>
      <c r="W338" s="51"/>
    </row>
    <row r="339" spans="1:23" x14ac:dyDescent="0.3">
      <c r="A339" s="12" t="s">
        <v>410</v>
      </c>
      <c r="B339" s="19">
        <v>42219</v>
      </c>
      <c r="C339" s="46" t="s">
        <v>31</v>
      </c>
      <c r="D339" s="13" t="s">
        <v>45</v>
      </c>
      <c r="E339" s="13" t="s">
        <v>13</v>
      </c>
      <c r="F339" s="13" t="s">
        <v>14</v>
      </c>
      <c r="G339" s="13">
        <v>9</v>
      </c>
      <c r="H339" s="13">
        <v>10</v>
      </c>
      <c r="I339" s="13">
        <v>90</v>
      </c>
      <c r="J339" s="14" t="s">
        <v>26</v>
      </c>
      <c r="N339" s="50"/>
      <c r="Q339" s="51"/>
      <c r="R339" s="51"/>
      <c r="S339" s="51"/>
      <c r="T339" s="51"/>
      <c r="U339" s="51"/>
      <c r="V339" s="51"/>
      <c r="W339" s="51"/>
    </row>
    <row r="340" spans="1:23" x14ac:dyDescent="0.3">
      <c r="A340" s="12" t="s">
        <v>411</v>
      </c>
      <c r="B340" s="19">
        <v>42219</v>
      </c>
      <c r="C340" s="46" t="s">
        <v>11</v>
      </c>
      <c r="D340" s="13" t="s">
        <v>45</v>
      </c>
      <c r="E340" s="13" t="s">
        <v>13</v>
      </c>
      <c r="F340" s="13" t="s">
        <v>124</v>
      </c>
      <c r="G340" s="13">
        <v>21.5</v>
      </c>
      <c r="H340" s="13">
        <v>15</v>
      </c>
      <c r="I340" s="13">
        <v>322.5</v>
      </c>
      <c r="J340" s="14" t="s">
        <v>26</v>
      </c>
      <c r="N340" s="50"/>
      <c r="Q340" s="51"/>
      <c r="R340" s="51"/>
      <c r="S340" s="51"/>
      <c r="T340" s="51"/>
      <c r="U340" s="51"/>
      <c r="V340" s="51"/>
      <c r="W340" s="51"/>
    </row>
    <row r="341" spans="1:23" x14ac:dyDescent="0.3">
      <c r="A341" s="12" t="s">
        <v>412</v>
      </c>
      <c r="B341" s="19">
        <v>42219</v>
      </c>
      <c r="C341" s="46" t="s">
        <v>28</v>
      </c>
      <c r="D341" s="13" t="s">
        <v>45</v>
      </c>
      <c r="E341" s="13" t="s">
        <v>34</v>
      </c>
      <c r="F341" s="13" t="s">
        <v>188</v>
      </c>
      <c r="G341" s="13">
        <v>9.1999999999999993</v>
      </c>
      <c r="H341" s="13">
        <v>5</v>
      </c>
      <c r="I341" s="13">
        <v>46</v>
      </c>
      <c r="J341" s="14" t="s">
        <v>26</v>
      </c>
      <c r="N341" s="50"/>
      <c r="Q341" s="51"/>
      <c r="R341" s="51"/>
      <c r="S341" s="51"/>
      <c r="T341" s="51"/>
      <c r="U341" s="51"/>
      <c r="V341" s="51"/>
      <c r="W341" s="51"/>
    </row>
    <row r="342" spans="1:23" x14ac:dyDescent="0.3">
      <c r="A342" s="12" t="s">
        <v>413</v>
      </c>
      <c r="B342" s="19">
        <v>42220</v>
      </c>
      <c r="C342" s="46" t="s">
        <v>28</v>
      </c>
      <c r="D342" s="13" t="s">
        <v>12</v>
      </c>
      <c r="E342" s="13" t="s">
        <v>17</v>
      </c>
      <c r="F342" s="13" t="s">
        <v>18</v>
      </c>
      <c r="G342" s="13">
        <v>19</v>
      </c>
      <c r="H342" s="13">
        <v>20</v>
      </c>
      <c r="I342" s="13">
        <v>380</v>
      </c>
      <c r="J342" s="14" t="s">
        <v>26</v>
      </c>
      <c r="N342" s="50"/>
      <c r="Q342" s="51"/>
      <c r="R342" s="51"/>
      <c r="S342" s="51"/>
      <c r="T342" s="51"/>
      <c r="U342" s="51"/>
      <c r="V342" s="51"/>
      <c r="W342" s="51"/>
    </row>
    <row r="343" spans="1:23" x14ac:dyDescent="0.3">
      <c r="A343" s="12" t="s">
        <v>414</v>
      </c>
      <c r="B343" s="19">
        <v>42220</v>
      </c>
      <c r="C343" s="46" t="s">
        <v>31</v>
      </c>
      <c r="D343" s="13" t="s">
        <v>12</v>
      </c>
      <c r="E343" s="13" t="s">
        <v>34</v>
      </c>
      <c r="F343" s="13" t="s">
        <v>43</v>
      </c>
      <c r="G343" s="13">
        <v>12.5</v>
      </c>
      <c r="H343" s="13">
        <v>18</v>
      </c>
      <c r="I343" s="13">
        <v>225</v>
      </c>
      <c r="J343" s="14" t="s">
        <v>26</v>
      </c>
      <c r="N343" s="50"/>
      <c r="Q343" s="51"/>
      <c r="R343" s="51"/>
      <c r="S343" s="51"/>
      <c r="T343" s="51"/>
      <c r="U343" s="51"/>
      <c r="V343" s="51"/>
      <c r="W343" s="51"/>
    </row>
    <row r="344" spans="1:23" x14ac:dyDescent="0.3">
      <c r="A344" s="12" t="s">
        <v>415</v>
      </c>
      <c r="B344" s="19">
        <v>42226</v>
      </c>
      <c r="C344" s="46" t="s">
        <v>11</v>
      </c>
      <c r="D344" s="13" t="s">
        <v>85</v>
      </c>
      <c r="E344" s="13" t="s">
        <v>51</v>
      </c>
      <c r="F344" s="13" t="s">
        <v>52</v>
      </c>
      <c r="G344" s="13">
        <v>123.79</v>
      </c>
      <c r="H344" s="13">
        <v>20</v>
      </c>
      <c r="I344" s="13">
        <v>2475.8000000000002</v>
      </c>
      <c r="J344" s="14" t="s">
        <v>26</v>
      </c>
      <c r="N344" s="50"/>
      <c r="Q344" s="51"/>
      <c r="R344" s="51"/>
      <c r="S344" s="51"/>
      <c r="T344" s="51"/>
      <c r="U344" s="51"/>
      <c r="V344" s="51"/>
      <c r="W344" s="51"/>
    </row>
    <row r="345" spans="1:23" x14ac:dyDescent="0.3">
      <c r="A345" s="12" t="s">
        <v>416</v>
      </c>
      <c r="B345" s="19">
        <v>42226</v>
      </c>
      <c r="C345" s="46" t="s">
        <v>20</v>
      </c>
      <c r="D345" s="13" t="s">
        <v>85</v>
      </c>
      <c r="E345" s="13" t="s">
        <v>51</v>
      </c>
      <c r="F345" s="13" t="s">
        <v>81</v>
      </c>
      <c r="G345" s="13">
        <v>33.25</v>
      </c>
      <c r="H345" s="13">
        <v>9</v>
      </c>
      <c r="I345" s="13">
        <v>299.25</v>
      </c>
      <c r="J345" s="14" t="s">
        <v>26</v>
      </c>
      <c r="N345" s="50"/>
      <c r="Q345" s="51"/>
      <c r="R345" s="51"/>
      <c r="S345" s="51"/>
      <c r="T345" s="51"/>
      <c r="U345" s="51"/>
      <c r="V345" s="51"/>
      <c r="W345" s="51"/>
    </row>
    <row r="346" spans="1:23" x14ac:dyDescent="0.3">
      <c r="A346" s="12" t="s">
        <v>417</v>
      </c>
      <c r="B346" s="19">
        <v>42233</v>
      </c>
      <c r="C346" s="46" t="s">
        <v>11</v>
      </c>
      <c r="D346" s="13" t="s">
        <v>12</v>
      </c>
      <c r="E346" s="13" t="s">
        <v>51</v>
      </c>
      <c r="F346" s="13" t="s">
        <v>81</v>
      </c>
      <c r="G346" s="13">
        <v>38</v>
      </c>
      <c r="H346" s="13">
        <v>60</v>
      </c>
      <c r="I346" s="13">
        <v>2280</v>
      </c>
      <c r="J346" s="14" t="s">
        <v>15</v>
      </c>
      <c r="N346" s="50"/>
      <c r="Q346" s="51"/>
      <c r="R346" s="51"/>
      <c r="S346" s="51"/>
      <c r="T346" s="51"/>
      <c r="U346" s="51"/>
      <c r="V346" s="51"/>
      <c r="W346" s="51"/>
    </row>
    <row r="347" spans="1:23" x14ac:dyDescent="0.3">
      <c r="A347" s="12" t="s">
        <v>418</v>
      </c>
      <c r="B347" s="19">
        <v>42233</v>
      </c>
      <c r="C347" s="46" t="s">
        <v>28</v>
      </c>
      <c r="D347" s="13" t="s">
        <v>12</v>
      </c>
      <c r="E347" s="13" t="s">
        <v>13</v>
      </c>
      <c r="F347" s="13" t="s">
        <v>14</v>
      </c>
      <c r="G347" s="13">
        <v>21</v>
      </c>
      <c r="H347" s="13">
        <v>10</v>
      </c>
      <c r="I347" s="13">
        <v>210</v>
      </c>
      <c r="J347" s="14" t="s">
        <v>15</v>
      </c>
      <c r="N347" s="50"/>
      <c r="Q347" s="51"/>
      <c r="R347" s="51"/>
      <c r="S347" s="51"/>
      <c r="T347" s="51"/>
      <c r="U347" s="51"/>
      <c r="V347" s="51"/>
      <c r="W347" s="51"/>
    </row>
    <row r="348" spans="1:23" x14ac:dyDescent="0.3">
      <c r="A348" s="12" t="s">
        <v>419</v>
      </c>
      <c r="B348" s="19">
        <v>42233</v>
      </c>
      <c r="C348" s="46" t="s">
        <v>31</v>
      </c>
      <c r="D348" s="13" t="s">
        <v>12</v>
      </c>
      <c r="E348" s="13" t="s">
        <v>34</v>
      </c>
      <c r="F348" s="13" t="s">
        <v>64</v>
      </c>
      <c r="G348" s="13">
        <v>16.25</v>
      </c>
      <c r="H348" s="13">
        <v>25</v>
      </c>
      <c r="I348" s="13">
        <v>406.25</v>
      </c>
      <c r="J348" s="14" t="s">
        <v>15</v>
      </c>
      <c r="N348" s="50"/>
      <c r="Q348" s="51"/>
      <c r="R348" s="51"/>
      <c r="S348" s="51"/>
      <c r="T348" s="51"/>
      <c r="U348" s="51"/>
      <c r="V348" s="51"/>
      <c r="W348" s="51"/>
    </row>
    <row r="349" spans="1:23" x14ac:dyDescent="0.3">
      <c r="A349" s="12" t="s">
        <v>420</v>
      </c>
      <c r="B349" s="19">
        <v>42239</v>
      </c>
      <c r="C349" s="46" t="s">
        <v>11</v>
      </c>
      <c r="D349" s="13" t="s">
        <v>12</v>
      </c>
      <c r="E349" s="13" t="s">
        <v>17</v>
      </c>
      <c r="F349" s="13" t="s">
        <v>29</v>
      </c>
      <c r="G349" s="13">
        <v>46</v>
      </c>
      <c r="H349" s="13">
        <v>20</v>
      </c>
      <c r="I349" s="13">
        <v>920</v>
      </c>
      <c r="J349" s="14" t="s">
        <v>26</v>
      </c>
      <c r="N349" s="50"/>
      <c r="Q349" s="51"/>
      <c r="R349" s="51"/>
      <c r="S349" s="51"/>
      <c r="T349" s="51"/>
      <c r="U349" s="51"/>
      <c r="V349" s="51"/>
      <c r="W349" s="51"/>
    </row>
    <row r="350" spans="1:23" x14ac:dyDescent="0.3">
      <c r="A350" s="12" t="s">
        <v>421</v>
      </c>
      <c r="B350" s="19">
        <v>42239</v>
      </c>
      <c r="C350" s="46" t="s">
        <v>11</v>
      </c>
      <c r="D350" s="13" t="s">
        <v>12</v>
      </c>
      <c r="E350" s="13" t="s">
        <v>17</v>
      </c>
      <c r="F350" s="13" t="s">
        <v>54</v>
      </c>
      <c r="G350" s="13">
        <v>12</v>
      </c>
      <c r="H350" s="13">
        <v>21</v>
      </c>
      <c r="I350" s="13">
        <v>252</v>
      </c>
      <c r="J350" s="14" t="s">
        <v>26</v>
      </c>
      <c r="N350" s="50"/>
      <c r="Q350" s="51"/>
      <c r="R350" s="51"/>
      <c r="S350" s="51"/>
      <c r="T350" s="51"/>
      <c r="U350" s="51"/>
      <c r="V350" s="51"/>
      <c r="W350" s="51"/>
    </row>
    <row r="351" spans="1:23" x14ac:dyDescent="0.3">
      <c r="A351" s="12" t="s">
        <v>422</v>
      </c>
      <c r="B351" s="19">
        <v>42240</v>
      </c>
      <c r="C351" s="46" t="s">
        <v>20</v>
      </c>
      <c r="D351" s="13" t="s">
        <v>12</v>
      </c>
      <c r="E351" s="13" t="s">
        <v>13</v>
      </c>
      <c r="F351" s="13" t="s">
        <v>14</v>
      </c>
      <c r="G351" s="13">
        <v>19</v>
      </c>
      <c r="H351" s="13">
        <v>15</v>
      </c>
      <c r="I351" s="13">
        <v>285</v>
      </c>
      <c r="J351" s="14" t="s">
        <v>15</v>
      </c>
      <c r="N351" s="50"/>
      <c r="Q351" s="51"/>
      <c r="R351" s="51"/>
      <c r="S351" s="51"/>
      <c r="T351" s="51"/>
      <c r="U351" s="51"/>
      <c r="V351" s="51"/>
      <c r="W351" s="51"/>
    </row>
    <row r="352" spans="1:23" x14ac:dyDescent="0.3">
      <c r="A352" s="12" t="s">
        <v>423</v>
      </c>
      <c r="B352" s="19">
        <v>42240</v>
      </c>
      <c r="C352" s="46" t="s">
        <v>31</v>
      </c>
      <c r="D352" s="13" t="s">
        <v>85</v>
      </c>
      <c r="E352" s="13" t="s">
        <v>17</v>
      </c>
      <c r="F352" s="13" t="s">
        <v>54</v>
      </c>
      <c r="G352" s="13">
        <v>62.5</v>
      </c>
      <c r="H352" s="13">
        <v>20</v>
      </c>
      <c r="I352" s="13">
        <v>1250</v>
      </c>
      <c r="J352" s="14" t="s">
        <v>15</v>
      </c>
      <c r="N352" s="50"/>
      <c r="Q352" s="51"/>
      <c r="R352" s="51"/>
      <c r="S352" s="51"/>
      <c r="T352" s="51"/>
      <c r="U352" s="51"/>
      <c r="V352" s="51"/>
      <c r="W352" s="51"/>
    </row>
    <row r="353" spans="1:23" x14ac:dyDescent="0.3">
      <c r="A353" s="12" t="s">
        <v>424</v>
      </c>
      <c r="B353" s="19">
        <v>42241</v>
      </c>
      <c r="C353" s="46" t="s">
        <v>31</v>
      </c>
      <c r="D353" s="13" t="s">
        <v>12</v>
      </c>
      <c r="E353" s="13" t="s">
        <v>17</v>
      </c>
      <c r="F353" s="13" t="s">
        <v>37</v>
      </c>
      <c r="G353" s="13">
        <v>18</v>
      </c>
      <c r="H353" s="13">
        <v>20</v>
      </c>
      <c r="I353" s="13">
        <v>360</v>
      </c>
      <c r="J353" s="14" t="s">
        <v>26</v>
      </c>
      <c r="N353" s="50"/>
      <c r="Q353" s="51"/>
      <c r="R353" s="51"/>
      <c r="S353" s="51"/>
      <c r="T353" s="51"/>
      <c r="U353" s="51"/>
      <c r="V353" s="51"/>
      <c r="W353" s="51"/>
    </row>
    <row r="354" spans="1:23" x14ac:dyDescent="0.3">
      <c r="A354" s="12" t="s">
        <v>425</v>
      </c>
      <c r="B354" s="19">
        <v>42241</v>
      </c>
      <c r="C354" s="46" t="s">
        <v>11</v>
      </c>
      <c r="D354" s="13" t="s">
        <v>12</v>
      </c>
      <c r="E354" s="13" t="s">
        <v>34</v>
      </c>
      <c r="F354" s="13" t="s">
        <v>188</v>
      </c>
      <c r="G354" s="13">
        <v>9.1999999999999993</v>
      </c>
      <c r="H354" s="13">
        <v>30</v>
      </c>
      <c r="I354" s="13">
        <v>276</v>
      </c>
      <c r="J354" s="14" t="s">
        <v>26</v>
      </c>
      <c r="N354" s="50"/>
      <c r="Q354" s="51"/>
      <c r="R354" s="51"/>
      <c r="S354" s="51"/>
      <c r="T354" s="51"/>
      <c r="U354" s="51"/>
      <c r="V354" s="51"/>
      <c r="W354" s="51"/>
    </row>
    <row r="355" spans="1:23" x14ac:dyDescent="0.3">
      <c r="A355" s="12" t="s">
        <v>127</v>
      </c>
      <c r="B355" s="19">
        <v>42242</v>
      </c>
      <c r="C355" s="46" t="s">
        <v>20</v>
      </c>
      <c r="D355" s="13" t="s">
        <v>12</v>
      </c>
      <c r="E355" s="13" t="s">
        <v>17</v>
      </c>
      <c r="F355" s="13" t="s">
        <v>128</v>
      </c>
      <c r="G355" s="13">
        <v>4.5</v>
      </c>
      <c r="H355" s="13">
        <v>15</v>
      </c>
      <c r="I355" s="13">
        <v>67.5</v>
      </c>
      <c r="J355" s="14" t="s">
        <v>26</v>
      </c>
      <c r="N355" s="50"/>
      <c r="Q355" s="51"/>
      <c r="R355" s="51"/>
      <c r="S355" s="51"/>
      <c r="T355" s="51"/>
      <c r="U355" s="51"/>
      <c r="V355" s="51"/>
      <c r="W355" s="51"/>
    </row>
    <row r="356" spans="1:23" x14ac:dyDescent="0.3">
      <c r="A356" s="12" t="s">
        <v>426</v>
      </c>
      <c r="B356" s="19">
        <v>42242</v>
      </c>
      <c r="C356" s="46" t="s">
        <v>20</v>
      </c>
      <c r="D356" s="13" t="s">
        <v>12</v>
      </c>
      <c r="E356" s="13" t="s">
        <v>21</v>
      </c>
      <c r="F356" s="13" t="s">
        <v>22</v>
      </c>
      <c r="G356" s="13">
        <v>21</v>
      </c>
      <c r="H356" s="13">
        <v>15</v>
      </c>
      <c r="I356" s="13">
        <v>315</v>
      </c>
      <c r="J356" s="14" t="s">
        <v>26</v>
      </c>
      <c r="N356" s="50"/>
      <c r="Q356" s="51"/>
      <c r="R356" s="51"/>
      <c r="S356" s="51"/>
      <c r="T356" s="51"/>
      <c r="U356" s="51"/>
      <c r="V356" s="51"/>
      <c r="W356" s="51"/>
    </row>
    <row r="357" spans="1:23" x14ac:dyDescent="0.3">
      <c r="A357" s="12" t="s">
        <v>427</v>
      </c>
      <c r="B357" s="19">
        <v>42243</v>
      </c>
      <c r="C357" s="46" t="s">
        <v>20</v>
      </c>
      <c r="D357" s="13" t="s">
        <v>12</v>
      </c>
      <c r="E357" s="13" t="s">
        <v>51</v>
      </c>
      <c r="F357" s="13" t="s">
        <v>268</v>
      </c>
      <c r="G357" s="13">
        <v>7.45</v>
      </c>
      <c r="H357" s="13">
        <v>30</v>
      </c>
      <c r="I357" s="13">
        <v>223.5</v>
      </c>
      <c r="J357" s="14" t="s">
        <v>26</v>
      </c>
      <c r="N357" s="50"/>
      <c r="Q357" s="51"/>
      <c r="R357" s="51"/>
      <c r="S357" s="51"/>
      <c r="T357" s="51"/>
      <c r="U357" s="51"/>
      <c r="V357" s="51"/>
      <c r="W357" s="51"/>
    </row>
    <row r="358" spans="1:23" x14ac:dyDescent="0.3">
      <c r="A358" s="12" t="s">
        <v>428</v>
      </c>
      <c r="B358" s="19">
        <v>42243</v>
      </c>
      <c r="C358" s="46" t="s">
        <v>31</v>
      </c>
      <c r="D358" s="13" t="s">
        <v>12</v>
      </c>
      <c r="E358" s="13" t="s">
        <v>51</v>
      </c>
      <c r="F358" s="13" t="s">
        <v>138</v>
      </c>
      <c r="G358" s="13">
        <v>32.799999999999997</v>
      </c>
      <c r="H358" s="13">
        <v>25</v>
      </c>
      <c r="I358" s="13">
        <v>819.99999999999989</v>
      </c>
      <c r="J358" s="14" t="s">
        <v>26</v>
      </c>
      <c r="N358" s="50"/>
      <c r="Q358" s="51"/>
      <c r="R358" s="51"/>
      <c r="S358" s="51"/>
      <c r="T358" s="51"/>
      <c r="U358" s="51"/>
      <c r="V358" s="51"/>
      <c r="W358" s="51"/>
    </row>
    <row r="359" spans="1:23" x14ac:dyDescent="0.3">
      <c r="A359" s="12" t="s">
        <v>429</v>
      </c>
      <c r="B359" s="19">
        <v>42243</v>
      </c>
      <c r="C359" s="46" t="s">
        <v>20</v>
      </c>
      <c r="D359" s="13" t="s">
        <v>12</v>
      </c>
      <c r="E359" s="13" t="s">
        <v>17</v>
      </c>
      <c r="F359" s="13" t="s">
        <v>54</v>
      </c>
      <c r="G359" s="13">
        <v>25.89</v>
      </c>
      <c r="H359" s="13">
        <v>30</v>
      </c>
      <c r="I359" s="13">
        <v>776.7</v>
      </c>
      <c r="J359" s="14" t="s">
        <v>26</v>
      </c>
      <c r="N359" s="50"/>
      <c r="Q359" s="51"/>
      <c r="R359" s="51"/>
      <c r="S359" s="51"/>
      <c r="T359" s="51"/>
      <c r="U359" s="51"/>
      <c r="V359" s="51"/>
      <c r="W359" s="51"/>
    </row>
    <row r="360" spans="1:23" x14ac:dyDescent="0.3">
      <c r="A360" s="12" t="s">
        <v>430</v>
      </c>
      <c r="B360" s="19">
        <v>42246</v>
      </c>
      <c r="C360" s="46" t="s">
        <v>11</v>
      </c>
      <c r="D360" s="13" t="s">
        <v>12</v>
      </c>
      <c r="E360" s="13" t="s">
        <v>17</v>
      </c>
      <c r="F360" s="13" t="s">
        <v>54</v>
      </c>
      <c r="G360" s="13">
        <v>14</v>
      </c>
      <c r="H360" s="13">
        <v>20</v>
      </c>
      <c r="I360" s="13">
        <v>280</v>
      </c>
      <c r="J360" s="14" t="s">
        <v>26</v>
      </c>
      <c r="N360" s="50"/>
      <c r="Q360" s="51"/>
      <c r="R360" s="51"/>
      <c r="S360" s="51"/>
      <c r="T360" s="51"/>
      <c r="U360" s="51"/>
      <c r="V360" s="51"/>
      <c r="W360" s="51"/>
    </row>
    <row r="361" spans="1:23" x14ac:dyDescent="0.3">
      <c r="A361" s="12" t="s">
        <v>431</v>
      </c>
      <c r="B361" s="19">
        <v>42246</v>
      </c>
      <c r="C361" s="46" t="s">
        <v>31</v>
      </c>
      <c r="D361" s="13" t="s">
        <v>12</v>
      </c>
      <c r="E361" s="13" t="s">
        <v>21</v>
      </c>
      <c r="F361" s="13" t="s">
        <v>22</v>
      </c>
      <c r="G361" s="13">
        <v>25.89</v>
      </c>
      <c r="H361" s="13">
        <v>2</v>
      </c>
      <c r="I361" s="13">
        <v>51.78</v>
      </c>
      <c r="J361" s="14" t="s">
        <v>26</v>
      </c>
      <c r="N361" s="50"/>
      <c r="Q361" s="51"/>
      <c r="R361" s="51"/>
      <c r="S361" s="51"/>
      <c r="T361" s="51"/>
      <c r="U361" s="51"/>
      <c r="V361" s="51"/>
      <c r="W361" s="51"/>
    </row>
    <row r="362" spans="1:23" x14ac:dyDescent="0.3">
      <c r="A362" s="12" t="s">
        <v>432</v>
      </c>
      <c r="B362" s="19">
        <v>42250</v>
      </c>
      <c r="C362" s="46" t="s">
        <v>11</v>
      </c>
      <c r="D362" s="13" t="s">
        <v>12</v>
      </c>
      <c r="E362" s="13" t="s">
        <v>17</v>
      </c>
      <c r="F362" s="13" t="s">
        <v>54</v>
      </c>
      <c r="G362" s="13">
        <v>15</v>
      </c>
      <c r="H362" s="13">
        <v>40</v>
      </c>
      <c r="I362" s="13">
        <v>600</v>
      </c>
      <c r="J362" s="14" t="s">
        <v>26</v>
      </c>
      <c r="N362" s="50"/>
      <c r="Q362" s="51"/>
      <c r="R362" s="51"/>
      <c r="S362" s="51"/>
      <c r="T362" s="51"/>
      <c r="U362" s="51"/>
      <c r="V362" s="51"/>
      <c r="W362" s="51"/>
    </row>
    <row r="363" spans="1:23" x14ac:dyDescent="0.3">
      <c r="A363" s="12" t="s">
        <v>358</v>
      </c>
      <c r="B363" s="19">
        <v>42250</v>
      </c>
      <c r="C363" s="46" t="s">
        <v>31</v>
      </c>
      <c r="D363" s="13" t="s">
        <v>12</v>
      </c>
      <c r="E363" s="13" t="s">
        <v>13</v>
      </c>
      <c r="F363" s="13" t="s">
        <v>99</v>
      </c>
      <c r="G363" s="13">
        <v>12.5</v>
      </c>
      <c r="H363" s="13">
        <v>20</v>
      </c>
      <c r="I363" s="13">
        <v>250</v>
      </c>
      <c r="J363" s="14" t="s">
        <v>26</v>
      </c>
      <c r="N363" s="50"/>
      <c r="Q363" s="51"/>
      <c r="R363" s="51"/>
      <c r="S363" s="51"/>
      <c r="T363" s="51"/>
      <c r="U363" s="51"/>
      <c r="V363" s="51"/>
      <c r="W363" s="51"/>
    </row>
    <row r="364" spans="1:23" x14ac:dyDescent="0.3">
      <c r="A364" s="12" t="s">
        <v>433</v>
      </c>
      <c r="B364" s="19">
        <v>42250</v>
      </c>
      <c r="C364" s="46" t="s">
        <v>31</v>
      </c>
      <c r="D364" s="13" t="s">
        <v>12</v>
      </c>
      <c r="E364" s="13" t="s">
        <v>17</v>
      </c>
      <c r="F364" s="13" t="s">
        <v>54</v>
      </c>
      <c r="G364" s="13">
        <v>18.399999999999999</v>
      </c>
      <c r="H364" s="13">
        <v>24</v>
      </c>
      <c r="I364" s="13">
        <v>441.59999999999997</v>
      </c>
      <c r="J364" s="14" t="s">
        <v>26</v>
      </c>
      <c r="N364" s="50"/>
      <c r="Q364" s="51"/>
      <c r="R364" s="51"/>
      <c r="S364" s="51"/>
      <c r="T364" s="51"/>
      <c r="U364" s="51"/>
      <c r="V364" s="51"/>
      <c r="W364" s="51"/>
    </row>
    <row r="365" spans="1:23" x14ac:dyDescent="0.3">
      <c r="A365" s="12" t="s">
        <v>434</v>
      </c>
      <c r="B365" s="19">
        <v>42263</v>
      </c>
      <c r="C365" s="46" t="s">
        <v>28</v>
      </c>
      <c r="D365" s="13" t="s">
        <v>45</v>
      </c>
      <c r="E365" s="13" t="s">
        <v>21</v>
      </c>
      <c r="F365" s="13" t="s">
        <v>22</v>
      </c>
      <c r="G365" s="13">
        <v>9</v>
      </c>
      <c r="H365" s="13">
        <v>5</v>
      </c>
      <c r="I365" s="13">
        <v>45</v>
      </c>
      <c r="J365" s="14" t="s">
        <v>26</v>
      </c>
      <c r="N365" s="50"/>
      <c r="Q365" s="51"/>
      <c r="R365" s="51"/>
      <c r="S365" s="51"/>
      <c r="T365" s="51"/>
      <c r="U365" s="51"/>
      <c r="V365" s="51"/>
      <c r="W365" s="51"/>
    </row>
    <row r="366" spans="1:23" x14ac:dyDescent="0.3">
      <c r="A366" s="12" t="s">
        <v>435</v>
      </c>
      <c r="B366" s="19">
        <v>42274</v>
      </c>
      <c r="C366" s="46" t="s">
        <v>11</v>
      </c>
      <c r="D366" s="13" t="s">
        <v>12</v>
      </c>
      <c r="E366" s="13" t="s">
        <v>17</v>
      </c>
      <c r="F366" s="13" t="s">
        <v>54</v>
      </c>
      <c r="G366" s="13">
        <v>31</v>
      </c>
      <c r="H366" s="13">
        <v>20</v>
      </c>
      <c r="I366" s="13">
        <v>620</v>
      </c>
      <c r="J366" s="14" t="s">
        <v>26</v>
      </c>
      <c r="N366" s="50"/>
      <c r="Q366" s="51"/>
      <c r="R366" s="51"/>
      <c r="S366" s="51"/>
      <c r="T366" s="51"/>
      <c r="U366" s="51"/>
      <c r="V366" s="51"/>
      <c r="W366" s="51"/>
    </row>
    <row r="367" spans="1:23" x14ac:dyDescent="0.3">
      <c r="A367" s="12" t="s">
        <v>436</v>
      </c>
      <c r="B367" s="19">
        <v>42274</v>
      </c>
      <c r="C367" s="46" t="s">
        <v>20</v>
      </c>
      <c r="D367" s="13" t="s">
        <v>12</v>
      </c>
      <c r="E367" s="13" t="s">
        <v>34</v>
      </c>
      <c r="F367" s="13" t="s">
        <v>136</v>
      </c>
      <c r="G367" s="13">
        <v>9.5</v>
      </c>
      <c r="H367" s="13">
        <v>15</v>
      </c>
      <c r="I367" s="13">
        <v>142.5</v>
      </c>
      <c r="J367" s="14" t="s">
        <v>26</v>
      </c>
      <c r="N367" s="50"/>
      <c r="Q367" s="51"/>
      <c r="R367" s="51"/>
      <c r="S367" s="51"/>
      <c r="T367" s="51"/>
      <c r="U367" s="51"/>
      <c r="V367" s="51"/>
      <c r="W367" s="51"/>
    </row>
    <row r="368" spans="1:23" x14ac:dyDescent="0.3">
      <c r="A368" s="12" t="s">
        <v>437</v>
      </c>
      <c r="B368" s="19">
        <v>42277</v>
      </c>
      <c r="C368" s="46" t="s">
        <v>20</v>
      </c>
      <c r="D368" s="13" t="s">
        <v>12</v>
      </c>
      <c r="E368" s="13" t="s">
        <v>21</v>
      </c>
      <c r="F368" s="13" t="s">
        <v>97</v>
      </c>
      <c r="G368" s="13">
        <v>13</v>
      </c>
      <c r="H368" s="13">
        <v>30</v>
      </c>
      <c r="I368" s="13">
        <v>390</v>
      </c>
      <c r="J368" s="14" t="s">
        <v>15</v>
      </c>
      <c r="N368" s="50"/>
      <c r="Q368" s="51"/>
      <c r="R368" s="51"/>
      <c r="S368" s="51"/>
      <c r="T368" s="51"/>
      <c r="U368" s="51"/>
      <c r="V368" s="51"/>
      <c r="W368" s="51"/>
    </row>
    <row r="369" spans="1:23" x14ac:dyDescent="0.3">
      <c r="A369" s="12" t="s">
        <v>438</v>
      </c>
      <c r="B369" s="19">
        <v>42277</v>
      </c>
      <c r="C369" s="46" t="s">
        <v>31</v>
      </c>
      <c r="D369" s="13" t="s">
        <v>12</v>
      </c>
      <c r="E369" s="13" t="s">
        <v>51</v>
      </c>
      <c r="F369" s="13" t="s">
        <v>81</v>
      </c>
      <c r="G369" s="13">
        <v>38</v>
      </c>
      <c r="H369" s="13">
        <v>20</v>
      </c>
      <c r="I369" s="13">
        <v>760</v>
      </c>
      <c r="J369" s="14" t="s">
        <v>15</v>
      </c>
      <c r="N369" s="50"/>
      <c r="Q369" s="51"/>
      <c r="R369" s="51"/>
      <c r="S369" s="51"/>
      <c r="T369" s="51"/>
      <c r="U369" s="51"/>
      <c r="V369" s="51"/>
      <c r="W369" s="51"/>
    </row>
    <row r="370" spans="1:23" x14ac:dyDescent="0.3">
      <c r="A370" s="12" t="s">
        <v>127</v>
      </c>
      <c r="B370" s="19">
        <v>42289</v>
      </c>
      <c r="C370" s="46" t="s">
        <v>20</v>
      </c>
      <c r="D370" s="13" t="s">
        <v>12</v>
      </c>
      <c r="E370" s="13" t="s">
        <v>17</v>
      </c>
      <c r="F370" s="13" t="s">
        <v>128</v>
      </c>
      <c r="G370" s="13">
        <v>4.5</v>
      </c>
      <c r="H370" s="13">
        <v>35</v>
      </c>
      <c r="I370" s="13">
        <v>157.5</v>
      </c>
      <c r="J370" s="14" t="s">
        <v>15</v>
      </c>
      <c r="N370" s="50"/>
      <c r="Q370" s="51"/>
      <c r="R370" s="51"/>
      <c r="S370" s="51"/>
      <c r="T370" s="51"/>
      <c r="U370" s="51"/>
      <c r="V370" s="51"/>
      <c r="W370" s="51"/>
    </row>
    <row r="371" spans="1:23" x14ac:dyDescent="0.3">
      <c r="A371" s="12" t="s">
        <v>439</v>
      </c>
      <c r="B371" s="19">
        <v>42289</v>
      </c>
      <c r="C371" s="46" t="s">
        <v>11</v>
      </c>
      <c r="D371" s="13" t="s">
        <v>12</v>
      </c>
      <c r="E371" s="13" t="s">
        <v>21</v>
      </c>
      <c r="F371" s="13" t="s">
        <v>111</v>
      </c>
      <c r="G371" s="13">
        <v>22</v>
      </c>
      <c r="H371" s="13">
        <v>6</v>
      </c>
      <c r="I371" s="13">
        <v>132</v>
      </c>
      <c r="J371" s="14" t="s">
        <v>15</v>
      </c>
      <c r="N371" s="50"/>
      <c r="Q371" s="51"/>
      <c r="R371" s="51"/>
      <c r="S371" s="51"/>
      <c r="T371" s="51"/>
      <c r="U371" s="51"/>
      <c r="V371" s="51"/>
      <c r="W371" s="51"/>
    </row>
    <row r="372" spans="1:23" x14ac:dyDescent="0.3">
      <c r="A372" s="12" t="s">
        <v>440</v>
      </c>
      <c r="B372" s="19">
        <v>42289</v>
      </c>
      <c r="C372" s="46" t="s">
        <v>31</v>
      </c>
      <c r="D372" s="13" t="s">
        <v>12</v>
      </c>
      <c r="E372" s="13" t="s">
        <v>34</v>
      </c>
      <c r="F372" s="13" t="s">
        <v>339</v>
      </c>
      <c r="G372" s="13">
        <v>12.75</v>
      </c>
      <c r="H372" s="13">
        <v>24</v>
      </c>
      <c r="I372" s="13">
        <v>306</v>
      </c>
      <c r="J372" s="14" t="s">
        <v>15</v>
      </c>
      <c r="N372" s="50"/>
      <c r="Q372" s="51"/>
      <c r="R372" s="51"/>
      <c r="S372" s="51"/>
      <c r="T372" s="51"/>
      <c r="U372" s="51"/>
      <c r="V372" s="51"/>
      <c r="W372" s="51"/>
    </row>
    <row r="373" spans="1:23" x14ac:dyDescent="0.3">
      <c r="A373" s="12" t="s">
        <v>441</v>
      </c>
      <c r="B373" s="19">
        <v>42291</v>
      </c>
      <c r="C373" s="46" t="s">
        <v>11</v>
      </c>
      <c r="D373" s="13" t="s">
        <v>45</v>
      </c>
      <c r="E373" s="13" t="s">
        <v>17</v>
      </c>
      <c r="F373" s="13" t="s">
        <v>54</v>
      </c>
      <c r="G373" s="13">
        <v>15</v>
      </c>
      <c r="H373" s="13">
        <v>28</v>
      </c>
      <c r="I373" s="13">
        <v>420</v>
      </c>
      <c r="J373" s="14" t="s">
        <v>26</v>
      </c>
      <c r="N373" s="50"/>
      <c r="Q373" s="51"/>
      <c r="R373" s="51"/>
      <c r="S373" s="51"/>
      <c r="T373" s="51"/>
      <c r="U373" s="51"/>
      <c r="V373" s="51"/>
      <c r="W373" s="51"/>
    </row>
    <row r="374" spans="1:23" x14ac:dyDescent="0.3">
      <c r="A374" s="12" t="s">
        <v>442</v>
      </c>
      <c r="B374" s="19">
        <v>42291</v>
      </c>
      <c r="C374" s="46" t="s">
        <v>20</v>
      </c>
      <c r="D374" s="13" t="s">
        <v>45</v>
      </c>
      <c r="E374" s="13" t="s">
        <v>51</v>
      </c>
      <c r="F374" s="13" t="s">
        <v>81</v>
      </c>
      <c r="G374" s="13">
        <v>24</v>
      </c>
      <c r="H374" s="13">
        <v>21</v>
      </c>
      <c r="I374" s="13">
        <v>504</v>
      </c>
      <c r="J374" s="14" t="s">
        <v>26</v>
      </c>
      <c r="N374" s="50"/>
      <c r="Q374" s="51"/>
      <c r="R374" s="51"/>
      <c r="S374" s="51"/>
      <c r="T374" s="51"/>
      <c r="U374" s="51"/>
      <c r="V374" s="51"/>
      <c r="W374" s="51"/>
    </row>
    <row r="375" spans="1:23" x14ac:dyDescent="0.3">
      <c r="A375" s="12" t="s">
        <v>443</v>
      </c>
      <c r="B375" s="19">
        <v>42291</v>
      </c>
      <c r="C375" s="46" t="s">
        <v>11</v>
      </c>
      <c r="D375" s="13" t="s">
        <v>45</v>
      </c>
      <c r="E375" s="13" t="s">
        <v>34</v>
      </c>
      <c r="F375" s="13" t="s">
        <v>64</v>
      </c>
      <c r="G375" s="13">
        <v>19.5</v>
      </c>
      <c r="H375" s="13">
        <v>40</v>
      </c>
      <c r="I375" s="13">
        <v>780</v>
      </c>
      <c r="J375" s="14" t="s">
        <v>26</v>
      </c>
      <c r="N375" s="50"/>
      <c r="Q375" s="51"/>
      <c r="R375" s="51"/>
      <c r="S375" s="51"/>
      <c r="T375" s="51"/>
      <c r="U375" s="51"/>
      <c r="V375" s="51"/>
      <c r="W375" s="51"/>
    </row>
    <row r="376" spans="1:23" x14ac:dyDescent="0.3">
      <c r="A376" s="12" t="s">
        <v>444</v>
      </c>
      <c r="B376" s="19">
        <v>42292</v>
      </c>
      <c r="C376" s="46" t="s">
        <v>11</v>
      </c>
      <c r="D376" s="13" t="s">
        <v>12</v>
      </c>
      <c r="E376" s="13" t="s">
        <v>21</v>
      </c>
      <c r="F376" s="13" t="s">
        <v>47</v>
      </c>
      <c r="G376" s="13">
        <v>40</v>
      </c>
      <c r="H376" s="13">
        <v>40</v>
      </c>
      <c r="I376" s="13">
        <v>1600</v>
      </c>
      <c r="J376" s="14" t="s">
        <v>26</v>
      </c>
      <c r="N376" s="50"/>
      <c r="Q376" s="51"/>
      <c r="R376" s="51"/>
      <c r="S376" s="51"/>
      <c r="T376" s="51"/>
      <c r="U376" s="51"/>
      <c r="V376" s="51"/>
      <c r="W376" s="51"/>
    </row>
    <row r="377" spans="1:23" x14ac:dyDescent="0.3">
      <c r="A377" s="12" t="s">
        <v>445</v>
      </c>
      <c r="B377" s="19">
        <v>42292</v>
      </c>
      <c r="C377" s="46" t="s">
        <v>11</v>
      </c>
      <c r="D377" s="13" t="s">
        <v>12</v>
      </c>
      <c r="E377" s="13" t="s">
        <v>34</v>
      </c>
      <c r="F377" s="13" t="s">
        <v>64</v>
      </c>
      <c r="G377" s="13">
        <v>53</v>
      </c>
      <c r="H377" s="13">
        <v>28</v>
      </c>
      <c r="I377" s="13">
        <v>1484</v>
      </c>
      <c r="J377" s="14" t="s">
        <v>26</v>
      </c>
      <c r="N377" s="50"/>
      <c r="Q377" s="51"/>
      <c r="R377" s="51"/>
      <c r="S377" s="51"/>
      <c r="T377" s="51"/>
      <c r="U377" s="51"/>
      <c r="V377" s="51"/>
      <c r="W377" s="51"/>
    </row>
    <row r="378" spans="1:23" x14ac:dyDescent="0.3">
      <c r="A378" s="12" t="s">
        <v>446</v>
      </c>
      <c r="B378" s="19">
        <v>42292</v>
      </c>
      <c r="C378" s="46" t="s">
        <v>20</v>
      </c>
      <c r="D378" s="13" t="s">
        <v>12</v>
      </c>
      <c r="E378" s="13" t="s">
        <v>13</v>
      </c>
      <c r="F378" s="13" t="s">
        <v>41</v>
      </c>
      <c r="G378" s="13">
        <v>34</v>
      </c>
      <c r="H378" s="13">
        <v>10</v>
      </c>
      <c r="I378" s="13">
        <v>340</v>
      </c>
      <c r="J378" s="14" t="s">
        <v>26</v>
      </c>
      <c r="N378" s="50"/>
      <c r="Q378" s="51"/>
      <c r="R378" s="51"/>
      <c r="S378" s="51"/>
      <c r="T378" s="51"/>
      <c r="U378" s="51"/>
      <c r="V378" s="51"/>
      <c r="W378" s="51"/>
    </row>
    <row r="379" spans="1:23" x14ac:dyDescent="0.3">
      <c r="A379" s="12" t="s">
        <v>447</v>
      </c>
      <c r="B379" s="19">
        <v>42299</v>
      </c>
      <c r="C379" s="46" t="s">
        <v>28</v>
      </c>
      <c r="D379" s="13" t="s">
        <v>24</v>
      </c>
      <c r="E379" s="13" t="s">
        <v>21</v>
      </c>
      <c r="F379" s="13" t="s">
        <v>22</v>
      </c>
      <c r="G379" s="13">
        <v>28.5</v>
      </c>
      <c r="H379" s="13">
        <v>10</v>
      </c>
      <c r="I379" s="13">
        <v>285</v>
      </c>
      <c r="J379" s="14" t="s">
        <v>26</v>
      </c>
      <c r="N379" s="50"/>
      <c r="Q379" s="51"/>
      <c r="R379" s="51"/>
      <c r="S379" s="51"/>
      <c r="T379" s="51"/>
      <c r="U379" s="51"/>
      <c r="V379" s="51"/>
      <c r="W379" s="51"/>
    </row>
    <row r="380" spans="1:23" x14ac:dyDescent="0.3">
      <c r="A380" s="12" t="s">
        <v>448</v>
      </c>
      <c r="B380" s="19">
        <v>42299</v>
      </c>
      <c r="C380" s="46" t="s">
        <v>20</v>
      </c>
      <c r="D380" s="13" t="s">
        <v>24</v>
      </c>
      <c r="E380" s="13" t="s">
        <v>34</v>
      </c>
      <c r="F380" s="13" t="s">
        <v>241</v>
      </c>
      <c r="G380" s="13">
        <v>10</v>
      </c>
      <c r="H380" s="13">
        <v>5</v>
      </c>
      <c r="I380" s="13">
        <v>50</v>
      </c>
      <c r="J380" s="14" t="s">
        <v>26</v>
      </c>
      <c r="N380" s="50"/>
      <c r="Q380" s="51"/>
      <c r="R380" s="51"/>
      <c r="S380" s="51"/>
      <c r="T380" s="51"/>
      <c r="U380" s="51"/>
      <c r="V380" s="51"/>
      <c r="W380" s="51"/>
    </row>
    <row r="381" spans="1:23" x14ac:dyDescent="0.3">
      <c r="A381" s="12" t="s">
        <v>449</v>
      </c>
      <c r="B381" s="19">
        <v>42303</v>
      </c>
      <c r="C381" s="46" t="s">
        <v>28</v>
      </c>
      <c r="D381" s="13" t="s">
        <v>12</v>
      </c>
      <c r="E381" s="13" t="s">
        <v>17</v>
      </c>
      <c r="F381" s="13" t="s">
        <v>72</v>
      </c>
      <c r="G381" s="13">
        <v>18</v>
      </c>
      <c r="H381" s="13">
        <v>21</v>
      </c>
      <c r="I381" s="13">
        <v>378</v>
      </c>
      <c r="J381" s="14" t="s">
        <v>26</v>
      </c>
      <c r="N381" s="50"/>
      <c r="Q381" s="51"/>
      <c r="R381" s="51"/>
      <c r="S381" s="51"/>
      <c r="T381" s="51"/>
      <c r="U381" s="51"/>
      <c r="V381" s="51"/>
      <c r="W381" s="51"/>
    </row>
    <row r="382" spans="1:23" x14ac:dyDescent="0.3">
      <c r="A382" s="12" t="s">
        <v>450</v>
      </c>
      <c r="B382" s="19">
        <v>42303</v>
      </c>
      <c r="C382" s="46" t="s">
        <v>11</v>
      </c>
      <c r="D382" s="13" t="s">
        <v>12</v>
      </c>
      <c r="E382" s="13" t="s">
        <v>13</v>
      </c>
      <c r="F382" s="13" t="s">
        <v>124</v>
      </c>
      <c r="G382" s="13">
        <v>21.5</v>
      </c>
      <c r="H382" s="13">
        <v>8</v>
      </c>
      <c r="I382" s="13">
        <v>172</v>
      </c>
      <c r="J382" s="14" t="s">
        <v>26</v>
      </c>
      <c r="N382" s="50"/>
      <c r="Q382" s="51"/>
      <c r="R382" s="51"/>
      <c r="S382" s="51"/>
      <c r="T382" s="51"/>
      <c r="U382" s="51"/>
      <c r="V382" s="51"/>
      <c r="W382" s="51"/>
    </row>
    <row r="383" spans="1:23" x14ac:dyDescent="0.3">
      <c r="A383" s="12" t="s">
        <v>451</v>
      </c>
      <c r="B383" s="19">
        <v>42306</v>
      </c>
      <c r="C383" s="46" t="s">
        <v>11</v>
      </c>
      <c r="D383" s="13" t="s">
        <v>12</v>
      </c>
      <c r="E383" s="13" t="s">
        <v>51</v>
      </c>
      <c r="F383" s="13" t="s">
        <v>81</v>
      </c>
      <c r="G383" s="13">
        <v>24</v>
      </c>
      <c r="H383" s="13">
        <v>6</v>
      </c>
      <c r="I383" s="13">
        <v>144</v>
      </c>
      <c r="J383" s="14" t="s">
        <v>26</v>
      </c>
      <c r="N383" s="50"/>
      <c r="Q383" s="51"/>
      <c r="R383" s="51"/>
      <c r="S383" s="51"/>
      <c r="T383" s="51"/>
      <c r="U383" s="51"/>
      <c r="V383" s="51"/>
      <c r="W383" s="51"/>
    </row>
    <row r="384" spans="1:23" x14ac:dyDescent="0.3">
      <c r="A384" s="12" t="s">
        <v>452</v>
      </c>
      <c r="B384" s="19">
        <v>42306</v>
      </c>
      <c r="C384" s="46" t="s">
        <v>20</v>
      </c>
      <c r="D384" s="13" t="s">
        <v>12</v>
      </c>
      <c r="E384" s="13" t="s">
        <v>51</v>
      </c>
      <c r="F384" s="13" t="s">
        <v>81</v>
      </c>
      <c r="G384" s="13">
        <v>7</v>
      </c>
      <c r="H384" s="13">
        <v>4</v>
      </c>
      <c r="I384" s="13">
        <v>28</v>
      </c>
      <c r="J384" s="14" t="s">
        <v>26</v>
      </c>
      <c r="N384" s="50"/>
      <c r="Q384" s="51"/>
      <c r="R384" s="51"/>
      <c r="S384" s="51"/>
      <c r="T384" s="51"/>
      <c r="U384" s="51"/>
      <c r="V384" s="51"/>
      <c r="W384" s="51"/>
    </row>
    <row r="385" spans="1:23" x14ac:dyDescent="0.3">
      <c r="A385" s="12" t="s">
        <v>453</v>
      </c>
      <c r="B385" s="19">
        <v>42306</v>
      </c>
      <c r="C385" s="46" t="s">
        <v>28</v>
      </c>
      <c r="D385" s="13" t="s">
        <v>12</v>
      </c>
      <c r="E385" s="13" t="s">
        <v>51</v>
      </c>
      <c r="F385" s="13" t="s">
        <v>81</v>
      </c>
      <c r="G385" s="13">
        <v>9.65</v>
      </c>
      <c r="H385" s="13">
        <v>12</v>
      </c>
      <c r="I385" s="13">
        <v>115.80000000000001</v>
      </c>
      <c r="J385" s="14" t="s">
        <v>26</v>
      </c>
      <c r="N385" s="50"/>
      <c r="Q385" s="51"/>
      <c r="R385" s="51"/>
      <c r="S385" s="51"/>
      <c r="T385" s="51"/>
      <c r="U385" s="51"/>
      <c r="V385" s="51"/>
      <c r="W385" s="51"/>
    </row>
    <row r="386" spans="1:23" x14ac:dyDescent="0.3">
      <c r="A386" s="12" t="s">
        <v>454</v>
      </c>
      <c r="B386" s="19">
        <v>42309</v>
      </c>
      <c r="C386" s="46" t="s">
        <v>28</v>
      </c>
      <c r="D386" s="13" t="s">
        <v>45</v>
      </c>
      <c r="E386" s="13" t="s">
        <v>13</v>
      </c>
      <c r="F386" s="13" t="s">
        <v>14</v>
      </c>
      <c r="G386" s="13">
        <v>21</v>
      </c>
      <c r="H386" s="13">
        <v>5</v>
      </c>
      <c r="I386" s="13">
        <v>105</v>
      </c>
      <c r="J386" s="14" t="s">
        <v>15</v>
      </c>
      <c r="N386" s="50"/>
      <c r="Q386" s="51"/>
      <c r="R386" s="51"/>
      <c r="S386" s="51"/>
      <c r="T386" s="51"/>
      <c r="U386" s="51"/>
      <c r="V386" s="51"/>
      <c r="W386" s="51"/>
    </row>
    <row r="387" spans="1:23" x14ac:dyDescent="0.3">
      <c r="A387" s="12" t="s">
        <v>455</v>
      </c>
      <c r="B387" s="19">
        <v>42310</v>
      </c>
      <c r="C387" s="46" t="s">
        <v>28</v>
      </c>
      <c r="D387" s="13" t="s">
        <v>12</v>
      </c>
      <c r="E387" s="13" t="s">
        <v>51</v>
      </c>
      <c r="F387" s="13" t="s">
        <v>81</v>
      </c>
      <c r="G387" s="13">
        <v>24</v>
      </c>
      <c r="H387" s="13">
        <v>12</v>
      </c>
      <c r="I387" s="13">
        <v>288</v>
      </c>
      <c r="J387" s="14" t="s">
        <v>26</v>
      </c>
      <c r="N387" s="50"/>
      <c r="Q387" s="51"/>
      <c r="R387" s="51"/>
      <c r="S387" s="51"/>
      <c r="T387" s="51"/>
      <c r="U387" s="51"/>
      <c r="V387" s="51"/>
      <c r="W387" s="51"/>
    </row>
    <row r="388" spans="1:23" x14ac:dyDescent="0.3">
      <c r="A388" s="12" t="s">
        <v>456</v>
      </c>
      <c r="B388" s="19">
        <v>42310</v>
      </c>
      <c r="C388" s="46" t="s">
        <v>28</v>
      </c>
      <c r="D388" s="13" t="s">
        <v>12</v>
      </c>
      <c r="E388" s="13" t="s">
        <v>21</v>
      </c>
      <c r="F388" s="13" t="s">
        <v>22</v>
      </c>
      <c r="G388" s="13">
        <v>25.89</v>
      </c>
      <c r="H388" s="13">
        <v>15</v>
      </c>
      <c r="I388" s="13">
        <v>388.35</v>
      </c>
      <c r="J388" s="14" t="s">
        <v>26</v>
      </c>
      <c r="N388" s="50"/>
      <c r="Q388" s="51"/>
      <c r="R388" s="51"/>
      <c r="S388" s="51"/>
      <c r="T388" s="51"/>
      <c r="U388" s="51"/>
      <c r="V388" s="51"/>
      <c r="W388" s="51"/>
    </row>
    <row r="389" spans="1:23" x14ac:dyDescent="0.3">
      <c r="A389" s="12" t="s">
        <v>457</v>
      </c>
      <c r="B389" s="19">
        <v>42310</v>
      </c>
      <c r="C389" s="46" t="s">
        <v>11</v>
      </c>
      <c r="D389" s="13" t="s">
        <v>12</v>
      </c>
      <c r="E389" s="13" t="s">
        <v>51</v>
      </c>
      <c r="F389" s="13" t="s">
        <v>81</v>
      </c>
      <c r="G389" s="13">
        <v>18.399999999999999</v>
      </c>
      <c r="H389" s="13">
        <v>6</v>
      </c>
      <c r="I389" s="13">
        <v>110.39999999999999</v>
      </c>
      <c r="J389" s="14" t="s">
        <v>26</v>
      </c>
      <c r="N389" s="50"/>
      <c r="Q389" s="51"/>
      <c r="R389" s="51"/>
      <c r="S389" s="51"/>
      <c r="T389" s="51"/>
      <c r="U389" s="51"/>
      <c r="V389" s="51"/>
      <c r="W389" s="51"/>
    </row>
    <row r="390" spans="1:23" x14ac:dyDescent="0.3">
      <c r="A390" s="12" t="s">
        <v>458</v>
      </c>
      <c r="B390" s="19">
        <v>42313</v>
      </c>
      <c r="C390" s="46" t="s">
        <v>20</v>
      </c>
      <c r="D390" s="13" t="s">
        <v>12</v>
      </c>
      <c r="E390" s="13" t="s">
        <v>17</v>
      </c>
      <c r="F390" s="13" t="s">
        <v>134</v>
      </c>
      <c r="G390" s="13">
        <v>18</v>
      </c>
      <c r="H390" s="13">
        <v>20</v>
      </c>
      <c r="I390" s="13">
        <v>360</v>
      </c>
      <c r="J390" s="14" t="s">
        <v>26</v>
      </c>
      <c r="N390" s="50"/>
      <c r="Q390" s="51"/>
      <c r="R390" s="51"/>
      <c r="S390" s="51"/>
      <c r="T390" s="51"/>
      <c r="U390" s="51"/>
      <c r="V390" s="51"/>
      <c r="W390" s="51"/>
    </row>
    <row r="391" spans="1:23" x14ac:dyDescent="0.3">
      <c r="A391" s="12" t="s">
        <v>459</v>
      </c>
      <c r="B391" s="19">
        <v>42313</v>
      </c>
      <c r="C391" s="46" t="s">
        <v>11</v>
      </c>
      <c r="D391" s="13" t="s">
        <v>12</v>
      </c>
      <c r="E391" s="13" t="s">
        <v>21</v>
      </c>
      <c r="F391" s="13" t="s">
        <v>39</v>
      </c>
      <c r="G391" s="13">
        <v>25</v>
      </c>
      <c r="H391" s="13">
        <v>30</v>
      </c>
      <c r="I391" s="13">
        <v>750</v>
      </c>
      <c r="J391" s="14" t="s">
        <v>26</v>
      </c>
      <c r="N391" s="50"/>
      <c r="Q391" s="51"/>
      <c r="R391" s="51"/>
      <c r="S391" s="51"/>
      <c r="T391" s="51"/>
      <c r="U391" s="51"/>
      <c r="V391" s="51"/>
      <c r="W391" s="51"/>
    </row>
    <row r="392" spans="1:23" x14ac:dyDescent="0.3">
      <c r="A392" s="12" t="s">
        <v>460</v>
      </c>
      <c r="B392" s="19">
        <v>42313</v>
      </c>
      <c r="C392" s="46" t="s">
        <v>20</v>
      </c>
      <c r="D392" s="13" t="s">
        <v>12</v>
      </c>
      <c r="E392" s="13" t="s">
        <v>13</v>
      </c>
      <c r="F392" s="13" t="s">
        <v>14</v>
      </c>
      <c r="G392" s="13">
        <v>25.89</v>
      </c>
      <c r="H392" s="13">
        <v>15</v>
      </c>
      <c r="I392" s="13">
        <v>388.35</v>
      </c>
      <c r="J392" s="14" t="s">
        <v>26</v>
      </c>
      <c r="N392" s="50"/>
      <c r="Q392" s="51"/>
      <c r="R392" s="51"/>
      <c r="S392" s="51"/>
      <c r="T392" s="51"/>
      <c r="U392" s="51"/>
      <c r="V392" s="51"/>
      <c r="W392" s="51"/>
    </row>
    <row r="393" spans="1:23" x14ac:dyDescent="0.3">
      <c r="A393" s="12" t="s">
        <v>461</v>
      </c>
      <c r="B393" s="19">
        <v>42326</v>
      </c>
      <c r="C393" s="46" t="s">
        <v>31</v>
      </c>
      <c r="D393" s="13" t="s">
        <v>45</v>
      </c>
      <c r="E393" s="13" t="s">
        <v>17</v>
      </c>
      <c r="F393" s="13" t="s">
        <v>134</v>
      </c>
      <c r="G393" s="13">
        <v>18</v>
      </c>
      <c r="H393" s="13">
        <v>10</v>
      </c>
      <c r="I393" s="13">
        <v>180</v>
      </c>
      <c r="J393" s="14" t="s">
        <v>26</v>
      </c>
      <c r="N393" s="50"/>
      <c r="Q393" s="51"/>
      <c r="R393" s="51"/>
      <c r="S393" s="51"/>
      <c r="T393" s="51"/>
      <c r="U393" s="51"/>
      <c r="V393" s="51"/>
      <c r="W393" s="51"/>
    </row>
    <row r="394" spans="1:23" x14ac:dyDescent="0.3">
      <c r="A394" s="12" t="s">
        <v>462</v>
      </c>
      <c r="B394" s="19">
        <v>42326</v>
      </c>
      <c r="C394" s="46" t="s">
        <v>11</v>
      </c>
      <c r="D394" s="13" t="s">
        <v>45</v>
      </c>
      <c r="E394" s="13" t="s">
        <v>34</v>
      </c>
      <c r="F394" s="13" t="s">
        <v>64</v>
      </c>
      <c r="G394" s="13">
        <v>38</v>
      </c>
      <c r="H394" s="13">
        <v>15</v>
      </c>
      <c r="I394" s="13">
        <v>570</v>
      </c>
      <c r="J394" s="14" t="s">
        <v>26</v>
      </c>
      <c r="N394" s="50"/>
      <c r="Q394" s="51"/>
      <c r="R394" s="51"/>
      <c r="S394" s="51"/>
      <c r="T394" s="51"/>
      <c r="U394" s="51"/>
      <c r="V394" s="51"/>
      <c r="W394" s="51"/>
    </row>
    <row r="395" spans="1:23" x14ac:dyDescent="0.3">
      <c r="A395" s="12" t="s">
        <v>463</v>
      </c>
      <c r="B395" s="19">
        <v>42326</v>
      </c>
      <c r="C395" s="46" t="s">
        <v>28</v>
      </c>
      <c r="D395" s="13" t="s">
        <v>45</v>
      </c>
      <c r="E395" s="13" t="s">
        <v>13</v>
      </c>
      <c r="F395" s="13" t="s">
        <v>66</v>
      </c>
      <c r="G395" s="13">
        <v>55</v>
      </c>
      <c r="H395" s="13">
        <v>6</v>
      </c>
      <c r="I395" s="13">
        <v>330</v>
      </c>
      <c r="J395" s="14" t="s">
        <v>26</v>
      </c>
      <c r="N395" s="50"/>
      <c r="Q395" s="51"/>
      <c r="R395" s="51"/>
      <c r="S395" s="51"/>
      <c r="T395" s="51"/>
      <c r="U395" s="51"/>
      <c r="V395" s="51"/>
      <c r="W395" s="51"/>
    </row>
    <row r="396" spans="1:23" x14ac:dyDescent="0.3">
      <c r="A396" s="12" t="s">
        <v>464</v>
      </c>
      <c r="B396" s="19">
        <v>42330</v>
      </c>
      <c r="C396" s="46" t="s">
        <v>28</v>
      </c>
      <c r="D396" s="13" t="s">
        <v>45</v>
      </c>
      <c r="E396" s="13" t="s">
        <v>17</v>
      </c>
      <c r="F396" s="13" t="s">
        <v>79</v>
      </c>
      <c r="G396" s="13">
        <v>18</v>
      </c>
      <c r="H396" s="13">
        <v>8</v>
      </c>
      <c r="I396" s="13">
        <v>144</v>
      </c>
      <c r="J396" s="14" t="s">
        <v>26</v>
      </c>
      <c r="N396" s="50"/>
      <c r="Q396" s="51"/>
      <c r="R396" s="51"/>
      <c r="S396" s="51"/>
      <c r="T396" s="51"/>
      <c r="U396" s="51"/>
      <c r="V396" s="51"/>
      <c r="W396" s="51"/>
    </row>
    <row r="397" spans="1:23" x14ac:dyDescent="0.3">
      <c r="A397" s="12" t="s">
        <v>465</v>
      </c>
      <c r="B397" s="19">
        <v>42330</v>
      </c>
      <c r="C397" s="46" t="s">
        <v>11</v>
      </c>
      <c r="D397" s="13" t="s">
        <v>45</v>
      </c>
      <c r="E397" s="13" t="s">
        <v>13</v>
      </c>
      <c r="F397" s="13" t="s">
        <v>186</v>
      </c>
      <c r="G397" s="13">
        <v>36</v>
      </c>
      <c r="H397" s="13">
        <v>3</v>
      </c>
      <c r="I397" s="13">
        <v>108</v>
      </c>
      <c r="J397" s="14" t="s">
        <v>26</v>
      </c>
      <c r="N397" s="50"/>
      <c r="Q397" s="51"/>
      <c r="R397" s="51"/>
      <c r="S397" s="51"/>
      <c r="T397" s="51"/>
      <c r="U397" s="51"/>
      <c r="V397" s="51"/>
      <c r="W397" s="51"/>
    </row>
    <row r="398" spans="1:23" x14ac:dyDescent="0.3">
      <c r="A398" s="12" t="s">
        <v>466</v>
      </c>
      <c r="B398" s="19">
        <v>42344</v>
      </c>
      <c r="C398" s="46" t="s">
        <v>28</v>
      </c>
      <c r="D398" s="13" t="s">
        <v>45</v>
      </c>
      <c r="E398" s="13" t="s">
        <v>13</v>
      </c>
      <c r="F398" s="13" t="s">
        <v>14</v>
      </c>
      <c r="G398" s="13">
        <v>21</v>
      </c>
      <c r="H398" s="13">
        <v>4</v>
      </c>
      <c r="I398" s="13">
        <v>84</v>
      </c>
      <c r="J398" s="14" t="s">
        <v>26</v>
      </c>
      <c r="N398" s="50"/>
      <c r="Q398" s="51"/>
      <c r="R398" s="51"/>
      <c r="S398" s="51"/>
      <c r="T398" s="51"/>
      <c r="U398" s="51"/>
      <c r="V398" s="51"/>
      <c r="W398" s="51"/>
    </row>
    <row r="399" spans="1:23" x14ac:dyDescent="0.3">
      <c r="A399" s="12" t="s">
        <v>467</v>
      </c>
      <c r="B399" s="19">
        <v>42344</v>
      </c>
      <c r="C399" s="46" t="s">
        <v>11</v>
      </c>
      <c r="D399" s="13" t="s">
        <v>45</v>
      </c>
      <c r="E399" s="13" t="s">
        <v>13</v>
      </c>
      <c r="F399" s="13" t="s">
        <v>99</v>
      </c>
      <c r="G399" s="13">
        <v>12.5</v>
      </c>
      <c r="H399" s="13">
        <v>50</v>
      </c>
      <c r="I399" s="13">
        <v>625</v>
      </c>
      <c r="J399" s="14" t="s">
        <v>26</v>
      </c>
      <c r="N399" s="50"/>
      <c r="Q399" s="51"/>
      <c r="R399" s="51"/>
      <c r="S399" s="51"/>
      <c r="T399" s="51"/>
      <c r="U399" s="51"/>
      <c r="V399" s="51"/>
      <c r="W399" s="51"/>
    </row>
    <row r="400" spans="1:23" x14ac:dyDescent="0.3">
      <c r="A400" s="12" t="s">
        <v>468</v>
      </c>
      <c r="B400" s="19">
        <v>42344</v>
      </c>
      <c r="C400" s="46" t="s">
        <v>28</v>
      </c>
      <c r="D400" s="13" t="s">
        <v>45</v>
      </c>
      <c r="E400" s="13" t="s">
        <v>13</v>
      </c>
      <c r="F400" s="13" t="s">
        <v>124</v>
      </c>
      <c r="G400" s="13">
        <v>21.5</v>
      </c>
      <c r="H400" s="13">
        <v>12</v>
      </c>
      <c r="I400" s="13">
        <v>258</v>
      </c>
      <c r="J400" s="14" t="s">
        <v>26</v>
      </c>
      <c r="N400" s="50"/>
      <c r="Q400" s="51"/>
      <c r="R400" s="51"/>
      <c r="S400" s="51"/>
      <c r="T400" s="51"/>
      <c r="U400" s="51"/>
      <c r="V400" s="51"/>
      <c r="W400" s="51"/>
    </row>
    <row r="401" spans="1:23" x14ac:dyDescent="0.3">
      <c r="A401" s="12" t="s">
        <v>469</v>
      </c>
      <c r="B401" s="19">
        <v>42345</v>
      </c>
      <c r="C401" s="46" t="s">
        <v>20</v>
      </c>
      <c r="D401" s="13" t="s">
        <v>12</v>
      </c>
      <c r="E401" s="13" t="s">
        <v>13</v>
      </c>
      <c r="F401" s="13" t="s">
        <v>14</v>
      </c>
      <c r="G401" s="13">
        <v>21</v>
      </c>
      <c r="H401" s="13">
        <v>15</v>
      </c>
      <c r="I401" s="13">
        <v>315</v>
      </c>
      <c r="J401" s="14" t="s">
        <v>26</v>
      </c>
      <c r="N401" s="50"/>
      <c r="Q401" s="51"/>
      <c r="R401" s="51"/>
      <c r="S401" s="51"/>
      <c r="T401" s="51"/>
      <c r="U401" s="51"/>
      <c r="V401" s="51"/>
      <c r="W401" s="51"/>
    </row>
    <row r="402" spans="1:23" x14ac:dyDescent="0.3">
      <c r="A402" s="12" t="s">
        <v>470</v>
      </c>
      <c r="B402" s="19">
        <v>42351</v>
      </c>
      <c r="C402" s="46" t="s">
        <v>20</v>
      </c>
      <c r="D402" s="13" t="s">
        <v>12</v>
      </c>
      <c r="E402" s="13" t="s">
        <v>51</v>
      </c>
      <c r="F402" s="13" t="s">
        <v>81</v>
      </c>
      <c r="G402" s="13">
        <v>14</v>
      </c>
      <c r="H402" s="13">
        <v>20</v>
      </c>
      <c r="I402" s="13">
        <v>280</v>
      </c>
      <c r="J402" s="14" t="s">
        <v>26</v>
      </c>
      <c r="N402" s="50"/>
      <c r="Q402" s="51"/>
      <c r="R402" s="51"/>
      <c r="S402" s="51"/>
      <c r="T402" s="51"/>
      <c r="U402" s="51"/>
      <c r="V402" s="51"/>
      <c r="W402" s="51"/>
    </row>
    <row r="403" spans="1:23" x14ac:dyDescent="0.3">
      <c r="A403" s="12" t="s">
        <v>471</v>
      </c>
      <c r="B403" s="19">
        <v>42353</v>
      </c>
      <c r="C403" s="46" t="s">
        <v>31</v>
      </c>
      <c r="D403" s="13" t="s">
        <v>24</v>
      </c>
      <c r="E403" s="13" t="s">
        <v>13</v>
      </c>
      <c r="F403" s="13" t="s">
        <v>99</v>
      </c>
      <c r="G403" s="13">
        <v>12.5</v>
      </c>
      <c r="H403" s="13">
        <v>1</v>
      </c>
      <c r="I403" s="13">
        <v>12.5</v>
      </c>
      <c r="J403" s="14" t="s">
        <v>26</v>
      </c>
      <c r="N403" s="50"/>
      <c r="Q403" s="51"/>
      <c r="R403" s="51"/>
      <c r="S403" s="51"/>
      <c r="T403" s="51"/>
      <c r="U403" s="51"/>
      <c r="V403" s="51"/>
      <c r="W403" s="51"/>
    </row>
    <row r="404" spans="1:23" x14ac:dyDescent="0.3">
      <c r="A404" s="12" t="s">
        <v>472</v>
      </c>
      <c r="B404" s="19">
        <v>42354</v>
      </c>
      <c r="C404" s="46" t="s">
        <v>11</v>
      </c>
      <c r="D404" s="13" t="s">
        <v>12</v>
      </c>
      <c r="E404" s="13" t="s">
        <v>17</v>
      </c>
      <c r="F404" s="13" t="s">
        <v>32</v>
      </c>
      <c r="G404" s="13">
        <v>263.5</v>
      </c>
      <c r="H404" s="13">
        <v>5</v>
      </c>
      <c r="I404" s="13">
        <v>1317.5</v>
      </c>
      <c r="J404" s="14" t="s">
        <v>26</v>
      </c>
      <c r="N404" s="50"/>
      <c r="Q404" s="51"/>
      <c r="R404" s="51"/>
      <c r="S404" s="51"/>
      <c r="T404" s="51"/>
      <c r="U404" s="51"/>
      <c r="V404" s="51"/>
      <c r="W404" s="51"/>
    </row>
    <row r="405" spans="1:23" x14ac:dyDescent="0.3">
      <c r="A405" s="12" t="s">
        <v>473</v>
      </c>
      <c r="B405" s="19">
        <v>42354</v>
      </c>
      <c r="C405" s="46" t="s">
        <v>11</v>
      </c>
      <c r="D405" s="13" t="s">
        <v>12</v>
      </c>
      <c r="E405" s="13" t="s">
        <v>13</v>
      </c>
      <c r="F405" s="13" t="s">
        <v>99</v>
      </c>
      <c r="G405" s="13">
        <v>12.5</v>
      </c>
      <c r="H405" s="13">
        <v>10</v>
      </c>
      <c r="I405" s="13">
        <v>125</v>
      </c>
      <c r="J405" s="14" t="s">
        <v>26</v>
      </c>
      <c r="N405" s="50"/>
      <c r="Q405" s="51"/>
      <c r="R405" s="51"/>
      <c r="S405" s="51"/>
      <c r="T405" s="51"/>
      <c r="U405" s="51"/>
      <c r="V405" s="51"/>
      <c r="W405" s="51"/>
    </row>
    <row r="406" spans="1:23" x14ac:dyDescent="0.3">
      <c r="A406" s="12" t="s">
        <v>474</v>
      </c>
      <c r="B406" s="19">
        <v>42355</v>
      </c>
      <c r="C406" s="46" t="s">
        <v>20</v>
      </c>
      <c r="D406" s="13" t="s">
        <v>12</v>
      </c>
      <c r="E406" s="13" t="s">
        <v>21</v>
      </c>
      <c r="F406" s="13" t="s">
        <v>47</v>
      </c>
      <c r="G406" s="13">
        <v>40</v>
      </c>
      <c r="H406" s="13">
        <v>30</v>
      </c>
      <c r="I406" s="13">
        <v>1200</v>
      </c>
      <c r="J406" s="14" t="s">
        <v>15</v>
      </c>
      <c r="N406" s="50"/>
      <c r="Q406" s="51"/>
      <c r="R406" s="51"/>
      <c r="S406" s="51"/>
      <c r="T406" s="51"/>
      <c r="U406" s="51"/>
      <c r="V406" s="51"/>
      <c r="W406" s="51"/>
    </row>
    <row r="407" spans="1:23" x14ac:dyDescent="0.3">
      <c r="A407" s="12" t="s">
        <v>475</v>
      </c>
      <c r="B407" s="19">
        <v>42355</v>
      </c>
      <c r="C407" s="46" t="s">
        <v>28</v>
      </c>
      <c r="D407" s="13" t="s">
        <v>12</v>
      </c>
      <c r="E407" s="13" t="s">
        <v>21</v>
      </c>
      <c r="F407" s="13" t="s">
        <v>22</v>
      </c>
      <c r="G407" s="13">
        <v>25.89</v>
      </c>
      <c r="H407" s="13">
        <v>15</v>
      </c>
      <c r="I407" s="13">
        <v>388.35</v>
      </c>
      <c r="J407" s="14" t="s">
        <v>15</v>
      </c>
      <c r="N407" s="50"/>
      <c r="Q407" s="51"/>
      <c r="R407" s="51"/>
      <c r="S407" s="51"/>
      <c r="T407" s="51"/>
      <c r="U407" s="51"/>
      <c r="V407" s="51"/>
      <c r="W407" s="51"/>
    </row>
    <row r="408" spans="1:23" x14ac:dyDescent="0.3">
      <c r="A408" s="12" t="s">
        <v>476</v>
      </c>
      <c r="B408" s="19">
        <v>42358</v>
      </c>
      <c r="C408" s="46" t="s">
        <v>31</v>
      </c>
      <c r="D408" s="13" t="s">
        <v>12</v>
      </c>
      <c r="E408" s="13" t="s">
        <v>17</v>
      </c>
      <c r="F408" s="13" t="s">
        <v>54</v>
      </c>
      <c r="G408" s="13">
        <v>30</v>
      </c>
      <c r="H408" s="13">
        <v>3</v>
      </c>
      <c r="I408" s="13">
        <v>90</v>
      </c>
      <c r="J408" s="14" t="s">
        <v>15</v>
      </c>
      <c r="N408" s="50"/>
      <c r="Q408" s="51"/>
      <c r="R408" s="51"/>
      <c r="S408" s="51"/>
      <c r="T408" s="51"/>
      <c r="U408" s="51"/>
      <c r="V408" s="51"/>
      <c r="W408" s="51"/>
    </row>
    <row r="409" spans="1:23" x14ac:dyDescent="0.3">
      <c r="A409" s="12" t="s">
        <v>477</v>
      </c>
      <c r="B409" s="19">
        <v>42358</v>
      </c>
      <c r="C409" s="46" t="s">
        <v>20</v>
      </c>
      <c r="D409" s="13" t="s">
        <v>12</v>
      </c>
      <c r="E409" s="13" t="s">
        <v>21</v>
      </c>
      <c r="F409" s="13" t="s">
        <v>22</v>
      </c>
      <c r="G409" s="13">
        <v>38</v>
      </c>
      <c r="H409" s="13">
        <v>20</v>
      </c>
      <c r="I409" s="13">
        <v>760</v>
      </c>
      <c r="J409" s="14" t="s">
        <v>15</v>
      </c>
      <c r="N409" s="50"/>
      <c r="Q409" s="51"/>
      <c r="R409" s="51"/>
      <c r="S409" s="51"/>
      <c r="T409" s="51"/>
      <c r="U409" s="51"/>
      <c r="V409" s="51"/>
      <c r="W409" s="51"/>
    </row>
    <row r="410" spans="1:23" x14ac:dyDescent="0.3">
      <c r="A410" s="12" t="s">
        <v>478</v>
      </c>
      <c r="B410" s="19">
        <v>42360</v>
      </c>
      <c r="C410" s="46" t="s">
        <v>11</v>
      </c>
      <c r="D410" s="13" t="s">
        <v>12</v>
      </c>
      <c r="E410" s="13" t="s">
        <v>51</v>
      </c>
      <c r="F410" s="13" t="s">
        <v>268</v>
      </c>
      <c r="G410" s="13">
        <v>7.45</v>
      </c>
      <c r="H410" s="13">
        <v>6</v>
      </c>
      <c r="I410" s="13">
        <v>44.7</v>
      </c>
      <c r="J410" s="14" t="s">
        <v>15</v>
      </c>
      <c r="N410" s="50"/>
      <c r="Q410" s="51"/>
      <c r="R410" s="51"/>
      <c r="S410" s="51"/>
      <c r="T410" s="51"/>
      <c r="U410" s="51"/>
      <c r="V410" s="51"/>
      <c r="W410" s="51"/>
    </row>
    <row r="411" spans="1:23" x14ac:dyDescent="0.3">
      <c r="A411" s="12" t="s">
        <v>479</v>
      </c>
      <c r="B411" s="19">
        <v>42360</v>
      </c>
      <c r="C411" s="46" t="s">
        <v>11</v>
      </c>
      <c r="D411" s="13" t="s">
        <v>12</v>
      </c>
      <c r="E411" s="13" t="s">
        <v>51</v>
      </c>
      <c r="F411" s="13" t="s">
        <v>81</v>
      </c>
      <c r="G411" s="13">
        <v>23.25</v>
      </c>
      <c r="H411" s="13">
        <v>15</v>
      </c>
      <c r="I411" s="13">
        <v>348.75</v>
      </c>
      <c r="J411" s="14" t="s">
        <v>15</v>
      </c>
      <c r="N411" s="50"/>
      <c r="Q411" s="51"/>
      <c r="R411" s="51"/>
      <c r="S411" s="51"/>
      <c r="T411" s="51"/>
      <c r="U411" s="51"/>
      <c r="V411" s="51"/>
      <c r="W411" s="51"/>
    </row>
    <row r="412" spans="1:23" x14ac:dyDescent="0.3">
      <c r="A412" s="12" t="s">
        <v>480</v>
      </c>
      <c r="B412" s="19">
        <v>42360</v>
      </c>
      <c r="C412" s="46" t="s">
        <v>28</v>
      </c>
      <c r="D412" s="13" t="s">
        <v>45</v>
      </c>
      <c r="E412" s="13" t="s">
        <v>17</v>
      </c>
      <c r="F412" s="13" t="s">
        <v>54</v>
      </c>
      <c r="G412" s="13">
        <v>7</v>
      </c>
      <c r="H412" s="13">
        <v>8</v>
      </c>
      <c r="I412" s="13">
        <v>56</v>
      </c>
      <c r="J412" s="14" t="s">
        <v>26</v>
      </c>
      <c r="N412" s="50"/>
      <c r="Q412" s="51"/>
      <c r="R412" s="51"/>
      <c r="S412" s="51"/>
      <c r="T412" s="51"/>
      <c r="U412" s="51"/>
      <c r="V412" s="51"/>
      <c r="W412" s="51"/>
    </row>
    <row r="413" spans="1:23" x14ac:dyDescent="0.3">
      <c r="A413" s="12" t="s">
        <v>481</v>
      </c>
      <c r="B413" s="19">
        <v>42360</v>
      </c>
      <c r="C413" s="46" t="s">
        <v>28</v>
      </c>
      <c r="D413" s="13" t="s">
        <v>45</v>
      </c>
      <c r="E413" s="13" t="s">
        <v>51</v>
      </c>
      <c r="F413" s="13" t="s">
        <v>81</v>
      </c>
      <c r="G413" s="13">
        <v>9.65</v>
      </c>
      <c r="H413" s="13">
        <v>14</v>
      </c>
      <c r="I413" s="13">
        <v>135.1</v>
      </c>
      <c r="J413" s="14" t="s">
        <v>26</v>
      </c>
      <c r="N413" s="50"/>
      <c r="Q413" s="51"/>
      <c r="R413" s="51"/>
      <c r="S413" s="51"/>
      <c r="T413" s="51"/>
      <c r="U413" s="51"/>
      <c r="V413" s="51"/>
      <c r="W413" s="51"/>
    </row>
    <row r="414" spans="1:23" x14ac:dyDescent="0.3">
      <c r="A414" s="12" t="s">
        <v>482</v>
      </c>
      <c r="B414" s="19">
        <v>42362</v>
      </c>
      <c r="C414" s="46" t="s">
        <v>31</v>
      </c>
      <c r="D414" s="13" t="s">
        <v>45</v>
      </c>
      <c r="E414" s="13" t="s">
        <v>13</v>
      </c>
      <c r="F414" s="13" t="s">
        <v>56</v>
      </c>
      <c r="G414" s="13">
        <v>34.799999999999997</v>
      </c>
      <c r="H414" s="13">
        <v>10</v>
      </c>
      <c r="I414" s="13">
        <v>348</v>
      </c>
      <c r="J414" s="14" t="s">
        <v>15</v>
      </c>
      <c r="N414" s="50"/>
      <c r="Q414" s="51"/>
      <c r="R414" s="51"/>
      <c r="S414" s="51"/>
      <c r="T414" s="51"/>
      <c r="U414" s="51"/>
      <c r="V414" s="51"/>
      <c r="W414" s="51"/>
    </row>
    <row r="415" spans="1:23" x14ac:dyDescent="0.3">
      <c r="A415" s="12" t="s">
        <v>483</v>
      </c>
      <c r="B415" s="19">
        <v>42362</v>
      </c>
      <c r="C415" s="46" t="s">
        <v>28</v>
      </c>
      <c r="D415" s="13" t="s">
        <v>45</v>
      </c>
      <c r="E415" s="13" t="s">
        <v>34</v>
      </c>
      <c r="F415" s="13" t="s">
        <v>90</v>
      </c>
      <c r="G415" s="13">
        <v>49.3</v>
      </c>
      <c r="H415" s="13">
        <v>2</v>
      </c>
      <c r="I415" s="13">
        <v>98.6</v>
      </c>
      <c r="J415" s="14" t="s">
        <v>15</v>
      </c>
      <c r="N415" s="50"/>
      <c r="Q415" s="51"/>
      <c r="R415" s="51"/>
      <c r="S415" s="51"/>
      <c r="T415" s="51"/>
      <c r="U415" s="51"/>
      <c r="V415" s="51"/>
      <c r="W415" s="51"/>
    </row>
    <row r="416" spans="1:23" x14ac:dyDescent="0.3">
      <c r="A416" s="12" t="s">
        <v>484</v>
      </c>
      <c r="B416" s="19">
        <v>42362</v>
      </c>
      <c r="C416" s="46" t="s">
        <v>28</v>
      </c>
      <c r="D416" s="13" t="s">
        <v>45</v>
      </c>
      <c r="E416" s="13" t="s">
        <v>51</v>
      </c>
      <c r="F416" s="13" t="s">
        <v>268</v>
      </c>
      <c r="G416" s="13">
        <v>7.45</v>
      </c>
      <c r="H416" s="13">
        <v>7</v>
      </c>
      <c r="I416" s="13">
        <v>52.15</v>
      </c>
      <c r="J416" s="14" t="s">
        <v>26</v>
      </c>
      <c r="N416" s="50"/>
      <c r="Q416" s="51"/>
      <c r="R416" s="51"/>
      <c r="S416" s="51"/>
      <c r="T416" s="51"/>
      <c r="U416" s="51"/>
      <c r="V416" s="51"/>
      <c r="W416" s="51"/>
    </row>
    <row r="417" spans="1:23" x14ac:dyDescent="0.3">
      <c r="A417" s="12" t="s">
        <v>485</v>
      </c>
      <c r="B417" s="19">
        <v>42362</v>
      </c>
      <c r="C417" s="46" t="s">
        <v>31</v>
      </c>
      <c r="D417" s="13" t="s">
        <v>45</v>
      </c>
      <c r="E417" s="13" t="s">
        <v>34</v>
      </c>
      <c r="F417" s="13" t="s">
        <v>64</v>
      </c>
      <c r="G417" s="13">
        <v>53</v>
      </c>
      <c r="H417" s="13">
        <v>10</v>
      </c>
      <c r="I417" s="13">
        <v>530</v>
      </c>
      <c r="J417" s="14" t="s">
        <v>26</v>
      </c>
      <c r="N417" s="50"/>
      <c r="Q417" s="51"/>
      <c r="R417" s="51"/>
      <c r="S417" s="51"/>
      <c r="T417" s="51"/>
      <c r="U417" s="51"/>
      <c r="V417" s="51"/>
      <c r="W417" s="51"/>
    </row>
    <row r="418" spans="1:23" x14ac:dyDescent="0.3">
      <c r="A418" s="12" t="s">
        <v>486</v>
      </c>
      <c r="B418" s="19">
        <v>42362</v>
      </c>
      <c r="C418" s="46" t="s">
        <v>20</v>
      </c>
      <c r="D418" s="13" t="s">
        <v>45</v>
      </c>
      <c r="E418" s="13" t="s">
        <v>13</v>
      </c>
      <c r="F418" s="13" t="s">
        <v>14</v>
      </c>
      <c r="G418" s="13">
        <v>21</v>
      </c>
      <c r="H418" s="13">
        <v>50</v>
      </c>
      <c r="I418" s="13">
        <v>1050</v>
      </c>
      <c r="J418" s="14" t="s">
        <v>26</v>
      </c>
      <c r="N418" s="50"/>
      <c r="Q418" s="51"/>
      <c r="R418" s="51"/>
      <c r="S418" s="51"/>
      <c r="T418" s="51"/>
      <c r="U418" s="51"/>
      <c r="V418" s="51"/>
      <c r="W418" s="51"/>
    </row>
    <row r="419" spans="1:23" x14ac:dyDescent="0.3">
      <c r="A419" s="12" t="s">
        <v>487</v>
      </c>
      <c r="B419" s="19">
        <v>42365</v>
      </c>
      <c r="C419" s="46" t="s">
        <v>11</v>
      </c>
      <c r="D419" s="13" t="s">
        <v>85</v>
      </c>
      <c r="E419" s="13" t="s">
        <v>51</v>
      </c>
      <c r="F419" s="13" t="s">
        <v>118</v>
      </c>
      <c r="G419" s="13">
        <v>39</v>
      </c>
      <c r="H419" s="13">
        <v>40</v>
      </c>
      <c r="I419" s="13">
        <v>1560</v>
      </c>
      <c r="J419" s="14" t="s">
        <v>26</v>
      </c>
      <c r="N419" s="50"/>
      <c r="Q419" s="51"/>
      <c r="R419" s="51"/>
      <c r="S419" s="51"/>
      <c r="T419" s="51"/>
      <c r="U419" s="51"/>
      <c r="V419" s="51"/>
      <c r="W419" s="51"/>
    </row>
    <row r="420" spans="1:23" x14ac:dyDescent="0.3">
      <c r="A420" s="12" t="s">
        <v>488</v>
      </c>
      <c r="B420" s="19">
        <v>42365</v>
      </c>
      <c r="C420" s="46" t="s">
        <v>11</v>
      </c>
      <c r="D420" s="13" t="s">
        <v>85</v>
      </c>
      <c r="E420" s="13" t="s">
        <v>51</v>
      </c>
      <c r="F420" s="13" t="s">
        <v>52</v>
      </c>
      <c r="G420" s="13">
        <v>123.79</v>
      </c>
      <c r="H420" s="13">
        <v>20</v>
      </c>
      <c r="I420" s="13">
        <v>2475.8000000000002</v>
      </c>
      <c r="J420" s="14" t="s">
        <v>26</v>
      </c>
      <c r="N420" s="50"/>
      <c r="Q420" s="51"/>
      <c r="R420" s="51"/>
      <c r="S420" s="51"/>
      <c r="T420" s="51"/>
      <c r="U420" s="51"/>
      <c r="V420" s="51"/>
      <c r="W420" s="51"/>
    </row>
    <row r="421" spans="1:23" x14ac:dyDescent="0.3">
      <c r="A421" s="12" t="s">
        <v>489</v>
      </c>
      <c r="B421" s="19">
        <v>42366</v>
      </c>
      <c r="C421" s="46" t="s">
        <v>20</v>
      </c>
      <c r="D421" s="13" t="s">
        <v>12</v>
      </c>
      <c r="E421" s="13" t="s">
        <v>13</v>
      </c>
      <c r="F421" s="13" t="s">
        <v>66</v>
      </c>
      <c r="G421" s="13">
        <v>55</v>
      </c>
      <c r="H421" s="13">
        <v>15</v>
      </c>
      <c r="I421" s="13">
        <v>825</v>
      </c>
      <c r="J421" s="14" t="s">
        <v>15</v>
      </c>
      <c r="N421" s="50"/>
      <c r="Q421" s="51"/>
      <c r="R421" s="51"/>
      <c r="S421" s="51"/>
      <c r="T421" s="51"/>
      <c r="U421" s="51"/>
      <c r="V421" s="51"/>
      <c r="W421" s="51"/>
    </row>
    <row r="422" spans="1:23" x14ac:dyDescent="0.3">
      <c r="A422" s="12" t="s">
        <v>490</v>
      </c>
      <c r="B422" s="19">
        <v>42366</v>
      </c>
      <c r="C422" s="46" t="s">
        <v>11</v>
      </c>
      <c r="D422" s="13" t="s">
        <v>12</v>
      </c>
      <c r="E422" s="13" t="s">
        <v>34</v>
      </c>
      <c r="F422" s="13" t="s">
        <v>188</v>
      </c>
      <c r="G422" s="13">
        <v>9.1999999999999993</v>
      </c>
      <c r="H422" s="13">
        <v>24</v>
      </c>
      <c r="I422" s="13">
        <v>220.79999999999998</v>
      </c>
      <c r="J422" s="14" t="s">
        <v>15</v>
      </c>
      <c r="N422" s="50"/>
      <c r="Q422" s="51"/>
      <c r="R422" s="51"/>
      <c r="S422" s="51"/>
      <c r="T422" s="51"/>
      <c r="U422" s="51"/>
      <c r="V422" s="51"/>
      <c r="W422" s="51"/>
    </row>
    <row r="423" spans="1:23" x14ac:dyDescent="0.3">
      <c r="A423" s="12" t="s">
        <v>491</v>
      </c>
      <c r="B423" s="19">
        <v>42366</v>
      </c>
      <c r="C423" s="46" t="s">
        <v>20</v>
      </c>
      <c r="D423" s="13" t="s">
        <v>12</v>
      </c>
      <c r="E423" s="13" t="s">
        <v>34</v>
      </c>
      <c r="F423" s="13" t="s">
        <v>68</v>
      </c>
      <c r="G423" s="13">
        <v>14</v>
      </c>
      <c r="H423" s="13">
        <v>15</v>
      </c>
      <c r="I423" s="13">
        <v>210</v>
      </c>
      <c r="J423" s="14" t="s">
        <v>15</v>
      </c>
      <c r="N423" s="50"/>
      <c r="Q423" s="51"/>
      <c r="R423" s="51"/>
      <c r="S423" s="51"/>
      <c r="T423" s="51"/>
      <c r="U423" s="51"/>
      <c r="V423" s="51"/>
      <c r="W423" s="51"/>
    </row>
    <row r="424" spans="1:23" x14ac:dyDescent="0.3">
      <c r="A424" s="12" t="s">
        <v>492</v>
      </c>
      <c r="B424" s="19">
        <v>42366</v>
      </c>
      <c r="C424" s="46" t="s">
        <v>28</v>
      </c>
      <c r="D424" s="13" t="s">
        <v>45</v>
      </c>
      <c r="E424" s="13" t="s">
        <v>51</v>
      </c>
      <c r="F424" s="13" t="s">
        <v>81</v>
      </c>
      <c r="G424" s="13">
        <v>45.6</v>
      </c>
      <c r="H424" s="13">
        <v>24</v>
      </c>
      <c r="I424" s="13">
        <v>1094.4000000000001</v>
      </c>
      <c r="J424" s="14" t="s">
        <v>26</v>
      </c>
      <c r="N424" s="50"/>
      <c r="Q424" s="51"/>
      <c r="R424" s="51"/>
      <c r="S424" s="51"/>
      <c r="T424" s="51"/>
      <c r="U424" s="51"/>
      <c r="V424" s="51"/>
      <c r="W424" s="51"/>
    </row>
    <row r="425" spans="1:23" x14ac:dyDescent="0.3">
      <c r="A425" s="12" t="s">
        <v>493</v>
      </c>
      <c r="B425" s="19">
        <v>42366</v>
      </c>
      <c r="C425" s="46" t="s">
        <v>31</v>
      </c>
      <c r="D425" s="13" t="s">
        <v>45</v>
      </c>
      <c r="E425" s="13" t="s">
        <v>51</v>
      </c>
      <c r="F425" s="13" t="s">
        <v>81</v>
      </c>
      <c r="G425" s="13">
        <v>31</v>
      </c>
      <c r="H425" s="13">
        <v>36</v>
      </c>
      <c r="I425" s="13">
        <v>1116</v>
      </c>
      <c r="J425" s="14" t="s">
        <v>26</v>
      </c>
      <c r="N425" s="50"/>
      <c r="Q425" s="51"/>
      <c r="R425" s="51"/>
      <c r="S425" s="51"/>
      <c r="T425" s="51"/>
      <c r="U425" s="51"/>
      <c r="V425" s="51"/>
      <c r="W425" s="51"/>
    </row>
    <row r="426" spans="1:23" x14ac:dyDescent="0.3">
      <c r="A426" s="12" t="s">
        <v>494</v>
      </c>
      <c r="B426" s="19">
        <v>42366</v>
      </c>
      <c r="C426" s="46" t="s">
        <v>11</v>
      </c>
      <c r="D426" s="13" t="s">
        <v>45</v>
      </c>
      <c r="E426" s="13" t="s">
        <v>34</v>
      </c>
      <c r="F426" s="13" t="s">
        <v>75</v>
      </c>
      <c r="G426" s="13">
        <v>20</v>
      </c>
      <c r="H426" s="13">
        <v>4</v>
      </c>
      <c r="I426" s="13">
        <v>80</v>
      </c>
      <c r="J426" s="14" t="s">
        <v>26</v>
      </c>
      <c r="N426" s="50"/>
      <c r="Q426" s="51"/>
      <c r="R426" s="51"/>
      <c r="S426" s="51"/>
      <c r="T426" s="51"/>
      <c r="U426" s="51"/>
      <c r="V426" s="51"/>
      <c r="W426" s="51"/>
    </row>
    <row r="427" spans="1:23" x14ac:dyDescent="0.3">
      <c r="A427" s="12" t="s">
        <v>495</v>
      </c>
      <c r="B427" s="19">
        <v>42005</v>
      </c>
      <c r="C427" s="46" t="s">
        <v>11</v>
      </c>
      <c r="D427" s="13" t="s">
        <v>12</v>
      </c>
      <c r="E427" s="13" t="s">
        <v>13</v>
      </c>
      <c r="F427" s="13" t="s">
        <v>14</v>
      </c>
      <c r="G427" s="13">
        <v>45.6</v>
      </c>
      <c r="H427" s="13">
        <v>126</v>
      </c>
      <c r="I427" s="13">
        <v>5745.6</v>
      </c>
      <c r="J427" s="14" t="s">
        <v>15</v>
      </c>
      <c r="N427" s="50"/>
      <c r="Q427" s="51"/>
      <c r="R427" s="51"/>
      <c r="S427" s="51"/>
      <c r="T427" s="51"/>
      <c r="U427" s="51"/>
      <c r="V427" s="51"/>
      <c r="W427" s="51"/>
    </row>
    <row r="428" spans="1:23" x14ac:dyDescent="0.3">
      <c r="A428" s="12" t="s">
        <v>496</v>
      </c>
      <c r="B428" s="19">
        <v>42005</v>
      </c>
      <c r="C428" s="46" t="s">
        <v>20</v>
      </c>
      <c r="D428" s="13" t="s">
        <v>12</v>
      </c>
      <c r="E428" s="13" t="s">
        <v>21</v>
      </c>
      <c r="F428" s="13" t="s">
        <v>22</v>
      </c>
      <c r="G428" s="13">
        <v>19</v>
      </c>
      <c r="H428" s="13">
        <v>45</v>
      </c>
      <c r="I428" s="13">
        <v>855</v>
      </c>
      <c r="J428" s="14" t="s">
        <v>15</v>
      </c>
      <c r="N428" s="50"/>
      <c r="Q428" s="51"/>
      <c r="R428" s="51"/>
      <c r="S428" s="51"/>
      <c r="T428" s="51"/>
      <c r="U428" s="51"/>
      <c r="V428" s="51"/>
      <c r="W428" s="51"/>
    </row>
    <row r="429" spans="1:23" x14ac:dyDescent="0.3">
      <c r="A429" s="12" t="s">
        <v>497</v>
      </c>
      <c r="B429" s="19">
        <v>42005</v>
      </c>
      <c r="C429" s="46" t="s">
        <v>20</v>
      </c>
      <c r="D429" s="13" t="s">
        <v>12</v>
      </c>
      <c r="E429" s="13" t="s">
        <v>21</v>
      </c>
      <c r="F429" s="13" t="s">
        <v>22</v>
      </c>
      <c r="G429" s="13">
        <v>18.399999999999999</v>
      </c>
      <c r="H429" s="13">
        <v>14</v>
      </c>
      <c r="I429" s="13">
        <v>257.59999999999997</v>
      </c>
      <c r="J429" s="14" t="s">
        <v>15</v>
      </c>
      <c r="N429" s="50"/>
      <c r="Q429" s="51"/>
      <c r="R429" s="51"/>
      <c r="S429" s="51"/>
      <c r="T429" s="51"/>
      <c r="U429" s="51"/>
      <c r="V429" s="51"/>
      <c r="W429" s="51"/>
    </row>
    <row r="430" spans="1:23" x14ac:dyDescent="0.3">
      <c r="A430" s="12" t="s">
        <v>498</v>
      </c>
      <c r="B430" s="19">
        <v>42005</v>
      </c>
      <c r="C430" s="46" t="s">
        <v>20</v>
      </c>
      <c r="D430" s="13" t="s">
        <v>12</v>
      </c>
      <c r="E430" s="13" t="s">
        <v>34</v>
      </c>
      <c r="F430" s="13" t="s">
        <v>241</v>
      </c>
      <c r="G430" s="13">
        <v>10</v>
      </c>
      <c r="H430" s="13">
        <v>120</v>
      </c>
      <c r="I430" s="13">
        <v>1200</v>
      </c>
      <c r="J430" s="14" t="s">
        <v>15</v>
      </c>
      <c r="N430" s="50"/>
      <c r="Q430" s="51"/>
      <c r="R430" s="51"/>
      <c r="S430" s="51"/>
      <c r="T430" s="51"/>
      <c r="U430" s="51"/>
      <c r="V430" s="51"/>
      <c r="W430" s="51"/>
    </row>
    <row r="431" spans="1:23" x14ac:dyDescent="0.3">
      <c r="A431" s="12" t="s">
        <v>499</v>
      </c>
      <c r="B431" s="19">
        <v>42007</v>
      </c>
      <c r="C431" s="46" t="s">
        <v>20</v>
      </c>
      <c r="D431" s="13" t="s">
        <v>24</v>
      </c>
      <c r="E431" s="13" t="s">
        <v>17</v>
      </c>
      <c r="F431" s="13" t="s">
        <v>54</v>
      </c>
      <c r="G431" s="13">
        <v>23.25</v>
      </c>
      <c r="H431" s="13">
        <v>36</v>
      </c>
      <c r="I431" s="13">
        <v>837</v>
      </c>
      <c r="J431" s="14" t="s">
        <v>15</v>
      </c>
      <c r="N431" s="50"/>
      <c r="Q431" s="51"/>
      <c r="R431" s="51"/>
      <c r="S431" s="51"/>
      <c r="T431" s="51"/>
      <c r="U431" s="51"/>
      <c r="V431" s="51"/>
      <c r="W431" s="51"/>
    </row>
    <row r="432" spans="1:23" x14ac:dyDescent="0.3">
      <c r="A432" s="12" t="s">
        <v>500</v>
      </c>
      <c r="B432" s="19">
        <v>42007</v>
      </c>
      <c r="C432" s="46" t="s">
        <v>20</v>
      </c>
      <c r="D432" s="13" t="s">
        <v>24</v>
      </c>
      <c r="E432" s="13" t="s">
        <v>34</v>
      </c>
      <c r="F432" s="13" t="s">
        <v>241</v>
      </c>
      <c r="G432" s="13">
        <v>10</v>
      </c>
      <c r="H432" s="13">
        <v>24</v>
      </c>
      <c r="I432" s="13">
        <v>240</v>
      </c>
      <c r="J432" s="14" t="s">
        <v>15</v>
      </c>
      <c r="N432" s="50"/>
      <c r="Q432" s="51"/>
      <c r="R432" s="51"/>
      <c r="S432" s="51"/>
      <c r="T432" s="51"/>
      <c r="U432" s="51"/>
      <c r="V432" s="51"/>
      <c r="W432" s="51"/>
    </row>
    <row r="433" spans="1:23" x14ac:dyDescent="0.3">
      <c r="A433" s="12" t="s">
        <v>501</v>
      </c>
      <c r="B433" s="19">
        <v>42012</v>
      </c>
      <c r="C433" s="46" t="s">
        <v>11</v>
      </c>
      <c r="D433" s="13" t="s">
        <v>12</v>
      </c>
      <c r="E433" s="13" t="s">
        <v>13</v>
      </c>
      <c r="F433" s="13" t="s">
        <v>113</v>
      </c>
      <c r="G433" s="13">
        <v>2.5</v>
      </c>
      <c r="H433" s="13">
        <v>350</v>
      </c>
      <c r="I433" s="13">
        <v>875</v>
      </c>
      <c r="J433" s="14" t="s">
        <v>26</v>
      </c>
      <c r="N433" s="50"/>
      <c r="Q433" s="51"/>
      <c r="R433" s="51"/>
      <c r="S433" s="51"/>
      <c r="T433" s="51"/>
      <c r="U433" s="51"/>
      <c r="V433" s="51"/>
      <c r="W433" s="51"/>
    </row>
    <row r="434" spans="1:23" x14ac:dyDescent="0.3">
      <c r="A434" s="12" t="s">
        <v>318</v>
      </c>
      <c r="B434" s="19">
        <v>42012</v>
      </c>
      <c r="C434" s="46" t="s">
        <v>28</v>
      </c>
      <c r="D434" s="13" t="s">
        <v>12</v>
      </c>
      <c r="E434" s="13" t="s">
        <v>34</v>
      </c>
      <c r="F434" s="13" t="s">
        <v>188</v>
      </c>
      <c r="G434" s="13">
        <v>9.1999999999999993</v>
      </c>
      <c r="H434" s="13">
        <v>18</v>
      </c>
      <c r="I434" s="13">
        <v>165.6</v>
      </c>
      <c r="J434" s="14" t="s">
        <v>26</v>
      </c>
      <c r="N434" s="50"/>
      <c r="Q434" s="51"/>
      <c r="R434" s="51"/>
      <c r="S434" s="51"/>
      <c r="T434" s="51"/>
      <c r="U434" s="51"/>
      <c r="V434" s="51"/>
      <c r="W434" s="51"/>
    </row>
    <row r="435" spans="1:23" x14ac:dyDescent="0.3">
      <c r="A435" s="12" t="s">
        <v>502</v>
      </c>
      <c r="B435" s="19">
        <v>42019</v>
      </c>
      <c r="C435" s="46" t="s">
        <v>31</v>
      </c>
      <c r="D435" s="13" t="s">
        <v>12</v>
      </c>
      <c r="E435" s="13" t="s">
        <v>17</v>
      </c>
      <c r="F435" s="13" t="s">
        <v>54</v>
      </c>
      <c r="G435" s="13">
        <v>15</v>
      </c>
      <c r="H435" s="13">
        <v>64</v>
      </c>
      <c r="I435" s="13">
        <v>960</v>
      </c>
      <c r="J435" s="14" t="s">
        <v>15</v>
      </c>
      <c r="N435" s="50"/>
      <c r="Q435" s="51"/>
      <c r="R435" s="51"/>
      <c r="S435" s="51"/>
      <c r="T435" s="51"/>
      <c r="U435" s="51"/>
      <c r="V435" s="51"/>
      <c r="W435" s="51"/>
    </row>
    <row r="436" spans="1:23" x14ac:dyDescent="0.3">
      <c r="A436" s="12" t="s">
        <v>503</v>
      </c>
      <c r="B436" s="19">
        <v>42019</v>
      </c>
      <c r="C436" s="46" t="s">
        <v>11</v>
      </c>
      <c r="D436" s="13" t="s">
        <v>12</v>
      </c>
      <c r="E436" s="13" t="s">
        <v>21</v>
      </c>
      <c r="F436" s="13" t="s">
        <v>22</v>
      </c>
      <c r="G436" s="13">
        <v>15</v>
      </c>
      <c r="H436" s="13">
        <v>160</v>
      </c>
      <c r="I436" s="13">
        <v>2400</v>
      </c>
      <c r="J436" s="14" t="s">
        <v>15</v>
      </c>
      <c r="N436" s="50"/>
      <c r="Q436" s="51"/>
      <c r="R436" s="51"/>
      <c r="S436" s="51"/>
      <c r="T436" s="51"/>
      <c r="U436" s="51"/>
      <c r="V436" s="51"/>
      <c r="W436" s="51"/>
    </row>
    <row r="437" spans="1:23" x14ac:dyDescent="0.3">
      <c r="A437" s="12" t="s">
        <v>504</v>
      </c>
      <c r="B437" s="19">
        <v>42019</v>
      </c>
      <c r="C437" s="46" t="s">
        <v>28</v>
      </c>
      <c r="D437" s="13" t="s">
        <v>12</v>
      </c>
      <c r="E437" s="13" t="s">
        <v>34</v>
      </c>
      <c r="F437" s="13" t="s">
        <v>64</v>
      </c>
      <c r="G437" s="13">
        <v>6</v>
      </c>
      <c r="H437" s="13">
        <v>6</v>
      </c>
      <c r="I437" s="13">
        <v>36</v>
      </c>
      <c r="J437" s="14" t="s">
        <v>15</v>
      </c>
      <c r="N437" s="50"/>
      <c r="Q437" s="51"/>
      <c r="R437" s="51"/>
      <c r="S437" s="51"/>
      <c r="T437" s="51"/>
      <c r="U437" s="51"/>
      <c r="V437" s="51"/>
      <c r="W437" s="51"/>
    </row>
    <row r="438" spans="1:23" x14ac:dyDescent="0.3">
      <c r="A438" s="12" t="s">
        <v>505</v>
      </c>
      <c r="B438" s="19">
        <v>42019</v>
      </c>
      <c r="C438" s="46" t="s">
        <v>20</v>
      </c>
      <c r="D438" s="13" t="s">
        <v>12</v>
      </c>
      <c r="E438" s="13" t="s">
        <v>51</v>
      </c>
      <c r="F438" s="13" t="s">
        <v>138</v>
      </c>
      <c r="G438" s="13">
        <v>32.799999999999997</v>
      </c>
      <c r="H438" s="13">
        <v>105</v>
      </c>
      <c r="I438" s="13">
        <v>3443.9999999999995</v>
      </c>
      <c r="J438" s="14" t="s">
        <v>15</v>
      </c>
      <c r="N438" s="50"/>
      <c r="Q438" s="51"/>
      <c r="R438" s="51"/>
      <c r="S438" s="51"/>
      <c r="T438" s="51"/>
      <c r="U438" s="51"/>
      <c r="V438" s="51"/>
      <c r="W438" s="51"/>
    </row>
    <row r="439" spans="1:23" x14ac:dyDescent="0.3">
      <c r="A439" s="12" t="s">
        <v>506</v>
      </c>
      <c r="B439" s="19">
        <v>42019</v>
      </c>
      <c r="C439" s="46" t="s">
        <v>11</v>
      </c>
      <c r="D439" s="13" t="s">
        <v>12</v>
      </c>
      <c r="E439" s="13" t="s">
        <v>21</v>
      </c>
      <c r="F439" s="13" t="s">
        <v>97</v>
      </c>
      <c r="G439" s="13">
        <v>13</v>
      </c>
      <c r="H439" s="13">
        <v>40</v>
      </c>
      <c r="I439" s="13">
        <v>520</v>
      </c>
      <c r="J439" s="14" t="s">
        <v>15</v>
      </c>
      <c r="N439" s="50"/>
      <c r="Q439" s="51"/>
      <c r="R439" s="51"/>
      <c r="S439" s="51"/>
      <c r="T439" s="51"/>
      <c r="U439" s="51"/>
      <c r="V439" s="51"/>
      <c r="W439" s="51"/>
    </row>
    <row r="440" spans="1:23" x14ac:dyDescent="0.3">
      <c r="A440" s="12" t="s">
        <v>507</v>
      </c>
      <c r="B440" s="19">
        <v>42019</v>
      </c>
      <c r="C440" s="46" t="s">
        <v>11</v>
      </c>
      <c r="D440" s="13" t="s">
        <v>12</v>
      </c>
      <c r="E440" s="13" t="s">
        <v>34</v>
      </c>
      <c r="F440" s="13" t="s">
        <v>77</v>
      </c>
      <c r="G440" s="13">
        <v>31.23</v>
      </c>
      <c r="H440" s="13">
        <v>300</v>
      </c>
      <c r="I440" s="13">
        <v>9369</v>
      </c>
      <c r="J440" s="14" t="s">
        <v>15</v>
      </c>
      <c r="N440" s="50"/>
      <c r="Q440" s="51"/>
      <c r="R440" s="51"/>
      <c r="S440" s="51"/>
      <c r="T440" s="51"/>
      <c r="U440" s="51"/>
      <c r="V440" s="51"/>
      <c r="W440" s="51"/>
    </row>
    <row r="441" spans="1:23" x14ac:dyDescent="0.3">
      <c r="A441" s="12" t="s">
        <v>508</v>
      </c>
      <c r="B441" s="19">
        <v>42019</v>
      </c>
      <c r="C441" s="46" t="s">
        <v>20</v>
      </c>
      <c r="D441" s="13" t="s">
        <v>12</v>
      </c>
      <c r="E441" s="13" t="s">
        <v>34</v>
      </c>
      <c r="F441" s="13" t="s">
        <v>188</v>
      </c>
      <c r="G441" s="13">
        <v>9.1999999999999993</v>
      </c>
      <c r="H441" s="13">
        <v>24</v>
      </c>
      <c r="I441" s="13">
        <v>220.79999999999998</v>
      </c>
      <c r="J441" s="14" t="s">
        <v>15</v>
      </c>
      <c r="N441" s="50"/>
      <c r="Q441" s="51"/>
      <c r="R441" s="51"/>
      <c r="S441" s="51"/>
      <c r="T441" s="51"/>
      <c r="U441" s="51"/>
      <c r="V441" s="51"/>
      <c r="W441" s="51"/>
    </row>
    <row r="442" spans="1:23" x14ac:dyDescent="0.3">
      <c r="A442" s="12" t="s">
        <v>509</v>
      </c>
      <c r="B442" s="19">
        <v>42021</v>
      </c>
      <c r="C442" s="46" t="s">
        <v>11</v>
      </c>
      <c r="D442" s="13" t="s">
        <v>12</v>
      </c>
      <c r="E442" s="13" t="s">
        <v>13</v>
      </c>
      <c r="F442" s="13" t="s">
        <v>66</v>
      </c>
      <c r="G442" s="13">
        <v>55</v>
      </c>
      <c r="H442" s="13">
        <v>200</v>
      </c>
      <c r="I442" s="13">
        <v>11000</v>
      </c>
      <c r="J442" s="14" t="s">
        <v>26</v>
      </c>
      <c r="N442" s="50"/>
      <c r="Q442" s="51"/>
      <c r="R442" s="51"/>
      <c r="S442" s="51"/>
      <c r="T442" s="51"/>
      <c r="U442" s="51"/>
      <c r="V442" s="51"/>
      <c r="W442" s="51"/>
    </row>
    <row r="443" spans="1:23" x14ac:dyDescent="0.3">
      <c r="A443" s="12" t="s">
        <v>510</v>
      </c>
      <c r="B443" s="19">
        <v>42021</v>
      </c>
      <c r="C443" s="46" t="s">
        <v>20</v>
      </c>
      <c r="D443" s="13" t="s">
        <v>12</v>
      </c>
      <c r="E443" s="13" t="s">
        <v>13</v>
      </c>
      <c r="F443" s="13" t="s">
        <v>99</v>
      </c>
      <c r="G443" s="13">
        <v>12.5</v>
      </c>
      <c r="H443" s="13">
        <v>112</v>
      </c>
      <c r="I443" s="13">
        <v>1400</v>
      </c>
      <c r="J443" s="14" t="s">
        <v>26</v>
      </c>
      <c r="N443" s="50"/>
      <c r="Q443" s="51"/>
      <c r="R443" s="51"/>
      <c r="S443" s="51"/>
      <c r="T443" s="51"/>
      <c r="U443" s="51"/>
      <c r="V443" s="51"/>
      <c r="W443" s="51"/>
    </row>
    <row r="444" spans="1:23" x14ac:dyDescent="0.3">
      <c r="A444" s="12" t="s">
        <v>511</v>
      </c>
      <c r="B444" s="19">
        <v>42025</v>
      </c>
      <c r="C444" s="46" t="s">
        <v>11</v>
      </c>
      <c r="D444" s="13" t="s">
        <v>85</v>
      </c>
      <c r="E444" s="13" t="s">
        <v>34</v>
      </c>
      <c r="F444" s="13" t="s">
        <v>64</v>
      </c>
      <c r="G444" s="13">
        <v>33.25</v>
      </c>
      <c r="H444" s="13">
        <v>21</v>
      </c>
      <c r="I444" s="13">
        <v>698.25</v>
      </c>
      <c r="J444" s="14" t="s">
        <v>15</v>
      </c>
      <c r="N444" s="50"/>
      <c r="Q444" s="51"/>
      <c r="R444" s="51"/>
      <c r="S444" s="51"/>
      <c r="T444" s="51"/>
      <c r="U444" s="51"/>
      <c r="V444" s="51"/>
      <c r="W444" s="51"/>
    </row>
    <row r="445" spans="1:23" x14ac:dyDescent="0.3">
      <c r="A445" s="12" t="s">
        <v>512</v>
      </c>
      <c r="B445" s="19">
        <v>42025</v>
      </c>
      <c r="C445" s="46" t="s">
        <v>11</v>
      </c>
      <c r="D445" s="13" t="s">
        <v>85</v>
      </c>
      <c r="E445" s="13" t="s">
        <v>13</v>
      </c>
      <c r="F445" s="13" t="s">
        <v>14</v>
      </c>
      <c r="G445" s="13">
        <v>38</v>
      </c>
      <c r="H445" s="13">
        <v>45</v>
      </c>
      <c r="I445" s="13">
        <v>1710</v>
      </c>
      <c r="J445" s="14" t="s">
        <v>15</v>
      </c>
      <c r="N445" s="50"/>
      <c r="Q445" s="51"/>
      <c r="R445" s="51"/>
      <c r="S445" s="51"/>
      <c r="T445" s="51"/>
      <c r="U445" s="51"/>
      <c r="V445" s="51"/>
      <c r="W445" s="51"/>
    </row>
    <row r="446" spans="1:23" x14ac:dyDescent="0.3">
      <c r="A446" s="12" t="s">
        <v>513</v>
      </c>
      <c r="B446" s="19">
        <v>42033</v>
      </c>
      <c r="C446" s="46" t="s">
        <v>31</v>
      </c>
      <c r="D446" s="13" t="s">
        <v>45</v>
      </c>
      <c r="E446" s="13" t="s">
        <v>17</v>
      </c>
      <c r="F446" s="13" t="s">
        <v>18</v>
      </c>
      <c r="G446" s="13">
        <v>19</v>
      </c>
      <c r="H446" s="13">
        <v>50</v>
      </c>
      <c r="I446" s="13">
        <v>950</v>
      </c>
      <c r="J446" s="14" t="s">
        <v>26</v>
      </c>
      <c r="N446" s="50"/>
      <c r="Q446" s="51"/>
      <c r="R446" s="51"/>
      <c r="S446" s="51"/>
      <c r="T446" s="51"/>
      <c r="U446" s="51"/>
      <c r="V446" s="51"/>
      <c r="W446" s="51"/>
    </row>
    <row r="447" spans="1:23" x14ac:dyDescent="0.3">
      <c r="A447" s="12" t="s">
        <v>514</v>
      </c>
      <c r="B447" s="19">
        <v>42033</v>
      </c>
      <c r="C447" s="46" t="s">
        <v>31</v>
      </c>
      <c r="D447" s="13" t="s">
        <v>45</v>
      </c>
      <c r="E447" s="13" t="s">
        <v>13</v>
      </c>
      <c r="F447" s="13" t="s">
        <v>14</v>
      </c>
      <c r="G447" s="13">
        <v>21</v>
      </c>
      <c r="H447" s="13">
        <v>48</v>
      </c>
      <c r="I447" s="13">
        <v>1008</v>
      </c>
      <c r="J447" s="14" t="s">
        <v>26</v>
      </c>
      <c r="N447" s="50"/>
      <c r="Q447" s="51"/>
      <c r="R447" s="51"/>
      <c r="S447" s="51"/>
      <c r="T447" s="51"/>
      <c r="U447" s="51"/>
      <c r="V447" s="51"/>
      <c r="W447" s="51"/>
    </row>
    <row r="448" spans="1:23" x14ac:dyDescent="0.3">
      <c r="A448" s="12" t="s">
        <v>515</v>
      </c>
      <c r="B448" s="19">
        <v>42033</v>
      </c>
      <c r="C448" s="46" t="s">
        <v>31</v>
      </c>
      <c r="D448" s="13" t="s">
        <v>45</v>
      </c>
      <c r="E448" s="13" t="s">
        <v>13</v>
      </c>
      <c r="F448" s="13" t="s">
        <v>56</v>
      </c>
      <c r="G448" s="13">
        <v>34.799999999999997</v>
      </c>
      <c r="H448" s="13">
        <v>70</v>
      </c>
      <c r="I448" s="13">
        <v>2436</v>
      </c>
      <c r="J448" s="14" t="s">
        <v>26</v>
      </c>
      <c r="N448" s="50"/>
      <c r="Q448" s="51"/>
      <c r="R448" s="51"/>
      <c r="S448" s="51"/>
      <c r="T448" s="51"/>
      <c r="U448" s="51"/>
      <c r="V448" s="51"/>
      <c r="W448" s="51"/>
    </row>
    <row r="449" spans="1:23" x14ac:dyDescent="0.3">
      <c r="A449" s="12" t="s">
        <v>516</v>
      </c>
      <c r="B449" s="19">
        <v>42043</v>
      </c>
      <c r="C449" s="46" t="s">
        <v>20</v>
      </c>
      <c r="D449" s="13" t="s">
        <v>12</v>
      </c>
      <c r="E449" s="13" t="s">
        <v>21</v>
      </c>
      <c r="F449" s="13" t="s">
        <v>87</v>
      </c>
      <c r="G449" s="13">
        <v>21.05</v>
      </c>
      <c r="H449" s="13">
        <v>280</v>
      </c>
      <c r="I449" s="13">
        <v>5894</v>
      </c>
      <c r="J449" s="14" t="s">
        <v>26</v>
      </c>
      <c r="N449" s="50"/>
      <c r="Q449" s="51"/>
      <c r="R449" s="51"/>
      <c r="S449" s="51"/>
      <c r="T449" s="51"/>
      <c r="U449" s="51"/>
      <c r="V449" s="51"/>
      <c r="W449" s="51"/>
    </row>
    <row r="450" spans="1:23" x14ac:dyDescent="0.3">
      <c r="A450" s="12" t="s">
        <v>334</v>
      </c>
      <c r="B450" s="19">
        <v>42043</v>
      </c>
      <c r="C450" s="46" t="s">
        <v>20</v>
      </c>
      <c r="D450" s="13" t="s">
        <v>12</v>
      </c>
      <c r="E450" s="13" t="s">
        <v>13</v>
      </c>
      <c r="F450" s="13" t="s">
        <v>124</v>
      </c>
      <c r="G450" s="13">
        <v>21.5</v>
      </c>
      <c r="H450" s="13">
        <v>2</v>
      </c>
      <c r="I450" s="13">
        <v>43</v>
      </c>
      <c r="J450" s="14" t="s">
        <v>26</v>
      </c>
      <c r="N450" s="50"/>
      <c r="Q450" s="51"/>
      <c r="R450" s="51"/>
      <c r="S450" s="51"/>
      <c r="T450" s="51"/>
      <c r="U450" s="51"/>
      <c r="V450" s="51"/>
      <c r="W450" s="51"/>
    </row>
    <row r="451" spans="1:23" x14ac:dyDescent="0.3">
      <c r="A451" s="12" t="s">
        <v>335</v>
      </c>
      <c r="B451" s="19">
        <v>42043</v>
      </c>
      <c r="C451" s="46" t="s">
        <v>28</v>
      </c>
      <c r="D451" s="13" t="s">
        <v>12</v>
      </c>
      <c r="E451" s="13" t="s">
        <v>34</v>
      </c>
      <c r="F451" s="13" t="s">
        <v>188</v>
      </c>
      <c r="G451" s="13">
        <v>9.1999999999999993</v>
      </c>
      <c r="H451" s="13">
        <v>40</v>
      </c>
      <c r="I451" s="13">
        <v>368</v>
      </c>
      <c r="J451" s="14" t="s">
        <v>26</v>
      </c>
      <c r="N451" s="50"/>
      <c r="Q451" s="51"/>
      <c r="R451" s="51"/>
      <c r="S451" s="51"/>
      <c r="T451" s="51"/>
      <c r="U451" s="51"/>
      <c r="V451" s="51"/>
      <c r="W451" s="51"/>
    </row>
    <row r="452" spans="1:23" x14ac:dyDescent="0.3">
      <c r="A452" s="12" t="s">
        <v>517</v>
      </c>
      <c r="B452" s="19">
        <v>42046</v>
      </c>
      <c r="C452" s="46" t="s">
        <v>11</v>
      </c>
      <c r="D452" s="13" t="s">
        <v>24</v>
      </c>
      <c r="E452" s="13" t="s">
        <v>51</v>
      </c>
      <c r="F452" s="13" t="s">
        <v>81</v>
      </c>
      <c r="G452" s="13">
        <v>18.399999999999999</v>
      </c>
      <c r="H452" s="13">
        <v>200</v>
      </c>
      <c r="I452" s="13">
        <v>3679.9999999999995</v>
      </c>
      <c r="J452" s="14" t="s">
        <v>26</v>
      </c>
      <c r="N452" s="50"/>
      <c r="Q452" s="51"/>
      <c r="R452" s="51"/>
      <c r="S452" s="51"/>
      <c r="T452" s="51"/>
      <c r="U452" s="51"/>
      <c r="V452" s="51"/>
      <c r="W452" s="51"/>
    </row>
    <row r="453" spans="1:23" x14ac:dyDescent="0.3">
      <c r="A453" s="12" t="s">
        <v>518</v>
      </c>
      <c r="B453" s="19">
        <v>42050</v>
      </c>
      <c r="C453" s="46" t="s">
        <v>11</v>
      </c>
      <c r="D453" s="13" t="s">
        <v>45</v>
      </c>
      <c r="E453" s="13" t="s">
        <v>17</v>
      </c>
      <c r="F453" s="13" t="s">
        <v>54</v>
      </c>
      <c r="G453" s="13">
        <v>15</v>
      </c>
      <c r="H453" s="13">
        <v>150</v>
      </c>
      <c r="I453" s="13">
        <v>2250</v>
      </c>
      <c r="J453" s="14" t="s">
        <v>26</v>
      </c>
      <c r="N453" s="50"/>
      <c r="Q453" s="51"/>
      <c r="R453" s="51"/>
      <c r="S453" s="51"/>
      <c r="T453" s="51"/>
      <c r="U453" s="51"/>
      <c r="V453" s="51"/>
      <c r="W453" s="51"/>
    </row>
    <row r="454" spans="1:23" x14ac:dyDescent="0.3">
      <c r="A454" s="12" t="s">
        <v>338</v>
      </c>
      <c r="B454" s="19">
        <v>42050</v>
      </c>
      <c r="C454" s="46" t="s">
        <v>31</v>
      </c>
      <c r="D454" s="13" t="s">
        <v>45</v>
      </c>
      <c r="E454" s="13" t="s">
        <v>34</v>
      </c>
      <c r="F454" s="13" t="s">
        <v>339</v>
      </c>
      <c r="G454" s="13">
        <v>12.75</v>
      </c>
      <c r="H454" s="13">
        <v>135</v>
      </c>
      <c r="I454" s="13">
        <v>1721.25</v>
      </c>
      <c r="J454" s="14" t="s">
        <v>26</v>
      </c>
      <c r="N454" s="50"/>
      <c r="Q454" s="51"/>
      <c r="R454" s="51"/>
      <c r="S454" s="51"/>
      <c r="T454" s="51"/>
      <c r="U454" s="51"/>
      <c r="V454" s="51"/>
      <c r="W454" s="51"/>
    </row>
    <row r="455" spans="1:23" x14ac:dyDescent="0.3">
      <c r="A455" s="12" t="s">
        <v>519</v>
      </c>
      <c r="B455" s="19">
        <v>42060</v>
      </c>
      <c r="C455" s="46" t="s">
        <v>28</v>
      </c>
      <c r="D455" s="13" t="s">
        <v>45</v>
      </c>
      <c r="E455" s="13" t="s">
        <v>17</v>
      </c>
      <c r="F455" s="13" t="s">
        <v>54</v>
      </c>
      <c r="G455" s="13">
        <v>9</v>
      </c>
      <c r="H455" s="13">
        <v>168</v>
      </c>
      <c r="I455" s="13">
        <v>1512</v>
      </c>
      <c r="J455" s="14" t="s">
        <v>15</v>
      </c>
      <c r="N455" s="50"/>
      <c r="Q455" s="51"/>
      <c r="R455" s="51"/>
      <c r="S455" s="51"/>
      <c r="T455" s="51"/>
      <c r="U455" s="51"/>
      <c r="V455" s="51"/>
      <c r="W455" s="51"/>
    </row>
    <row r="456" spans="1:23" x14ac:dyDescent="0.3">
      <c r="A456" s="12" t="s">
        <v>520</v>
      </c>
      <c r="B456" s="19">
        <v>42060</v>
      </c>
      <c r="C456" s="46" t="s">
        <v>11</v>
      </c>
      <c r="D456" s="13" t="s">
        <v>45</v>
      </c>
      <c r="E456" s="13" t="s">
        <v>21</v>
      </c>
      <c r="F456" s="13" t="s">
        <v>22</v>
      </c>
      <c r="G456" s="13">
        <v>6</v>
      </c>
      <c r="H456" s="13">
        <v>10</v>
      </c>
      <c r="I456" s="13">
        <v>60</v>
      </c>
      <c r="J456" s="14" t="s">
        <v>15</v>
      </c>
      <c r="N456" s="50"/>
      <c r="Q456" s="51"/>
      <c r="R456" s="51"/>
      <c r="S456" s="51"/>
      <c r="T456" s="51"/>
      <c r="U456" s="51"/>
      <c r="V456" s="51"/>
      <c r="W456" s="51"/>
    </row>
    <row r="457" spans="1:23" x14ac:dyDescent="0.3">
      <c r="A457" s="12" t="s">
        <v>342</v>
      </c>
      <c r="B457" s="19">
        <v>42063</v>
      </c>
      <c r="C457" s="46" t="s">
        <v>28</v>
      </c>
      <c r="D457" s="13" t="s">
        <v>12</v>
      </c>
      <c r="E457" s="13" t="s">
        <v>13</v>
      </c>
      <c r="F457" s="13" t="s">
        <v>14</v>
      </c>
      <c r="G457" s="13">
        <v>21</v>
      </c>
      <c r="H457" s="13">
        <v>10</v>
      </c>
      <c r="I457" s="13">
        <v>210</v>
      </c>
      <c r="J457" s="14" t="s">
        <v>15</v>
      </c>
      <c r="N457" s="50"/>
      <c r="Q457" s="51"/>
      <c r="R457" s="51"/>
      <c r="S457" s="51"/>
      <c r="T457" s="51"/>
      <c r="U457" s="51"/>
      <c r="V457" s="51"/>
      <c r="W457" s="51"/>
    </row>
    <row r="458" spans="1:23" x14ac:dyDescent="0.3">
      <c r="A458" s="12" t="s">
        <v>521</v>
      </c>
      <c r="B458" s="19">
        <v>42063</v>
      </c>
      <c r="C458" s="46" t="s">
        <v>20</v>
      </c>
      <c r="D458" s="13" t="s">
        <v>12</v>
      </c>
      <c r="E458" s="13" t="s">
        <v>21</v>
      </c>
      <c r="F458" s="13" t="s">
        <v>22</v>
      </c>
      <c r="G458" s="13">
        <v>12</v>
      </c>
      <c r="H458" s="13">
        <v>10</v>
      </c>
      <c r="I458" s="13">
        <v>120</v>
      </c>
      <c r="J458" s="14" t="s">
        <v>15</v>
      </c>
      <c r="N458" s="50"/>
      <c r="Q458" s="51"/>
      <c r="R458" s="51"/>
      <c r="S458" s="51"/>
      <c r="T458" s="51"/>
      <c r="U458" s="51"/>
      <c r="V458" s="51"/>
      <c r="W458" s="51"/>
    </row>
    <row r="459" spans="1:23" x14ac:dyDescent="0.3">
      <c r="A459" s="12" t="s">
        <v>522</v>
      </c>
      <c r="B459" s="19">
        <v>42067</v>
      </c>
      <c r="C459" s="46" t="s">
        <v>28</v>
      </c>
      <c r="D459" s="13" t="s">
        <v>45</v>
      </c>
      <c r="E459" s="13" t="s">
        <v>34</v>
      </c>
      <c r="F459" s="13" t="s">
        <v>64</v>
      </c>
      <c r="G459" s="13">
        <v>30</v>
      </c>
      <c r="H459" s="13">
        <v>300</v>
      </c>
      <c r="I459" s="13">
        <v>9000</v>
      </c>
      <c r="J459" s="14" t="s">
        <v>26</v>
      </c>
      <c r="N459" s="50"/>
      <c r="Q459" s="51"/>
      <c r="R459" s="51"/>
      <c r="S459" s="51"/>
      <c r="T459" s="51"/>
      <c r="U459" s="51"/>
      <c r="V459" s="51"/>
      <c r="W459" s="51"/>
    </row>
    <row r="460" spans="1:23" x14ac:dyDescent="0.3">
      <c r="A460" s="12" t="s">
        <v>523</v>
      </c>
      <c r="B460" s="19">
        <v>42067</v>
      </c>
      <c r="C460" s="46" t="s">
        <v>11</v>
      </c>
      <c r="D460" s="13" t="s">
        <v>45</v>
      </c>
      <c r="E460" s="13" t="s">
        <v>51</v>
      </c>
      <c r="F460" s="13" t="s">
        <v>81</v>
      </c>
      <c r="G460" s="13">
        <v>38</v>
      </c>
      <c r="H460" s="13">
        <v>100</v>
      </c>
      <c r="I460" s="13">
        <v>3800</v>
      </c>
      <c r="J460" s="14" t="s">
        <v>26</v>
      </c>
      <c r="N460" s="50"/>
      <c r="Q460" s="51"/>
      <c r="R460" s="51"/>
      <c r="S460" s="51"/>
      <c r="T460" s="51"/>
      <c r="U460" s="51"/>
      <c r="V460" s="51"/>
      <c r="W460" s="51"/>
    </row>
    <row r="461" spans="1:23" x14ac:dyDescent="0.3">
      <c r="A461" s="12" t="s">
        <v>524</v>
      </c>
      <c r="B461" s="19">
        <v>42068</v>
      </c>
      <c r="C461" s="46" t="s">
        <v>11</v>
      </c>
      <c r="D461" s="13" t="s">
        <v>45</v>
      </c>
      <c r="E461" s="13" t="s">
        <v>17</v>
      </c>
      <c r="F461" s="13" t="s">
        <v>128</v>
      </c>
      <c r="G461" s="13">
        <v>4.5</v>
      </c>
      <c r="H461" s="13">
        <v>480</v>
      </c>
      <c r="I461" s="13">
        <v>2160</v>
      </c>
      <c r="J461" s="14" t="s">
        <v>15</v>
      </c>
      <c r="N461" s="50"/>
      <c r="Q461" s="51"/>
      <c r="R461" s="51"/>
      <c r="S461" s="51"/>
      <c r="T461" s="51"/>
      <c r="U461" s="51"/>
      <c r="V461" s="51"/>
      <c r="W461" s="51"/>
    </row>
    <row r="462" spans="1:23" x14ac:dyDescent="0.3">
      <c r="A462" s="12" t="s">
        <v>525</v>
      </c>
      <c r="B462" s="19">
        <v>42068</v>
      </c>
      <c r="C462" s="46" t="s">
        <v>20</v>
      </c>
      <c r="D462" s="13" t="s">
        <v>45</v>
      </c>
      <c r="E462" s="13" t="s">
        <v>21</v>
      </c>
      <c r="F462" s="13" t="s">
        <v>22</v>
      </c>
      <c r="G462" s="13">
        <v>53</v>
      </c>
      <c r="H462" s="13">
        <v>36</v>
      </c>
      <c r="I462" s="13">
        <v>1908</v>
      </c>
      <c r="J462" s="14" t="s">
        <v>15</v>
      </c>
      <c r="N462" s="50"/>
      <c r="Q462" s="51"/>
      <c r="R462" s="51"/>
      <c r="S462" s="51"/>
      <c r="T462" s="51"/>
      <c r="U462" s="51"/>
      <c r="V462" s="51"/>
      <c r="W462" s="51"/>
    </row>
    <row r="463" spans="1:23" x14ac:dyDescent="0.3">
      <c r="A463" s="12" t="s">
        <v>526</v>
      </c>
      <c r="B463" s="19">
        <v>42069</v>
      </c>
      <c r="C463" s="46" t="s">
        <v>20</v>
      </c>
      <c r="D463" s="13" t="s">
        <v>45</v>
      </c>
      <c r="E463" s="13" t="s">
        <v>13</v>
      </c>
      <c r="F463" s="13" t="s">
        <v>113</v>
      </c>
      <c r="G463" s="13">
        <v>2.5</v>
      </c>
      <c r="H463" s="13">
        <v>60</v>
      </c>
      <c r="I463" s="13">
        <v>150</v>
      </c>
      <c r="J463" s="14" t="s">
        <v>26</v>
      </c>
      <c r="N463" s="50"/>
      <c r="Q463" s="51"/>
      <c r="R463" s="51"/>
      <c r="S463" s="51"/>
      <c r="T463" s="51"/>
      <c r="U463" s="51"/>
      <c r="V463" s="51"/>
      <c r="W463" s="51"/>
    </row>
    <row r="464" spans="1:23" x14ac:dyDescent="0.3">
      <c r="A464" s="12" t="s">
        <v>527</v>
      </c>
      <c r="B464" s="19">
        <v>42069</v>
      </c>
      <c r="C464" s="46" t="s">
        <v>20</v>
      </c>
      <c r="D464" s="13" t="s">
        <v>45</v>
      </c>
      <c r="E464" s="13" t="s">
        <v>13</v>
      </c>
      <c r="F464" s="13" t="s">
        <v>124</v>
      </c>
      <c r="G464" s="13">
        <v>21.5</v>
      </c>
      <c r="H464" s="13">
        <v>96</v>
      </c>
      <c r="I464" s="13">
        <v>2064</v>
      </c>
      <c r="J464" s="14" t="s">
        <v>26</v>
      </c>
      <c r="N464" s="50"/>
      <c r="Q464" s="51"/>
      <c r="R464" s="51"/>
      <c r="S464" s="51"/>
      <c r="T464" s="51"/>
      <c r="U464" s="51"/>
      <c r="V464" s="51"/>
      <c r="W464" s="51"/>
    </row>
    <row r="465" spans="1:23" x14ac:dyDescent="0.3">
      <c r="A465" s="12" t="s">
        <v>528</v>
      </c>
      <c r="B465" s="19">
        <v>42076</v>
      </c>
      <c r="C465" s="46" t="s">
        <v>31</v>
      </c>
      <c r="D465" s="13" t="s">
        <v>12</v>
      </c>
      <c r="E465" s="13" t="s">
        <v>13</v>
      </c>
      <c r="F465" s="13" t="s">
        <v>41</v>
      </c>
      <c r="G465" s="13">
        <v>34</v>
      </c>
      <c r="H465" s="13">
        <v>80</v>
      </c>
      <c r="I465" s="13">
        <v>2720</v>
      </c>
      <c r="J465" s="14" t="s">
        <v>26</v>
      </c>
      <c r="N465" s="50"/>
      <c r="Q465" s="51"/>
      <c r="R465" s="51"/>
      <c r="S465" s="51"/>
      <c r="T465" s="51"/>
      <c r="U465" s="51"/>
      <c r="V465" s="51"/>
      <c r="W465" s="51"/>
    </row>
    <row r="466" spans="1:23" x14ac:dyDescent="0.3">
      <c r="A466" s="12" t="s">
        <v>529</v>
      </c>
      <c r="B466" s="19">
        <v>42076</v>
      </c>
      <c r="C466" s="46" t="s">
        <v>28</v>
      </c>
      <c r="D466" s="13" t="s">
        <v>12</v>
      </c>
      <c r="E466" s="13" t="s">
        <v>34</v>
      </c>
      <c r="F466" s="13" t="s">
        <v>75</v>
      </c>
      <c r="G466" s="13">
        <v>20</v>
      </c>
      <c r="H466" s="13">
        <v>240</v>
      </c>
      <c r="I466" s="13">
        <v>4800</v>
      </c>
      <c r="J466" s="14" t="s">
        <v>26</v>
      </c>
      <c r="N466" s="50"/>
      <c r="Q466" s="51"/>
      <c r="R466" s="51"/>
      <c r="S466" s="51"/>
      <c r="T466" s="51"/>
      <c r="U466" s="51"/>
      <c r="V466" s="51"/>
      <c r="W466" s="51"/>
    </row>
    <row r="467" spans="1:23" x14ac:dyDescent="0.3">
      <c r="A467" s="12" t="s">
        <v>530</v>
      </c>
      <c r="B467" s="19">
        <v>42080</v>
      </c>
      <c r="C467" s="46" t="s">
        <v>11</v>
      </c>
      <c r="D467" s="13" t="s">
        <v>45</v>
      </c>
      <c r="E467" s="13" t="s">
        <v>51</v>
      </c>
      <c r="F467" s="13" t="s">
        <v>81</v>
      </c>
      <c r="G467" s="13">
        <v>53</v>
      </c>
      <c r="H467" s="13">
        <v>9</v>
      </c>
      <c r="I467" s="13">
        <v>477</v>
      </c>
      <c r="J467" s="14" t="s">
        <v>26</v>
      </c>
      <c r="N467" s="50"/>
      <c r="Q467" s="51"/>
      <c r="R467" s="51"/>
      <c r="S467" s="51"/>
      <c r="T467" s="51"/>
      <c r="U467" s="51"/>
      <c r="V467" s="51"/>
      <c r="W467" s="51"/>
    </row>
    <row r="468" spans="1:23" x14ac:dyDescent="0.3">
      <c r="A468" s="12" t="s">
        <v>353</v>
      </c>
      <c r="B468" s="19">
        <v>42080</v>
      </c>
      <c r="C468" s="46" t="s">
        <v>31</v>
      </c>
      <c r="D468" s="13" t="s">
        <v>45</v>
      </c>
      <c r="E468" s="13" t="s">
        <v>17</v>
      </c>
      <c r="F468" s="13" t="s">
        <v>54</v>
      </c>
      <c r="G468" s="13">
        <v>18.399999999999999</v>
      </c>
      <c r="H468" s="13">
        <v>10</v>
      </c>
      <c r="I468" s="13">
        <v>184</v>
      </c>
      <c r="J468" s="14" t="s">
        <v>26</v>
      </c>
      <c r="N468" s="50"/>
      <c r="Q468" s="51"/>
      <c r="R468" s="51"/>
      <c r="S468" s="51"/>
      <c r="T468" s="51"/>
      <c r="U468" s="51"/>
      <c r="V468" s="51"/>
      <c r="W468" s="51"/>
    </row>
    <row r="469" spans="1:23" x14ac:dyDescent="0.3">
      <c r="A469" s="12" t="s">
        <v>531</v>
      </c>
      <c r="B469" s="19">
        <v>42080</v>
      </c>
      <c r="C469" s="46" t="s">
        <v>31</v>
      </c>
      <c r="D469" s="13" t="s">
        <v>45</v>
      </c>
      <c r="E469" s="13" t="s">
        <v>34</v>
      </c>
      <c r="F469" s="13" t="s">
        <v>241</v>
      </c>
      <c r="G469" s="13">
        <v>10</v>
      </c>
      <c r="H469" s="13">
        <v>28</v>
      </c>
      <c r="I469" s="13">
        <v>280</v>
      </c>
      <c r="J469" s="14" t="s">
        <v>26</v>
      </c>
      <c r="N469" s="50"/>
      <c r="Q469" s="51"/>
      <c r="R469" s="51"/>
      <c r="S469" s="51"/>
      <c r="T469" s="51"/>
      <c r="U469" s="51"/>
      <c r="V469" s="51"/>
      <c r="W469" s="51"/>
    </row>
    <row r="470" spans="1:23" x14ac:dyDescent="0.3">
      <c r="A470" s="12" t="s">
        <v>532</v>
      </c>
      <c r="B470" s="19">
        <v>42082</v>
      </c>
      <c r="C470" s="46" t="s">
        <v>31</v>
      </c>
      <c r="D470" s="13" t="s">
        <v>12</v>
      </c>
      <c r="E470" s="13" t="s">
        <v>51</v>
      </c>
      <c r="F470" s="13" t="s">
        <v>268</v>
      </c>
      <c r="G470" s="13">
        <v>7.45</v>
      </c>
      <c r="H470" s="13">
        <v>144</v>
      </c>
      <c r="I470" s="13">
        <v>1072.8</v>
      </c>
      <c r="J470" s="14" t="s">
        <v>26</v>
      </c>
      <c r="N470" s="50"/>
      <c r="Q470" s="51"/>
      <c r="R470" s="51"/>
      <c r="S470" s="51"/>
      <c r="T470" s="51"/>
      <c r="U470" s="51"/>
      <c r="V470" s="51"/>
      <c r="W470" s="51"/>
    </row>
    <row r="471" spans="1:23" x14ac:dyDescent="0.3">
      <c r="A471" s="12" t="s">
        <v>533</v>
      </c>
      <c r="B471" s="19">
        <v>42082</v>
      </c>
      <c r="C471" s="46" t="s">
        <v>20</v>
      </c>
      <c r="D471" s="13" t="s">
        <v>12</v>
      </c>
      <c r="E471" s="13" t="s">
        <v>34</v>
      </c>
      <c r="F471" s="13" t="s">
        <v>188</v>
      </c>
      <c r="G471" s="13">
        <v>9.1999999999999993</v>
      </c>
      <c r="H471" s="13">
        <v>10</v>
      </c>
      <c r="I471" s="13">
        <v>92</v>
      </c>
      <c r="J471" s="14" t="s">
        <v>26</v>
      </c>
      <c r="N471" s="50"/>
      <c r="Q471" s="51"/>
      <c r="R471" s="51"/>
      <c r="S471" s="51"/>
      <c r="T471" s="51"/>
      <c r="U471" s="51"/>
      <c r="V471" s="51"/>
      <c r="W471" s="51"/>
    </row>
    <row r="472" spans="1:23" x14ac:dyDescent="0.3">
      <c r="A472" s="12" t="s">
        <v>534</v>
      </c>
      <c r="B472" s="19">
        <v>42089</v>
      </c>
      <c r="C472" s="46" t="s">
        <v>20</v>
      </c>
      <c r="D472" s="13" t="s">
        <v>12</v>
      </c>
      <c r="E472" s="13" t="s">
        <v>17</v>
      </c>
      <c r="F472" s="13" t="s">
        <v>54</v>
      </c>
      <c r="G472" s="13">
        <v>38</v>
      </c>
      <c r="H472" s="13">
        <v>240</v>
      </c>
      <c r="I472" s="13">
        <v>9120</v>
      </c>
      <c r="J472" s="14" t="s">
        <v>26</v>
      </c>
      <c r="N472" s="50"/>
      <c r="Q472" s="51"/>
      <c r="R472" s="51"/>
      <c r="S472" s="51"/>
      <c r="T472" s="51"/>
      <c r="U472" s="51"/>
      <c r="V472" s="51"/>
      <c r="W472" s="51"/>
    </row>
    <row r="473" spans="1:23" x14ac:dyDescent="0.3">
      <c r="A473" s="12" t="s">
        <v>535</v>
      </c>
      <c r="B473" s="19">
        <v>42091</v>
      </c>
      <c r="C473" s="46" t="s">
        <v>31</v>
      </c>
      <c r="D473" s="13" t="s">
        <v>12</v>
      </c>
      <c r="E473" s="13" t="s">
        <v>13</v>
      </c>
      <c r="F473" s="13" t="s">
        <v>99</v>
      </c>
      <c r="G473" s="13">
        <v>12.5</v>
      </c>
      <c r="H473" s="13">
        <v>120</v>
      </c>
      <c r="I473" s="13">
        <v>1500</v>
      </c>
      <c r="J473" s="14" t="s">
        <v>26</v>
      </c>
      <c r="N473" s="50"/>
      <c r="Q473" s="51"/>
      <c r="R473" s="51"/>
      <c r="S473" s="51"/>
      <c r="T473" s="51"/>
      <c r="U473" s="51"/>
      <c r="V473" s="51"/>
      <c r="W473" s="51"/>
    </row>
    <row r="474" spans="1:23" x14ac:dyDescent="0.3">
      <c r="A474" s="12" t="s">
        <v>359</v>
      </c>
      <c r="B474" s="19">
        <v>42108</v>
      </c>
      <c r="C474" s="46" t="s">
        <v>28</v>
      </c>
      <c r="D474" s="13" t="s">
        <v>12</v>
      </c>
      <c r="E474" s="13" t="s">
        <v>17</v>
      </c>
      <c r="F474" s="13" t="s">
        <v>128</v>
      </c>
      <c r="G474" s="13">
        <v>4.5</v>
      </c>
      <c r="H474" s="13">
        <v>10</v>
      </c>
      <c r="I474" s="13">
        <v>45</v>
      </c>
      <c r="J474" s="14" t="s">
        <v>26</v>
      </c>
      <c r="N474" s="50"/>
      <c r="Q474" s="51"/>
      <c r="R474" s="51"/>
      <c r="S474" s="51"/>
      <c r="T474" s="51"/>
      <c r="U474" s="51"/>
      <c r="V474" s="51"/>
      <c r="W474" s="51"/>
    </row>
    <row r="475" spans="1:23" x14ac:dyDescent="0.3">
      <c r="A475" s="12" t="s">
        <v>536</v>
      </c>
      <c r="B475" s="19">
        <v>42108</v>
      </c>
      <c r="C475" s="46" t="s">
        <v>28</v>
      </c>
      <c r="D475" s="13" t="s">
        <v>12</v>
      </c>
      <c r="E475" s="13" t="s">
        <v>13</v>
      </c>
      <c r="F475" s="13" t="s">
        <v>41</v>
      </c>
      <c r="G475" s="13">
        <v>34</v>
      </c>
      <c r="H475" s="13">
        <v>96</v>
      </c>
      <c r="I475" s="13">
        <v>3264</v>
      </c>
      <c r="J475" s="14" t="s">
        <v>26</v>
      </c>
      <c r="N475" s="50"/>
      <c r="Q475" s="51"/>
      <c r="R475" s="51"/>
      <c r="S475" s="51"/>
      <c r="T475" s="51"/>
      <c r="U475" s="51"/>
      <c r="V475" s="51"/>
      <c r="W475" s="51"/>
    </row>
    <row r="476" spans="1:23" x14ac:dyDescent="0.3">
      <c r="A476" s="12" t="s">
        <v>537</v>
      </c>
      <c r="B476" s="19">
        <v>42108</v>
      </c>
      <c r="C476" s="46" t="s">
        <v>11</v>
      </c>
      <c r="D476" s="13" t="s">
        <v>12</v>
      </c>
      <c r="E476" s="13" t="s">
        <v>51</v>
      </c>
      <c r="F476" s="13" t="s">
        <v>81</v>
      </c>
      <c r="G476" s="13">
        <v>12</v>
      </c>
      <c r="H476" s="13">
        <v>36</v>
      </c>
      <c r="I476" s="13">
        <v>432</v>
      </c>
      <c r="J476" s="14" t="s">
        <v>26</v>
      </c>
      <c r="N476" s="50"/>
      <c r="Q476" s="51"/>
      <c r="R476" s="51"/>
      <c r="S476" s="51"/>
      <c r="T476" s="51"/>
      <c r="U476" s="51"/>
      <c r="V476" s="51"/>
      <c r="W476" s="51"/>
    </row>
    <row r="477" spans="1:23" x14ac:dyDescent="0.3">
      <c r="A477" s="12" t="s">
        <v>538</v>
      </c>
      <c r="B477" s="19">
        <v>42108</v>
      </c>
      <c r="C477" s="46" t="s">
        <v>11</v>
      </c>
      <c r="D477" s="13" t="s">
        <v>12</v>
      </c>
      <c r="E477" s="13" t="s">
        <v>34</v>
      </c>
      <c r="F477" s="13" t="s">
        <v>136</v>
      </c>
      <c r="G477" s="13">
        <v>9.5</v>
      </c>
      <c r="H477" s="13">
        <v>54</v>
      </c>
      <c r="I477" s="13">
        <v>513</v>
      </c>
      <c r="J477" s="14" t="s">
        <v>26</v>
      </c>
      <c r="N477" s="50"/>
      <c r="Q477" s="51"/>
      <c r="R477" s="51"/>
      <c r="S477" s="51"/>
      <c r="T477" s="51"/>
      <c r="U477" s="51"/>
      <c r="V477" s="51"/>
      <c r="W477" s="51"/>
    </row>
    <row r="478" spans="1:23" x14ac:dyDescent="0.3">
      <c r="A478" s="12" t="s">
        <v>539</v>
      </c>
      <c r="B478" s="19">
        <v>42111</v>
      </c>
      <c r="C478" s="46" t="s">
        <v>28</v>
      </c>
      <c r="D478" s="13" t="s">
        <v>45</v>
      </c>
      <c r="E478" s="13" t="s">
        <v>17</v>
      </c>
      <c r="F478" s="13" t="s">
        <v>54</v>
      </c>
      <c r="G478" s="13">
        <v>15</v>
      </c>
      <c r="H478" s="13">
        <v>30</v>
      </c>
      <c r="I478" s="13">
        <v>450</v>
      </c>
      <c r="J478" s="14" t="s">
        <v>26</v>
      </c>
      <c r="N478" s="50"/>
      <c r="Q478" s="51"/>
      <c r="R478" s="51"/>
      <c r="S478" s="51"/>
      <c r="T478" s="51"/>
      <c r="U478" s="51"/>
      <c r="V478" s="51"/>
      <c r="W478" s="51"/>
    </row>
    <row r="479" spans="1:23" x14ac:dyDescent="0.3">
      <c r="A479" s="12" t="s">
        <v>540</v>
      </c>
      <c r="B479" s="19">
        <v>42111</v>
      </c>
      <c r="C479" s="46" t="s">
        <v>28</v>
      </c>
      <c r="D479" s="13" t="s">
        <v>45</v>
      </c>
      <c r="E479" s="13" t="s">
        <v>13</v>
      </c>
      <c r="F479" s="13" t="s">
        <v>14</v>
      </c>
      <c r="G479" s="13">
        <v>7</v>
      </c>
      <c r="H479" s="13">
        <v>60</v>
      </c>
      <c r="I479" s="13">
        <v>420</v>
      </c>
      <c r="J479" s="14" t="s">
        <v>26</v>
      </c>
      <c r="N479" s="50"/>
      <c r="Q479" s="51"/>
      <c r="R479" s="51"/>
      <c r="S479" s="51"/>
      <c r="T479" s="51"/>
      <c r="U479" s="51"/>
      <c r="V479" s="51"/>
      <c r="W479" s="51"/>
    </row>
    <row r="480" spans="1:23" x14ac:dyDescent="0.3">
      <c r="A480" s="12" t="s">
        <v>541</v>
      </c>
      <c r="B480" s="19">
        <v>42111</v>
      </c>
      <c r="C480" s="46" t="s">
        <v>11</v>
      </c>
      <c r="D480" s="13" t="s">
        <v>45</v>
      </c>
      <c r="E480" s="13" t="s">
        <v>13</v>
      </c>
      <c r="F480" s="13" t="s">
        <v>66</v>
      </c>
      <c r="G480" s="13">
        <v>55</v>
      </c>
      <c r="H480" s="13">
        <v>16</v>
      </c>
      <c r="I480" s="13">
        <v>880</v>
      </c>
      <c r="J480" s="14" t="s">
        <v>26</v>
      </c>
      <c r="N480" s="50"/>
      <c r="Q480" s="51"/>
      <c r="R480" s="51"/>
      <c r="S480" s="51"/>
      <c r="T480" s="51"/>
      <c r="U480" s="51"/>
      <c r="V480" s="51"/>
      <c r="W480" s="51"/>
    </row>
    <row r="481" spans="1:23" x14ac:dyDescent="0.3">
      <c r="A481" s="12" t="s">
        <v>542</v>
      </c>
      <c r="B481" s="19">
        <v>42116</v>
      </c>
      <c r="C481" s="46" t="s">
        <v>31</v>
      </c>
      <c r="D481" s="13" t="s">
        <v>24</v>
      </c>
      <c r="E481" s="13" t="s">
        <v>34</v>
      </c>
      <c r="F481" s="13" t="s">
        <v>64</v>
      </c>
      <c r="G481" s="13">
        <v>9.65</v>
      </c>
      <c r="H481" s="13">
        <v>90</v>
      </c>
      <c r="I481" s="13">
        <v>868.5</v>
      </c>
      <c r="J481" s="14" t="s">
        <v>26</v>
      </c>
      <c r="N481" s="50"/>
      <c r="Q481" s="51"/>
      <c r="R481" s="51"/>
      <c r="S481" s="51"/>
      <c r="T481" s="51"/>
      <c r="U481" s="51"/>
      <c r="V481" s="51"/>
      <c r="W481" s="51"/>
    </row>
    <row r="482" spans="1:23" x14ac:dyDescent="0.3">
      <c r="A482" s="12" t="s">
        <v>543</v>
      </c>
      <c r="B482" s="19">
        <v>42116</v>
      </c>
      <c r="C482" s="46" t="s">
        <v>20</v>
      </c>
      <c r="D482" s="13" t="s">
        <v>24</v>
      </c>
      <c r="E482" s="13" t="s">
        <v>17</v>
      </c>
      <c r="F482" s="13" t="s">
        <v>72</v>
      </c>
      <c r="G482" s="13">
        <v>18</v>
      </c>
      <c r="H482" s="13">
        <v>18</v>
      </c>
      <c r="I482" s="13">
        <v>324</v>
      </c>
      <c r="J482" s="14" t="s">
        <v>26</v>
      </c>
      <c r="N482" s="50"/>
      <c r="Q482" s="51"/>
      <c r="R482" s="51"/>
      <c r="S482" s="51"/>
      <c r="T482" s="51"/>
      <c r="U482" s="51"/>
      <c r="V482" s="51"/>
      <c r="W482" s="51"/>
    </row>
    <row r="483" spans="1:23" x14ac:dyDescent="0.3">
      <c r="A483" s="12" t="s">
        <v>544</v>
      </c>
      <c r="B483" s="19">
        <v>42116</v>
      </c>
      <c r="C483" s="46" t="s">
        <v>11</v>
      </c>
      <c r="D483" s="13" t="s">
        <v>24</v>
      </c>
      <c r="E483" s="13" t="s">
        <v>34</v>
      </c>
      <c r="F483" s="13" t="s">
        <v>43</v>
      </c>
      <c r="G483" s="13">
        <v>12.5</v>
      </c>
      <c r="H483" s="13">
        <v>240</v>
      </c>
      <c r="I483" s="13">
        <v>3000</v>
      </c>
      <c r="J483" s="14" t="s">
        <v>26</v>
      </c>
      <c r="N483" s="50"/>
      <c r="Q483" s="51"/>
      <c r="R483" s="51"/>
      <c r="S483" s="51"/>
      <c r="T483" s="51"/>
      <c r="U483" s="51"/>
      <c r="V483" s="51"/>
      <c r="W483" s="51"/>
    </row>
    <row r="484" spans="1:23" x14ac:dyDescent="0.3">
      <c r="A484" s="12" t="s">
        <v>545</v>
      </c>
      <c r="B484" s="19">
        <v>42118</v>
      </c>
      <c r="C484" s="46" t="s">
        <v>28</v>
      </c>
      <c r="D484" s="13" t="s">
        <v>45</v>
      </c>
      <c r="E484" s="13" t="s">
        <v>51</v>
      </c>
      <c r="F484" s="13" t="s">
        <v>118</v>
      </c>
      <c r="G484" s="13">
        <v>39</v>
      </c>
      <c r="H484" s="13">
        <v>250</v>
      </c>
      <c r="I484" s="13">
        <v>9750</v>
      </c>
      <c r="J484" s="14" t="s">
        <v>26</v>
      </c>
      <c r="N484" s="50"/>
      <c r="Q484" s="51"/>
      <c r="R484" s="51"/>
      <c r="S484" s="51"/>
      <c r="T484" s="51"/>
      <c r="U484" s="51"/>
      <c r="V484" s="51"/>
      <c r="W484" s="51"/>
    </row>
    <row r="485" spans="1:23" x14ac:dyDescent="0.3">
      <c r="A485" s="12" t="s">
        <v>546</v>
      </c>
      <c r="B485" s="19">
        <v>42118</v>
      </c>
      <c r="C485" s="46" t="s">
        <v>20</v>
      </c>
      <c r="D485" s="13" t="s">
        <v>45</v>
      </c>
      <c r="E485" s="13" t="s">
        <v>17</v>
      </c>
      <c r="F485" s="13" t="s">
        <v>54</v>
      </c>
      <c r="G485" s="13">
        <v>26</v>
      </c>
      <c r="H485" s="13">
        <v>72</v>
      </c>
      <c r="I485" s="13">
        <v>1872</v>
      </c>
      <c r="J485" s="14" t="s">
        <v>26</v>
      </c>
      <c r="N485" s="50"/>
      <c r="Q485" s="51"/>
      <c r="R485" s="51"/>
      <c r="S485" s="51"/>
      <c r="T485" s="51"/>
      <c r="U485" s="51"/>
      <c r="V485" s="51"/>
      <c r="W485" s="51"/>
    </row>
    <row r="486" spans="1:23" x14ac:dyDescent="0.3">
      <c r="A486" s="12" t="s">
        <v>547</v>
      </c>
      <c r="B486" s="19">
        <v>42118</v>
      </c>
      <c r="C486" s="46" t="s">
        <v>28</v>
      </c>
      <c r="D486" s="13" t="s">
        <v>45</v>
      </c>
      <c r="E486" s="13" t="s">
        <v>13</v>
      </c>
      <c r="F486" s="13" t="s">
        <v>14</v>
      </c>
      <c r="G486" s="13">
        <v>9.65</v>
      </c>
      <c r="H486" s="13">
        <v>18</v>
      </c>
      <c r="I486" s="13">
        <v>173.70000000000002</v>
      </c>
      <c r="J486" s="14" t="s">
        <v>26</v>
      </c>
      <c r="N486" s="50"/>
      <c r="Q486" s="51"/>
      <c r="R486" s="51"/>
      <c r="S486" s="51"/>
      <c r="T486" s="51"/>
      <c r="U486" s="51"/>
      <c r="V486" s="51"/>
      <c r="W486" s="51"/>
    </row>
    <row r="487" spans="1:23" x14ac:dyDescent="0.3">
      <c r="A487" s="12" t="s">
        <v>548</v>
      </c>
      <c r="B487" s="19">
        <v>42118</v>
      </c>
      <c r="C487" s="46" t="s">
        <v>20</v>
      </c>
      <c r="D487" s="13" t="s">
        <v>45</v>
      </c>
      <c r="E487" s="13" t="s">
        <v>34</v>
      </c>
      <c r="F487" s="13" t="s">
        <v>35</v>
      </c>
      <c r="G487" s="13">
        <v>81</v>
      </c>
      <c r="H487" s="13">
        <v>45</v>
      </c>
      <c r="I487" s="13">
        <v>3645</v>
      </c>
      <c r="J487" s="14" t="s">
        <v>26</v>
      </c>
      <c r="N487" s="50"/>
      <c r="Q487" s="51"/>
      <c r="R487" s="51"/>
      <c r="S487" s="51"/>
      <c r="T487" s="51"/>
      <c r="U487" s="51"/>
      <c r="V487" s="51"/>
      <c r="W487" s="51"/>
    </row>
    <row r="488" spans="1:23" x14ac:dyDescent="0.3">
      <c r="A488" s="12" t="s">
        <v>549</v>
      </c>
      <c r="B488" s="19">
        <v>42125</v>
      </c>
      <c r="C488" s="46" t="s">
        <v>31</v>
      </c>
      <c r="D488" s="13" t="s">
        <v>24</v>
      </c>
      <c r="E488" s="13" t="s">
        <v>13</v>
      </c>
      <c r="F488" s="13" t="s">
        <v>66</v>
      </c>
      <c r="G488" s="13">
        <v>55</v>
      </c>
      <c r="H488" s="13">
        <v>300</v>
      </c>
      <c r="I488" s="13">
        <v>16500</v>
      </c>
      <c r="J488" s="14" t="s">
        <v>15</v>
      </c>
      <c r="N488" s="50"/>
      <c r="Q488" s="51"/>
      <c r="R488" s="51"/>
      <c r="S488" s="51"/>
      <c r="T488" s="51"/>
      <c r="U488" s="51"/>
      <c r="V488" s="51"/>
      <c r="W488" s="51"/>
    </row>
    <row r="489" spans="1:23" x14ac:dyDescent="0.3">
      <c r="A489" s="12" t="s">
        <v>550</v>
      </c>
      <c r="B489" s="19">
        <v>42126</v>
      </c>
      <c r="C489" s="46" t="s">
        <v>28</v>
      </c>
      <c r="D489" s="13" t="s">
        <v>45</v>
      </c>
      <c r="E489" s="13" t="s">
        <v>21</v>
      </c>
      <c r="F489" s="13" t="s">
        <v>375</v>
      </c>
      <c r="G489" s="13">
        <v>17</v>
      </c>
      <c r="H489" s="13">
        <v>216</v>
      </c>
      <c r="I489" s="13">
        <v>3672</v>
      </c>
      <c r="J489" s="14" t="s">
        <v>26</v>
      </c>
      <c r="N489" s="50"/>
      <c r="Q489" s="51"/>
      <c r="R489" s="51"/>
      <c r="S489" s="51"/>
      <c r="T489" s="51"/>
      <c r="U489" s="51"/>
      <c r="V489" s="51"/>
      <c r="W489" s="51"/>
    </row>
    <row r="490" spans="1:23" x14ac:dyDescent="0.3">
      <c r="A490" s="12" t="s">
        <v>551</v>
      </c>
      <c r="B490" s="19">
        <v>42126</v>
      </c>
      <c r="C490" s="46" t="s">
        <v>20</v>
      </c>
      <c r="D490" s="13" t="s">
        <v>45</v>
      </c>
      <c r="E490" s="13" t="s">
        <v>34</v>
      </c>
      <c r="F490" s="13" t="s">
        <v>64</v>
      </c>
      <c r="G490" s="13">
        <v>25.89</v>
      </c>
      <c r="H490" s="13">
        <v>150</v>
      </c>
      <c r="I490" s="13">
        <v>3883.5</v>
      </c>
      <c r="J490" s="14" t="s">
        <v>26</v>
      </c>
      <c r="N490" s="50"/>
      <c r="Q490" s="51"/>
      <c r="R490" s="51"/>
      <c r="S490" s="51"/>
      <c r="T490" s="51"/>
      <c r="U490" s="51"/>
      <c r="V490" s="51"/>
      <c r="W490" s="51"/>
    </row>
    <row r="491" spans="1:23" x14ac:dyDescent="0.3">
      <c r="A491" s="12" t="s">
        <v>552</v>
      </c>
      <c r="B491" s="19">
        <v>42132</v>
      </c>
      <c r="C491" s="46" t="s">
        <v>28</v>
      </c>
      <c r="D491" s="13" t="s">
        <v>45</v>
      </c>
      <c r="E491" s="13" t="s">
        <v>17</v>
      </c>
      <c r="F491" s="13" t="s">
        <v>54</v>
      </c>
      <c r="G491" s="13">
        <v>15</v>
      </c>
      <c r="H491" s="13">
        <v>28</v>
      </c>
      <c r="I491" s="13">
        <v>420</v>
      </c>
      <c r="J491" s="14" t="s">
        <v>26</v>
      </c>
      <c r="N491" s="50"/>
      <c r="Q491" s="51"/>
      <c r="R491" s="51"/>
      <c r="S491" s="51"/>
      <c r="T491" s="51"/>
      <c r="U491" s="51"/>
      <c r="V491" s="51"/>
      <c r="W491" s="51"/>
    </row>
    <row r="492" spans="1:23" x14ac:dyDescent="0.3">
      <c r="A492" s="12" t="s">
        <v>553</v>
      </c>
      <c r="B492" s="19">
        <v>42132</v>
      </c>
      <c r="C492" s="46" t="s">
        <v>11</v>
      </c>
      <c r="D492" s="13" t="s">
        <v>45</v>
      </c>
      <c r="E492" s="13" t="s">
        <v>13</v>
      </c>
      <c r="F492" s="13" t="s">
        <v>56</v>
      </c>
      <c r="G492" s="13">
        <v>34.799999999999997</v>
      </c>
      <c r="H492" s="13">
        <v>7</v>
      </c>
      <c r="I492" s="13">
        <v>243.59999999999997</v>
      </c>
      <c r="J492" s="14" t="s">
        <v>26</v>
      </c>
      <c r="N492" s="50"/>
      <c r="Q492" s="51"/>
      <c r="R492" s="51"/>
      <c r="S492" s="51"/>
      <c r="T492" s="51"/>
      <c r="U492" s="51"/>
      <c r="V492" s="51"/>
      <c r="W492" s="51"/>
    </row>
    <row r="493" spans="1:23" x14ac:dyDescent="0.3">
      <c r="A493" s="12" t="s">
        <v>379</v>
      </c>
      <c r="B493" s="19">
        <v>42133</v>
      </c>
      <c r="C493" s="46" t="s">
        <v>20</v>
      </c>
      <c r="D493" s="13" t="s">
        <v>45</v>
      </c>
      <c r="E493" s="13" t="s">
        <v>13</v>
      </c>
      <c r="F493" s="13" t="s">
        <v>113</v>
      </c>
      <c r="G493" s="13">
        <v>2.5</v>
      </c>
      <c r="H493" s="13">
        <v>15</v>
      </c>
      <c r="I493" s="13">
        <v>37.5</v>
      </c>
      <c r="J493" s="14" t="s">
        <v>26</v>
      </c>
      <c r="N493" s="50"/>
      <c r="Q493" s="51"/>
      <c r="R493" s="51"/>
      <c r="S493" s="51"/>
      <c r="T493" s="51"/>
      <c r="U493" s="51"/>
      <c r="V493" s="51"/>
      <c r="W493" s="51"/>
    </row>
    <row r="494" spans="1:23" x14ac:dyDescent="0.3">
      <c r="A494" s="12" t="s">
        <v>380</v>
      </c>
      <c r="B494" s="19">
        <v>42133</v>
      </c>
      <c r="C494" s="46" t="s">
        <v>28</v>
      </c>
      <c r="D494" s="13" t="s">
        <v>45</v>
      </c>
      <c r="E494" s="13" t="s">
        <v>34</v>
      </c>
      <c r="F494" s="13" t="s">
        <v>64</v>
      </c>
      <c r="G494" s="13">
        <v>6</v>
      </c>
      <c r="H494" s="13">
        <v>8</v>
      </c>
      <c r="I494" s="13">
        <v>48</v>
      </c>
      <c r="J494" s="14" t="s">
        <v>26</v>
      </c>
      <c r="N494" s="50"/>
      <c r="Q494" s="51"/>
      <c r="R494" s="51"/>
      <c r="S494" s="51"/>
      <c r="T494" s="51"/>
      <c r="U494" s="51"/>
      <c r="V494" s="51"/>
      <c r="W494" s="51"/>
    </row>
    <row r="495" spans="1:23" x14ac:dyDescent="0.3">
      <c r="A495" s="12" t="s">
        <v>554</v>
      </c>
      <c r="B495" s="19">
        <v>42133</v>
      </c>
      <c r="C495" s="46" t="s">
        <v>20</v>
      </c>
      <c r="D495" s="13" t="s">
        <v>45</v>
      </c>
      <c r="E495" s="13" t="s">
        <v>34</v>
      </c>
      <c r="F495" s="13" t="s">
        <v>241</v>
      </c>
      <c r="G495" s="13">
        <v>10</v>
      </c>
      <c r="H495" s="13">
        <v>135</v>
      </c>
      <c r="I495" s="13">
        <v>1350</v>
      </c>
      <c r="J495" s="14" t="s">
        <v>26</v>
      </c>
      <c r="N495" s="50"/>
      <c r="Q495" s="51"/>
      <c r="R495" s="51"/>
      <c r="S495" s="51"/>
      <c r="T495" s="51"/>
      <c r="U495" s="51"/>
      <c r="V495" s="51"/>
      <c r="W495" s="51"/>
    </row>
    <row r="496" spans="1:23" x14ac:dyDescent="0.3">
      <c r="A496" s="12" t="s">
        <v>382</v>
      </c>
      <c r="B496" s="19">
        <v>42133</v>
      </c>
      <c r="C496" s="46" t="s">
        <v>28</v>
      </c>
      <c r="D496" s="13" t="s">
        <v>45</v>
      </c>
      <c r="E496" s="13" t="s">
        <v>34</v>
      </c>
      <c r="F496" s="13" t="s">
        <v>75</v>
      </c>
      <c r="G496" s="13">
        <v>20</v>
      </c>
      <c r="H496" s="13">
        <v>6</v>
      </c>
      <c r="I496" s="13">
        <v>120</v>
      </c>
      <c r="J496" s="14" t="s">
        <v>26</v>
      </c>
      <c r="N496" s="50"/>
      <c r="Q496" s="51"/>
      <c r="R496" s="51"/>
      <c r="S496" s="51"/>
      <c r="T496" s="51"/>
      <c r="U496" s="51"/>
      <c r="V496" s="51"/>
      <c r="W496" s="51"/>
    </row>
    <row r="497" spans="1:23" x14ac:dyDescent="0.3">
      <c r="A497" s="12" t="s">
        <v>555</v>
      </c>
      <c r="B497" s="19">
        <v>42136</v>
      </c>
      <c r="C497" s="46" t="s">
        <v>20</v>
      </c>
      <c r="D497" s="13" t="s">
        <v>24</v>
      </c>
      <c r="E497" s="13" t="s">
        <v>17</v>
      </c>
      <c r="F497" s="13" t="s">
        <v>32</v>
      </c>
      <c r="G497" s="13">
        <v>263.5</v>
      </c>
      <c r="H497" s="13">
        <v>12</v>
      </c>
      <c r="I497" s="13">
        <v>3162</v>
      </c>
      <c r="J497" s="14" t="s">
        <v>15</v>
      </c>
      <c r="N497" s="50"/>
      <c r="Q497" s="51"/>
      <c r="R497" s="51"/>
      <c r="S497" s="51"/>
      <c r="T497" s="51"/>
      <c r="U497" s="51"/>
      <c r="V497" s="51"/>
      <c r="W497" s="51"/>
    </row>
    <row r="498" spans="1:23" x14ac:dyDescent="0.3">
      <c r="A498" s="12" t="s">
        <v>556</v>
      </c>
      <c r="B498" s="19">
        <v>42136</v>
      </c>
      <c r="C498" s="46" t="s">
        <v>20</v>
      </c>
      <c r="D498" s="13" t="s">
        <v>12</v>
      </c>
      <c r="E498" s="13" t="s">
        <v>17</v>
      </c>
      <c r="F498" s="13" t="s">
        <v>128</v>
      </c>
      <c r="G498" s="13">
        <v>4.5</v>
      </c>
      <c r="H498" s="13">
        <v>70</v>
      </c>
      <c r="I498" s="13">
        <v>315</v>
      </c>
      <c r="J498" s="14" t="s">
        <v>15</v>
      </c>
      <c r="N498" s="50"/>
      <c r="Q498" s="51"/>
      <c r="R498" s="51"/>
      <c r="S498" s="51"/>
      <c r="T498" s="51"/>
      <c r="U498" s="51"/>
      <c r="V498" s="51"/>
      <c r="W498" s="51"/>
    </row>
    <row r="499" spans="1:23" x14ac:dyDescent="0.3">
      <c r="A499" s="12" t="s">
        <v>557</v>
      </c>
      <c r="B499" s="19">
        <v>42136</v>
      </c>
      <c r="C499" s="46" t="s">
        <v>31</v>
      </c>
      <c r="D499" s="13" t="s">
        <v>12</v>
      </c>
      <c r="E499" s="13" t="s">
        <v>21</v>
      </c>
      <c r="F499" s="13" t="s">
        <v>87</v>
      </c>
      <c r="G499" s="13">
        <v>21.05</v>
      </c>
      <c r="H499" s="13">
        <v>324</v>
      </c>
      <c r="I499" s="13">
        <v>6820.2</v>
      </c>
      <c r="J499" s="14" t="s">
        <v>15</v>
      </c>
      <c r="N499" s="50"/>
      <c r="Q499" s="51"/>
      <c r="R499" s="51"/>
      <c r="S499" s="51"/>
      <c r="T499" s="51"/>
      <c r="U499" s="51"/>
      <c r="V499" s="51"/>
      <c r="W499" s="51"/>
    </row>
    <row r="500" spans="1:23" x14ac:dyDescent="0.3">
      <c r="A500" s="12" t="s">
        <v>558</v>
      </c>
      <c r="B500" s="19">
        <v>42140</v>
      </c>
      <c r="C500" s="46" t="s">
        <v>28</v>
      </c>
      <c r="D500" s="13" t="s">
        <v>45</v>
      </c>
      <c r="E500" s="13" t="s">
        <v>13</v>
      </c>
      <c r="F500" s="13" t="s">
        <v>121</v>
      </c>
      <c r="G500" s="13">
        <v>32</v>
      </c>
      <c r="H500" s="13">
        <v>96</v>
      </c>
      <c r="I500" s="13">
        <v>3072</v>
      </c>
      <c r="J500" s="14" t="s">
        <v>26</v>
      </c>
      <c r="N500" s="50"/>
      <c r="Q500" s="51"/>
      <c r="R500" s="51"/>
      <c r="S500" s="51"/>
      <c r="T500" s="51"/>
      <c r="U500" s="51"/>
      <c r="V500" s="51"/>
      <c r="W500" s="51"/>
    </row>
    <row r="501" spans="1:23" x14ac:dyDescent="0.3">
      <c r="A501" s="12" t="s">
        <v>559</v>
      </c>
      <c r="B501" s="19">
        <v>42140</v>
      </c>
      <c r="C501" s="46" t="s">
        <v>11</v>
      </c>
      <c r="D501" s="13" t="s">
        <v>45</v>
      </c>
      <c r="E501" s="13" t="s">
        <v>21</v>
      </c>
      <c r="F501" s="13" t="s">
        <v>22</v>
      </c>
      <c r="G501" s="13">
        <v>19</v>
      </c>
      <c r="H501" s="13">
        <v>240</v>
      </c>
      <c r="I501" s="13">
        <v>4560</v>
      </c>
      <c r="J501" s="14" t="s">
        <v>26</v>
      </c>
      <c r="N501" s="50"/>
      <c r="Q501" s="51"/>
      <c r="R501" s="51"/>
      <c r="S501" s="51"/>
      <c r="T501" s="51"/>
      <c r="U501" s="51"/>
      <c r="V501" s="51"/>
      <c r="W501" s="51"/>
    </row>
    <row r="502" spans="1:23" x14ac:dyDescent="0.3">
      <c r="A502" s="12" t="s">
        <v>560</v>
      </c>
      <c r="B502" s="19">
        <v>42145</v>
      </c>
      <c r="C502" s="46" t="s">
        <v>31</v>
      </c>
      <c r="D502" s="13" t="s">
        <v>85</v>
      </c>
      <c r="E502" s="13" t="s">
        <v>51</v>
      </c>
      <c r="F502" s="13" t="s">
        <v>118</v>
      </c>
      <c r="G502" s="13">
        <v>39</v>
      </c>
      <c r="H502" s="13">
        <v>80</v>
      </c>
      <c r="I502" s="13">
        <v>3120</v>
      </c>
      <c r="J502" s="14" t="s">
        <v>26</v>
      </c>
      <c r="N502" s="50"/>
      <c r="Q502" s="51"/>
      <c r="R502" s="51"/>
      <c r="S502" s="51"/>
      <c r="T502" s="51"/>
      <c r="U502" s="51"/>
      <c r="V502" s="51"/>
      <c r="W502" s="51"/>
    </row>
    <row r="503" spans="1:23" x14ac:dyDescent="0.3">
      <c r="A503" s="12" t="s">
        <v>561</v>
      </c>
      <c r="B503" s="19">
        <v>42145</v>
      </c>
      <c r="C503" s="46" t="s">
        <v>20</v>
      </c>
      <c r="D503" s="13" t="s">
        <v>85</v>
      </c>
      <c r="E503" s="13" t="s">
        <v>21</v>
      </c>
      <c r="F503" s="13" t="s">
        <v>22</v>
      </c>
      <c r="G503" s="13">
        <v>28.5</v>
      </c>
      <c r="H503" s="13">
        <v>70</v>
      </c>
      <c r="I503" s="13">
        <v>1995</v>
      </c>
      <c r="J503" s="14" t="s">
        <v>26</v>
      </c>
      <c r="N503" s="50"/>
      <c r="Q503" s="51"/>
      <c r="R503" s="51"/>
      <c r="S503" s="51"/>
      <c r="T503" s="51"/>
      <c r="U503" s="51"/>
      <c r="V503" s="51"/>
      <c r="W503" s="51"/>
    </row>
    <row r="504" spans="1:23" x14ac:dyDescent="0.3">
      <c r="A504" s="12" t="s">
        <v>562</v>
      </c>
      <c r="B504" s="19">
        <v>42145</v>
      </c>
      <c r="C504" s="46" t="s">
        <v>20</v>
      </c>
      <c r="D504" s="13" t="s">
        <v>85</v>
      </c>
      <c r="E504" s="13" t="s">
        <v>34</v>
      </c>
      <c r="F504" s="13" t="s">
        <v>188</v>
      </c>
      <c r="G504" s="13">
        <v>9.1999999999999993</v>
      </c>
      <c r="H504" s="13">
        <v>70</v>
      </c>
      <c r="I504" s="13">
        <v>644</v>
      </c>
      <c r="J504" s="14" t="s">
        <v>26</v>
      </c>
      <c r="N504" s="50"/>
      <c r="Q504" s="51"/>
      <c r="R504" s="51"/>
      <c r="S504" s="51"/>
      <c r="T504" s="51"/>
      <c r="U504" s="51"/>
      <c r="V504" s="51"/>
      <c r="W504" s="51"/>
    </row>
    <row r="505" spans="1:23" x14ac:dyDescent="0.3">
      <c r="A505" s="12" t="s">
        <v>563</v>
      </c>
      <c r="B505" s="19">
        <v>42145</v>
      </c>
      <c r="C505" s="46" t="s">
        <v>31</v>
      </c>
      <c r="D505" s="13" t="s">
        <v>85</v>
      </c>
      <c r="E505" s="13" t="s">
        <v>34</v>
      </c>
      <c r="F505" s="13" t="s">
        <v>241</v>
      </c>
      <c r="G505" s="13">
        <v>10</v>
      </c>
      <c r="H505" s="13">
        <v>24</v>
      </c>
      <c r="I505" s="13">
        <v>240</v>
      </c>
      <c r="J505" s="14" t="s">
        <v>26</v>
      </c>
      <c r="N505" s="50"/>
      <c r="Q505" s="51"/>
      <c r="R505" s="51"/>
      <c r="S505" s="51"/>
      <c r="T505" s="51"/>
      <c r="U505" s="51"/>
      <c r="V505" s="51"/>
      <c r="W505" s="51"/>
    </row>
    <row r="506" spans="1:23" x14ac:dyDescent="0.3">
      <c r="A506" s="12" t="s">
        <v>564</v>
      </c>
      <c r="B506" s="19">
        <v>42152</v>
      </c>
      <c r="C506" s="46" t="s">
        <v>20</v>
      </c>
      <c r="D506" s="13" t="s">
        <v>45</v>
      </c>
      <c r="E506" s="13" t="s">
        <v>51</v>
      </c>
      <c r="F506" s="13" t="s">
        <v>138</v>
      </c>
      <c r="G506" s="13">
        <v>32.799999999999997</v>
      </c>
      <c r="H506" s="13">
        <v>36</v>
      </c>
      <c r="I506" s="13">
        <v>1180.8</v>
      </c>
      <c r="J506" s="14" t="s">
        <v>26</v>
      </c>
      <c r="N506" s="50"/>
      <c r="Q506" s="51"/>
      <c r="R506" s="51"/>
      <c r="S506" s="51"/>
      <c r="T506" s="51"/>
      <c r="U506" s="51"/>
      <c r="V506" s="51"/>
      <c r="W506" s="51"/>
    </row>
    <row r="507" spans="1:23" x14ac:dyDescent="0.3">
      <c r="A507" s="12" t="s">
        <v>565</v>
      </c>
      <c r="B507" s="19">
        <v>42152</v>
      </c>
      <c r="C507" s="46" t="s">
        <v>20</v>
      </c>
      <c r="D507" s="13" t="s">
        <v>45</v>
      </c>
      <c r="E507" s="13" t="s">
        <v>34</v>
      </c>
      <c r="F507" s="13" t="s">
        <v>64</v>
      </c>
      <c r="G507" s="13">
        <v>53</v>
      </c>
      <c r="H507" s="13">
        <v>80</v>
      </c>
      <c r="I507" s="13">
        <v>4240</v>
      </c>
      <c r="J507" s="14" t="s">
        <v>26</v>
      </c>
      <c r="N507" s="50"/>
      <c r="Q507" s="51"/>
      <c r="R507" s="51"/>
      <c r="S507" s="51"/>
      <c r="T507" s="51"/>
      <c r="U507" s="51"/>
      <c r="V507" s="51"/>
      <c r="W507" s="51"/>
    </row>
    <row r="508" spans="1:23" x14ac:dyDescent="0.3">
      <c r="A508" s="12" t="s">
        <v>566</v>
      </c>
      <c r="B508" s="19">
        <v>42152</v>
      </c>
      <c r="C508" s="46" t="s">
        <v>11</v>
      </c>
      <c r="D508" s="13" t="s">
        <v>45</v>
      </c>
      <c r="E508" s="13" t="s">
        <v>13</v>
      </c>
      <c r="F508" s="13" t="s">
        <v>14</v>
      </c>
      <c r="G508" s="13">
        <v>7</v>
      </c>
      <c r="H508" s="13">
        <v>120</v>
      </c>
      <c r="I508" s="13">
        <v>840</v>
      </c>
      <c r="J508" s="14" t="s">
        <v>26</v>
      </c>
      <c r="N508" s="50"/>
      <c r="Q508" s="51"/>
      <c r="R508" s="51"/>
      <c r="S508" s="51"/>
      <c r="T508" s="51"/>
      <c r="U508" s="51"/>
      <c r="V508" s="51"/>
      <c r="W508" s="51"/>
    </row>
    <row r="509" spans="1:23" x14ac:dyDescent="0.3">
      <c r="A509" s="12" t="s">
        <v>567</v>
      </c>
      <c r="B509" s="19">
        <v>42152</v>
      </c>
      <c r="C509" s="46" t="s">
        <v>28</v>
      </c>
      <c r="D509" s="13" t="s">
        <v>45</v>
      </c>
      <c r="E509" s="13" t="s">
        <v>17</v>
      </c>
      <c r="F509" s="13" t="s">
        <v>54</v>
      </c>
      <c r="G509" s="13">
        <v>15</v>
      </c>
      <c r="H509" s="13">
        <v>24</v>
      </c>
      <c r="I509" s="13">
        <v>360</v>
      </c>
      <c r="J509" s="14" t="s">
        <v>26</v>
      </c>
      <c r="N509" s="50"/>
      <c r="Q509" s="51"/>
      <c r="R509" s="51"/>
      <c r="S509" s="51"/>
      <c r="T509" s="51"/>
      <c r="U509" s="51"/>
      <c r="V509" s="51"/>
      <c r="W509" s="51"/>
    </row>
    <row r="510" spans="1:23" x14ac:dyDescent="0.3">
      <c r="A510" s="12" t="s">
        <v>395</v>
      </c>
      <c r="B510" s="19">
        <v>42152</v>
      </c>
      <c r="C510" s="46" t="s">
        <v>11</v>
      </c>
      <c r="D510" s="13" t="s">
        <v>45</v>
      </c>
      <c r="E510" s="13" t="s">
        <v>34</v>
      </c>
      <c r="F510" s="13" t="s">
        <v>136</v>
      </c>
      <c r="G510" s="13">
        <v>9.5</v>
      </c>
      <c r="H510" s="13">
        <v>25</v>
      </c>
      <c r="I510" s="13">
        <v>237.5</v>
      </c>
      <c r="J510" s="14" t="s">
        <v>26</v>
      </c>
      <c r="N510" s="50"/>
      <c r="Q510" s="51"/>
      <c r="R510" s="51"/>
      <c r="S510" s="51"/>
      <c r="T510" s="51"/>
      <c r="U510" s="51"/>
      <c r="V510" s="51"/>
      <c r="W510" s="51"/>
    </row>
    <row r="511" spans="1:23" x14ac:dyDescent="0.3">
      <c r="A511" s="12" t="s">
        <v>568</v>
      </c>
      <c r="B511" s="19">
        <v>42158</v>
      </c>
      <c r="C511" s="46" t="s">
        <v>28</v>
      </c>
      <c r="D511" s="13" t="s">
        <v>12</v>
      </c>
      <c r="E511" s="13" t="s">
        <v>51</v>
      </c>
      <c r="F511" s="13" t="s">
        <v>81</v>
      </c>
      <c r="G511" s="13">
        <v>7</v>
      </c>
      <c r="H511" s="13">
        <v>210</v>
      </c>
      <c r="I511" s="13">
        <v>1470</v>
      </c>
      <c r="J511" s="14" t="s">
        <v>26</v>
      </c>
      <c r="N511" s="50"/>
      <c r="Q511" s="51"/>
      <c r="R511" s="51"/>
      <c r="S511" s="51"/>
      <c r="T511" s="51"/>
      <c r="U511" s="51"/>
      <c r="V511" s="51"/>
      <c r="W511" s="51"/>
    </row>
    <row r="512" spans="1:23" x14ac:dyDescent="0.3">
      <c r="A512" s="12" t="s">
        <v>569</v>
      </c>
      <c r="B512" s="19">
        <v>42158</v>
      </c>
      <c r="C512" s="46" t="s">
        <v>11</v>
      </c>
      <c r="D512" s="13" t="s">
        <v>12</v>
      </c>
      <c r="E512" s="13" t="s">
        <v>51</v>
      </c>
      <c r="F512" s="13" t="s">
        <v>81</v>
      </c>
      <c r="G512" s="13">
        <v>19</v>
      </c>
      <c r="H512" s="13">
        <v>75</v>
      </c>
      <c r="I512" s="13">
        <v>1425</v>
      </c>
      <c r="J512" s="14" t="s">
        <v>26</v>
      </c>
      <c r="N512" s="50"/>
      <c r="Q512" s="51"/>
      <c r="R512" s="51"/>
      <c r="S512" s="51"/>
      <c r="T512" s="51"/>
      <c r="U512" s="51"/>
      <c r="V512" s="51"/>
      <c r="W512" s="51"/>
    </row>
    <row r="513" spans="1:23" x14ac:dyDescent="0.3">
      <c r="A513" s="12" t="s">
        <v>570</v>
      </c>
      <c r="B513" s="19">
        <v>42161</v>
      </c>
      <c r="C513" s="46" t="s">
        <v>20</v>
      </c>
      <c r="D513" s="13" t="s">
        <v>85</v>
      </c>
      <c r="E513" s="13" t="s">
        <v>34</v>
      </c>
      <c r="F513" s="13" t="s">
        <v>64</v>
      </c>
      <c r="G513" s="13">
        <v>31</v>
      </c>
      <c r="H513" s="13">
        <v>40</v>
      </c>
      <c r="I513" s="13">
        <v>1240</v>
      </c>
      <c r="J513" s="14" t="s">
        <v>26</v>
      </c>
      <c r="N513" s="50"/>
      <c r="Q513" s="51"/>
      <c r="R513" s="51"/>
      <c r="S513" s="51"/>
      <c r="T513" s="51"/>
      <c r="U513" s="51"/>
      <c r="V513" s="51"/>
      <c r="W513" s="51"/>
    </row>
    <row r="514" spans="1:23" x14ac:dyDescent="0.3">
      <c r="A514" s="12" t="s">
        <v>399</v>
      </c>
      <c r="B514" s="19">
        <v>42172</v>
      </c>
      <c r="C514" s="46" t="s">
        <v>11</v>
      </c>
      <c r="D514" s="13" t="s">
        <v>45</v>
      </c>
      <c r="E514" s="13" t="s">
        <v>17</v>
      </c>
      <c r="F514" s="13" t="s">
        <v>72</v>
      </c>
      <c r="G514" s="13">
        <v>18</v>
      </c>
      <c r="H514" s="13">
        <v>20</v>
      </c>
      <c r="I514" s="13">
        <v>360</v>
      </c>
      <c r="J514" s="14" t="s">
        <v>26</v>
      </c>
      <c r="N514" s="50"/>
      <c r="Q514" s="51"/>
      <c r="R514" s="51"/>
      <c r="S514" s="51"/>
      <c r="T514" s="51"/>
      <c r="U514" s="51"/>
      <c r="V514" s="51"/>
      <c r="W514" s="51"/>
    </row>
    <row r="515" spans="1:23" x14ac:dyDescent="0.3">
      <c r="A515" s="12" t="s">
        <v>571</v>
      </c>
      <c r="B515" s="19">
        <v>42172</v>
      </c>
      <c r="C515" s="46" t="s">
        <v>28</v>
      </c>
      <c r="D515" s="13" t="s">
        <v>45</v>
      </c>
      <c r="E515" s="13" t="s">
        <v>21</v>
      </c>
      <c r="F515" s="13" t="s">
        <v>22</v>
      </c>
      <c r="G515" s="13">
        <v>19.5</v>
      </c>
      <c r="H515" s="13">
        <v>12</v>
      </c>
      <c r="I515" s="13">
        <v>234</v>
      </c>
      <c r="J515" s="14" t="s">
        <v>26</v>
      </c>
      <c r="N515" s="50"/>
      <c r="Q515" s="51"/>
      <c r="R515" s="51"/>
      <c r="S515" s="51"/>
      <c r="T515" s="51"/>
      <c r="U515" s="51"/>
      <c r="V515" s="51"/>
      <c r="W515" s="51"/>
    </row>
    <row r="516" spans="1:23" x14ac:dyDescent="0.3">
      <c r="A516" s="12" t="s">
        <v>572</v>
      </c>
      <c r="B516" s="19">
        <v>42174</v>
      </c>
      <c r="C516" s="46" t="s">
        <v>11</v>
      </c>
      <c r="D516" s="13" t="s">
        <v>12</v>
      </c>
      <c r="E516" s="13" t="s">
        <v>17</v>
      </c>
      <c r="F516" s="13" t="s">
        <v>25</v>
      </c>
      <c r="G516" s="13">
        <v>7.75</v>
      </c>
      <c r="H516" s="13">
        <v>100</v>
      </c>
      <c r="I516" s="13">
        <v>775</v>
      </c>
      <c r="J516" s="14" t="s">
        <v>15</v>
      </c>
      <c r="N516" s="50"/>
      <c r="Q516" s="51"/>
      <c r="R516" s="51"/>
      <c r="S516" s="51"/>
      <c r="T516" s="51"/>
      <c r="U516" s="51"/>
      <c r="V516" s="51"/>
      <c r="W516" s="51"/>
    </row>
    <row r="517" spans="1:23" x14ac:dyDescent="0.3">
      <c r="A517" s="12" t="s">
        <v>402</v>
      </c>
      <c r="B517" s="19">
        <v>42179</v>
      </c>
      <c r="C517" s="46" t="s">
        <v>20</v>
      </c>
      <c r="D517" s="13" t="s">
        <v>12</v>
      </c>
      <c r="E517" s="13" t="s">
        <v>34</v>
      </c>
      <c r="F517" s="13" t="s">
        <v>136</v>
      </c>
      <c r="G517" s="13">
        <v>9.5</v>
      </c>
      <c r="H517" s="13">
        <v>75</v>
      </c>
      <c r="I517" s="13">
        <v>712.5</v>
      </c>
      <c r="J517" s="14" t="s">
        <v>15</v>
      </c>
      <c r="N517" s="50"/>
      <c r="Q517" s="51"/>
      <c r="R517" s="51"/>
      <c r="S517" s="51"/>
      <c r="T517" s="51"/>
      <c r="U517" s="51"/>
      <c r="V517" s="51"/>
      <c r="W517" s="51"/>
    </row>
    <row r="518" spans="1:23" x14ac:dyDescent="0.3">
      <c r="A518" s="12" t="s">
        <v>573</v>
      </c>
      <c r="B518" s="19">
        <v>42180</v>
      </c>
      <c r="C518" s="46" t="s">
        <v>31</v>
      </c>
      <c r="D518" s="13" t="s">
        <v>12</v>
      </c>
      <c r="E518" s="13" t="s">
        <v>17</v>
      </c>
      <c r="F518" s="13" t="s">
        <v>72</v>
      </c>
      <c r="G518" s="13">
        <v>18</v>
      </c>
      <c r="H518" s="13">
        <v>40</v>
      </c>
      <c r="I518" s="13">
        <v>720</v>
      </c>
      <c r="J518" s="14" t="s">
        <v>15</v>
      </c>
      <c r="N518" s="50"/>
      <c r="Q518" s="51"/>
      <c r="R518" s="51"/>
      <c r="S518" s="51"/>
      <c r="T518" s="51"/>
      <c r="U518" s="51"/>
      <c r="V518" s="51"/>
      <c r="W518" s="51"/>
    </row>
    <row r="519" spans="1:23" x14ac:dyDescent="0.3">
      <c r="A519" s="12" t="s">
        <v>574</v>
      </c>
      <c r="B519" s="19">
        <v>42180</v>
      </c>
      <c r="C519" s="46" t="s">
        <v>31</v>
      </c>
      <c r="D519" s="13" t="s">
        <v>12</v>
      </c>
      <c r="E519" s="13" t="s">
        <v>21</v>
      </c>
      <c r="F519" s="13" t="s">
        <v>97</v>
      </c>
      <c r="G519" s="13">
        <v>13</v>
      </c>
      <c r="H519" s="13">
        <v>160</v>
      </c>
      <c r="I519" s="13">
        <v>2080</v>
      </c>
      <c r="J519" s="14" t="s">
        <v>15</v>
      </c>
      <c r="N519" s="50"/>
      <c r="Q519" s="51"/>
      <c r="R519" s="51"/>
      <c r="S519" s="51"/>
      <c r="T519" s="51"/>
      <c r="U519" s="51"/>
      <c r="V519" s="51"/>
      <c r="W519" s="51"/>
    </row>
    <row r="520" spans="1:23" x14ac:dyDescent="0.3">
      <c r="A520" s="12" t="s">
        <v>575</v>
      </c>
      <c r="B520" s="19">
        <v>42193</v>
      </c>
      <c r="C520" s="46" t="s">
        <v>31</v>
      </c>
      <c r="D520" s="13" t="s">
        <v>45</v>
      </c>
      <c r="E520" s="13" t="s">
        <v>34</v>
      </c>
      <c r="F520" s="13" t="s">
        <v>90</v>
      </c>
      <c r="G520" s="13">
        <v>49.3</v>
      </c>
      <c r="H520" s="13">
        <v>100</v>
      </c>
      <c r="I520" s="13">
        <v>4930</v>
      </c>
      <c r="J520" s="14" t="s">
        <v>26</v>
      </c>
      <c r="N520" s="50"/>
      <c r="Q520" s="51"/>
      <c r="R520" s="51"/>
      <c r="S520" s="51"/>
      <c r="T520" s="51"/>
      <c r="U520" s="51"/>
      <c r="V520" s="51"/>
      <c r="W520" s="51"/>
    </row>
    <row r="521" spans="1:23" x14ac:dyDescent="0.3">
      <c r="A521" s="12" t="s">
        <v>576</v>
      </c>
      <c r="B521" s="19">
        <v>42200</v>
      </c>
      <c r="C521" s="46" t="s">
        <v>31</v>
      </c>
      <c r="D521" s="13" t="s">
        <v>12</v>
      </c>
      <c r="E521" s="13" t="s">
        <v>51</v>
      </c>
      <c r="F521" s="13" t="s">
        <v>81</v>
      </c>
      <c r="G521" s="13">
        <v>24</v>
      </c>
      <c r="H521" s="13">
        <v>180</v>
      </c>
      <c r="I521" s="13">
        <v>4320</v>
      </c>
      <c r="J521" s="14" t="s">
        <v>26</v>
      </c>
      <c r="N521" s="50"/>
      <c r="Q521" s="51"/>
      <c r="R521" s="51"/>
      <c r="S521" s="51"/>
      <c r="T521" s="51"/>
      <c r="U521" s="51"/>
      <c r="V521" s="51"/>
      <c r="W521" s="51"/>
    </row>
    <row r="522" spans="1:23" x14ac:dyDescent="0.3">
      <c r="A522" s="12" t="s">
        <v>577</v>
      </c>
      <c r="B522" s="19">
        <v>42200</v>
      </c>
      <c r="C522" s="46" t="s">
        <v>31</v>
      </c>
      <c r="D522" s="13" t="s">
        <v>12</v>
      </c>
      <c r="E522" s="13" t="s">
        <v>21</v>
      </c>
      <c r="F522" s="13" t="s">
        <v>111</v>
      </c>
      <c r="G522" s="13">
        <v>22</v>
      </c>
      <c r="H522" s="13">
        <v>180</v>
      </c>
      <c r="I522" s="13">
        <v>3960</v>
      </c>
      <c r="J522" s="14" t="s">
        <v>26</v>
      </c>
      <c r="N522" s="50"/>
      <c r="Q522" s="51"/>
      <c r="R522" s="51"/>
      <c r="S522" s="51"/>
      <c r="T522" s="51"/>
      <c r="U522" s="51"/>
      <c r="V522" s="51"/>
      <c r="W522" s="51"/>
    </row>
    <row r="523" spans="1:23" x14ac:dyDescent="0.3">
      <c r="A523" s="12" t="s">
        <v>578</v>
      </c>
      <c r="B523" s="19">
        <v>42200</v>
      </c>
      <c r="C523" s="46" t="s">
        <v>11</v>
      </c>
      <c r="D523" s="13" t="s">
        <v>12</v>
      </c>
      <c r="E523" s="13" t="s">
        <v>34</v>
      </c>
      <c r="F523" s="13" t="s">
        <v>90</v>
      </c>
      <c r="G523" s="13">
        <v>49.3</v>
      </c>
      <c r="H523" s="13">
        <v>80</v>
      </c>
      <c r="I523" s="13">
        <v>3944</v>
      </c>
      <c r="J523" s="14" t="s">
        <v>26</v>
      </c>
      <c r="N523" s="50"/>
      <c r="Q523" s="51"/>
      <c r="R523" s="51"/>
      <c r="S523" s="51"/>
      <c r="T523" s="51"/>
      <c r="U523" s="51"/>
      <c r="V523" s="51"/>
      <c r="W523" s="51"/>
    </row>
    <row r="524" spans="1:23" x14ac:dyDescent="0.3">
      <c r="A524" s="12" t="s">
        <v>579</v>
      </c>
      <c r="B524" s="19">
        <v>42214</v>
      </c>
      <c r="C524" s="46" t="s">
        <v>11</v>
      </c>
      <c r="D524" s="13" t="s">
        <v>45</v>
      </c>
      <c r="E524" s="13" t="s">
        <v>17</v>
      </c>
      <c r="F524" s="13" t="s">
        <v>54</v>
      </c>
      <c r="G524" s="13">
        <v>15</v>
      </c>
      <c r="H524" s="13">
        <v>40</v>
      </c>
      <c r="I524" s="13">
        <v>600</v>
      </c>
      <c r="J524" s="14" t="s">
        <v>26</v>
      </c>
      <c r="N524" s="50"/>
      <c r="Q524" s="51"/>
      <c r="R524" s="51"/>
      <c r="S524" s="51"/>
      <c r="T524" s="51"/>
      <c r="U524" s="51"/>
      <c r="V524" s="51"/>
      <c r="W524" s="51"/>
    </row>
    <row r="525" spans="1:23" x14ac:dyDescent="0.3">
      <c r="A525" s="12" t="s">
        <v>580</v>
      </c>
      <c r="B525" s="19">
        <v>42214</v>
      </c>
      <c r="C525" s="46" t="s">
        <v>31</v>
      </c>
      <c r="D525" s="13" t="s">
        <v>45</v>
      </c>
      <c r="E525" s="13" t="s">
        <v>13</v>
      </c>
      <c r="F525" s="13" t="s">
        <v>14</v>
      </c>
      <c r="G525" s="13">
        <v>9</v>
      </c>
      <c r="H525" s="13">
        <v>90</v>
      </c>
      <c r="I525" s="13">
        <v>810</v>
      </c>
      <c r="J525" s="14" t="s">
        <v>26</v>
      </c>
      <c r="N525" s="50"/>
      <c r="Q525" s="51"/>
      <c r="R525" s="51"/>
      <c r="S525" s="51"/>
      <c r="T525" s="51"/>
      <c r="U525" s="51"/>
      <c r="V525" s="51"/>
      <c r="W525" s="51"/>
    </row>
    <row r="526" spans="1:23" x14ac:dyDescent="0.3">
      <c r="A526" s="12" t="s">
        <v>581</v>
      </c>
      <c r="B526" s="19">
        <v>42214</v>
      </c>
      <c r="C526" s="46" t="s">
        <v>11</v>
      </c>
      <c r="D526" s="13" t="s">
        <v>45</v>
      </c>
      <c r="E526" s="13" t="s">
        <v>13</v>
      </c>
      <c r="F526" s="13" t="s">
        <v>124</v>
      </c>
      <c r="G526" s="13">
        <v>21.5</v>
      </c>
      <c r="H526" s="13">
        <v>45</v>
      </c>
      <c r="I526" s="13">
        <v>967.5</v>
      </c>
      <c r="J526" s="14" t="s">
        <v>26</v>
      </c>
      <c r="N526" s="50"/>
      <c r="Q526" s="51"/>
      <c r="R526" s="51"/>
      <c r="S526" s="51"/>
      <c r="T526" s="51"/>
      <c r="U526" s="51"/>
      <c r="V526" s="51"/>
      <c r="W526" s="51"/>
    </row>
    <row r="527" spans="1:23" x14ac:dyDescent="0.3">
      <c r="A527" s="12" t="s">
        <v>582</v>
      </c>
      <c r="B527" s="19">
        <v>42214</v>
      </c>
      <c r="C527" s="46" t="s">
        <v>28</v>
      </c>
      <c r="D527" s="13" t="s">
        <v>45</v>
      </c>
      <c r="E527" s="13" t="s">
        <v>34</v>
      </c>
      <c r="F527" s="13" t="s">
        <v>188</v>
      </c>
      <c r="G527" s="13">
        <v>9.1999999999999993</v>
      </c>
      <c r="H527" s="13">
        <v>50</v>
      </c>
      <c r="I527" s="13">
        <v>459.99999999999994</v>
      </c>
      <c r="J527" s="14" t="s">
        <v>26</v>
      </c>
      <c r="N527" s="50"/>
      <c r="Q527" s="51"/>
      <c r="R527" s="51"/>
      <c r="S527" s="51"/>
      <c r="T527" s="51"/>
      <c r="U527" s="51"/>
      <c r="V527" s="51"/>
      <c r="W527" s="51"/>
    </row>
    <row r="528" spans="1:23" x14ac:dyDescent="0.3">
      <c r="A528" s="12" t="s">
        <v>583</v>
      </c>
      <c r="B528" s="19">
        <v>42215</v>
      </c>
      <c r="C528" s="46" t="s">
        <v>28</v>
      </c>
      <c r="D528" s="13" t="s">
        <v>12</v>
      </c>
      <c r="E528" s="13" t="s">
        <v>17</v>
      </c>
      <c r="F528" s="13" t="s">
        <v>18</v>
      </c>
      <c r="G528" s="13">
        <v>19</v>
      </c>
      <c r="H528" s="13">
        <v>120</v>
      </c>
      <c r="I528" s="13">
        <v>2280</v>
      </c>
      <c r="J528" s="14" t="s">
        <v>26</v>
      </c>
      <c r="N528" s="50"/>
      <c r="Q528" s="51"/>
      <c r="R528" s="51"/>
      <c r="S528" s="51"/>
      <c r="T528" s="51"/>
      <c r="U528" s="51"/>
      <c r="V528" s="51"/>
      <c r="W528" s="51"/>
    </row>
    <row r="529" spans="1:23" x14ac:dyDescent="0.3">
      <c r="A529" s="12" t="s">
        <v>109</v>
      </c>
      <c r="B529" s="19">
        <v>42215</v>
      </c>
      <c r="C529" s="46" t="s">
        <v>31</v>
      </c>
      <c r="D529" s="13" t="s">
        <v>12</v>
      </c>
      <c r="E529" s="13" t="s">
        <v>34</v>
      </c>
      <c r="F529" s="13" t="s">
        <v>43</v>
      </c>
      <c r="G529" s="13">
        <v>12.5</v>
      </c>
      <c r="H529" s="13">
        <v>180</v>
      </c>
      <c r="I529" s="13">
        <v>2250</v>
      </c>
      <c r="J529" s="14" t="s">
        <v>26</v>
      </c>
      <c r="N529" s="50"/>
      <c r="Q529" s="51"/>
      <c r="R529" s="51"/>
      <c r="S529" s="51"/>
      <c r="T529" s="51"/>
      <c r="U529" s="51"/>
      <c r="V529" s="51"/>
      <c r="W529" s="51"/>
    </row>
    <row r="530" spans="1:23" x14ac:dyDescent="0.3">
      <c r="A530" s="12" t="s">
        <v>584</v>
      </c>
      <c r="B530" s="19">
        <v>42221</v>
      </c>
      <c r="C530" s="46" t="s">
        <v>11</v>
      </c>
      <c r="D530" s="13" t="s">
        <v>85</v>
      </c>
      <c r="E530" s="13" t="s">
        <v>51</v>
      </c>
      <c r="F530" s="13" t="s">
        <v>52</v>
      </c>
      <c r="G530" s="13">
        <v>123.79</v>
      </c>
      <c r="H530" s="13">
        <v>100</v>
      </c>
      <c r="I530" s="13">
        <v>12379</v>
      </c>
      <c r="J530" s="14" t="s">
        <v>26</v>
      </c>
      <c r="N530" s="50"/>
      <c r="Q530" s="51"/>
      <c r="R530" s="51"/>
      <c r="S530" s="51"/>
      <c r="T530" s="51"/>
      <c r="U530" s="51"/>
      <c r="V530" s="51"/>
      <c r="W530" s="51"/>
    </row>
    <row r="531" spans="1:23" x14ac:dyDescent="0.3">
      <c r="A531" s="12" t="s">
        <v>585</v>
      </c>
      <c r="B531" s="19">
        <v>42221</v>
      </c>
      <c r="C531" s="46" t="s">
        <v>20</v>
      </c>
      <c r="D531" s="13" t="s">
        <v>85</v>
      </c>
      <c r="E531" s="13" t="s">
        <v>51</v>
      </c>
      <c r="F531" s="13" t="s">
        <v>81</v>
      </c>
      <c r="G531" s="13">
        <v>33.25</v>
      </c>
      <c r="H531" s="13">
        <v>18</v>
      </c>
      <c r="I531" s="13">
        <v>598.5</v>
      </c>
      <c r="J531" s="14" t="s">
        <v>26</v>
      </c>
      <c r="N531" s="50"/>
      <c r="Q531" s="51"/>
      <c r="R531" s="51"/>
      <c r="S531" s="51"/>
      <c r="T531" s="51"/>
      <c r="U531" s="51"/>
      <c r="V531" s="51"/>
      <c r="W531" s="51"/>
    </row>
    <row r="532" spans="1:23" x14ac:dyDescent="0.3">
      <c r="A532" s="12" t="s">
        <v>417</v>
      </c>
      <c r="B532" s="19">
        <v>42228</v>
      </c>
      <c r="C532" s="46" t="s">
        <v>11</v>
      </c>
      <c r="D532" s="13" t="s">
        <v>12</v>
      </c>
      <c r="E532" s="13" t="s">
        <v>51</v>
      </c>
      <c r="F532" s="13" t="s">
        <v>81</v>
      </c>
      <c r="G532" s="13">
        <v>38</v>
      </c>
      <c r="H532" s="13">
        <v>60</v>
      </c>
      <c r="I532" s="13">
        <v>2280</v>
      </c>
      <c r="J532" s="14" t="s">
        <v>15</v>
      </c>
      <c r="N532" s="50"/>
      <c r="Q532" s="51"/>
      <c r="R532" s="51"/>
      <c r="S532" s="51"/>
      <c r="T532" s="51"/>
      <c r="U532" s="51"/>
      <c r="V532" s="51"/>
      <c r="W532" s="51"/>
    </row>
    <row r="533" spans="1:23" x14ac:dyDescent="0.3">
      <c r="A533" s="12" t="s">
        <v>586</v>
      </c>
      <c r="B533" s="19">
        <v>42228</v>
      </c>
      <c r="C533" s="46" t="s">
        <v>28</v>
      </c>
      <c r="D533" s="13" t="s">
        <v>12</v>
      </c>
      <c r="E533" s="13" t="s">
        <v>13</v>
      </c>
      <c r="F533" s="13" t="s">
        <v>14</v>
      </c>
      <c r="G533" s="13">
        <v>21</v>
      </c>
      <c r="H533" s="13">
        <v>100</v>
      </c>
      <c r="I533" s="13">
        <v>2100</v>
      </c>
      <c r="J533" s="14" t="s">
        <v>15</v>
      </c>
      <c r="N533" s="50"/>
      <c r="Q533" s="51"/>
      <c r="R533" s="51"/>
      <c r="S533" s="51"/>
      <c r="T533" s="51"/>
      <c r="U533" s="51"/>
      <c r="V533" s="51"/>
      <c r="W533" s="51"/>
    </row>
    <row r="534" spans="1:23" x14ac:dyDescent="0.3">
      <c r="A534" s="12" t="s">
        <v>419</v>
      </c>
      <c r="B534" s="19">
        <v>42228</v>
      </c>
      <c r="C534" s="46" t="s">
        <v>31</v>
      </c>
      <c r="D534" s="13" t="s">
        <v>12</v>
      </c>
      <c r="E534" s="13" t="s">
        <v>34</v>
      </c>
      <c r="F534" s="13" t="s">
        <v>64</v>
      </c>
      <c r="G534" s="13">
        <v>16.25</v>
      </c>
      <c r="H534" s="13">
        <v>125</v>
      </c>
      <c r="I534" s="13">
        <v>2031.25</v>
      </c>
      <c r="J534" s="14" t="s">
        <v>15</v>
      </c>
      <c r="N534" s="50"/>
      <c r="Q534" s="51"/>
      <c r="R534" s="51"/>
      <c r="S534" s="51"/>
      <c r="T534" s="51"/>
      <c r="U534" s="51"/>
      <c r="V534" s="51"/>
      <c r="W534" s="51"/>
    </row>
    <row r="535" spans="1:23" x14ac:dyDescent="0.3">
      <c r="A535" s="12" t="s">
        <v>587</v>
      </c>
      <c r="B535" s="19">
        <v>42234</v>
      </c>
      <c r="C535" s="46" t="s">
        <v>11</v>
      </c>
      <c r="D535" s="13" t="s">
        <v>12</v>
      </c>
      <c r="E535" s="13" t="s">
        <v>17</v>
      </c>
      <c r="F535" s="13" t="s">
        <v>29</v>
      </c>
      <c r="G535" s="13">
        <v>46</v>
      </c>
      <c r="H535" s="13">
        <v>100</v>
      </c>
      <c r="I535" s="13">
        <v>4600</v>
      </c>
      <c r="J535" s="14" t="s">
        <v>26</v>
      </c>
      <c r="N535" s="50"/>
      <c r="Q535" s="51"/>
      <c r="R535" s="51"/>
      <c r="S535" s="51"/>
      <c r="T535" s="51"/>
      <c r="U535" s="51"/>
      <c r="V535" s="51"/>
      <c r="W535" s="51"/>
    </row>
    <row r="536" spans="1:23" x14ac:dyDescent="0.3">
      <c r="A536" s="12" t="s">
        <v>588</v>
      </c>
      <c r="B536" s="19">
        <v>42234</v>
      </c>
      <c r="C536" s="46" t="s">
        <v>11</v>
      </c>
      <c r="D536" s="13" t="s">
        <v>12</v>
      </c>
      <c r="E536" s="13" t="s">
        <v>17</v>
      </c>
      <c r="F536" s="13" t="s">
        <v>54</v>
      </c>
      <c r="G536" s="13">
        <v>12</v>
      </c>
      <c r="H536" s="13">
        <v>63</v>
      </c>
      <c r="I536" s="13">
        <v>756</v>
      </c>
      <c r="J536" s="14" t="s">
        <v>26</v>
      </c>
      <c r="N536" s="50"/>
      <c r="Q536" s="51"/>
      <c r="R536" s="51"/>
      <c r="S536" s="51"/>
      <c r="T536" s="51"/>
      <c r="U536" s="51"/>
      <c r="V536" s="51"/>
      <c r="W536" s="51"/>
    </row>
    <row r="537" spans="1:23" x14ac:dyDescent="0.3">
      <c r="A537" s="12" t="s">
        <v>422</v>
      </c>
      <c r="B537" s="19">
        <v>42235</v>
      </c>
      <c r="C537" s="46" t="s">
        <v>20</v>
      </c>
      <c r="D537" s="13" t="s">
        <v>12</v>
      </c>
      <c r="E537" s="13" t="s">
        <v>13</v>
      </c>
      <c r="F537" s="13" t="s">
        <v>14</v>
      </c>
      <c r="G537" s="13">
        <v>19</v>
      </c>
      <c r="H537" s="13">
        <v>15</v>
      </c>
      <c r="I537" s="13">
        <v>285</v>
      </c>
      <c r="J537" s="14" t="s">
        <v>15</v>
      </c>
      <c r="N537" s="50"/>
      <c r="Q537" s="51"/>
      <c r="R537" s="51"/>
      <c r="S537" s="51"/>
      <c r="T537" s="51"/>
      <c r="U537" s="51"/>
      <c r="V537" s="51"/>
      <c r="W537" s="51"/>
    </row>
    <row r="538" spans="1:23" x14ac:dyDescent="0.3">
      <c r="A538" s="12" t="s">
        <v>589</v>
      </c>
      <c r="B538" s="19">
        <v>42235</v>
      </c>
      <c r="C538" s="46" t="s">
        <v>31</v>
      </c>
      <c r="D538" s="13" t="s">
        <v>85</v>
      </c>
      <c r="E538" s="13" t="s">
        <v>17</v>
      </c>
      <c r="F538" s="13" t="s">
        <v>54</v>
      </c>
      <c r="G538" s="13">
        <v>62.5</v>
      </c>
      <c r="H538" s="13">
        <v>200</v>
      </c>
      <c r="I538" s="13">
        <v>12500</v>
      </c>
      <c r="J538" s="14" t="s">
        <v>15</v>
      </c>
      <c r="N538" s="50"/>
      <c r="Q538" s="51"/>
      <c r="R538" s="51"/>
      <c r="S538" s="51"/>
      <c r="T538" s="51"/>
      <c r="U538" s="51"/>
      <c r="V538" s="51"/>
      <c r="W538" s="51"/>
    </row>
    <row r="539" spans="1:23" x14ac:dyDescent="0.3">
      <c r="A539" s="12" t="s">
        <v>424</v>
      </c>
      <c r="B539" s="19">
        <v>42236</v>
      </c>
      <c r="C539" s="46" t="s">
        <v>31</v>
      </c>
      <c r="D539" s="13" t="s">
        <v>12</v>
      </c>
      <c r="E539" s="13" t="s">
        <v>17</v>
      </c>
      <c r="F539" s="13" t="s">
        <v>37</v>
      </c>
      <c r="G539" s="13">
        <v>18</v>
      </c>
      <c r="H539" s="13">
        <v>20</v>
      </c>
      <c r="I539" s="13">
        <v>360</v>
      </c>
      <c r="J539" s="14" t="s">
        <v>26</v>
      </c>
      <c r="N539" s="50"/>
      <c r="Q539" s="51"/>
      <c r="R539" s="51"/>
      <c r="S539" s="51"/>
      <c r="T539" s="51"/>
      <c r="U539" s="51"/>
      <c r="V539" s="51"/>
      <c r="W539" s="51"/>
    </row>
    <row r="540" spans="1:23" x14ac:dyDescent="0.3">
      <c r="A540" s="12" t="s">
        <v>590</v>
      </c>
      <c r="B540" s="19">
        <v>42236</v>
      </c>
      <c r="C540" s="46" t="s">
        <v>11</v>
      </c>
      <c r="D540" s="13" t="s">
        <v>12</v>
      </c>
      <c r="E540" s="13" t="s">
        <v>34</v>
      </c>
      <c r="F540" s="13" t="s">
        <v>188</v>
      </c>
      <c r="G540" s="13">
        <v>9.1999999999999993</v>
      </c>
      <c r="H540" s="13">
        <v>300</v>
      </c>
      <c r="I540" s="13">
        <v>2760</v>
      </c>
      <c r="J540" s="14" t="s">
        <v>26</v>
      </c>
      <c r="N540" s="50"/>
      <c r="Q540" s="51"/>
      <c r="R540" s="51"/>
      <c r="S540" s="51"/>
      <c r="T540" s="51"/>
      <c r="U540" s="51"/>
      <c r="V540" s="51"/>
      <c r="W540" s="51"/>
    </row>
    <row r="541" spans="1:23" x14ac:dyDescent="0.3">
      <c r="A541" s="12" t="s">
        <v>591</v>
      </c>
      <c r="B541" s="19">
        <v>42237</v>
      </c>
      <c r="C541" s="46" t="s">
        <v>20</v>
      </c>
      <c r="D541" s="13" t="s">
        <v>12</v>
      </c>
      <c r="E541" s="13" t="s">
        <v>17</v>
      </c>
      <c r="F541" s="13" t="s">
        <v>128</v>
      </c>
      <c r="G541" s="13">
        <v>4.5</v>
      </c>
      <c r="H541" s="13">
        <v>90</v>
      </c>
      <c r="I541" s="13">
        <v>405</v>
      </c>
      <c r="J541" s="14" t="s">
        <v>26</v>
      </c>
      <c r="N541" s="50"/>
      <c r="Q541" s="51"/>
      <c r="R541" s="51"/>
      <c r="S541" s="51"/>
      <c r="T541" s="51"/>
      <c r="U541" s="51"/>
      <c r="V541" s="51"/>
      <c r="W541" s="51"/>
    </row>
    <row r="542" spans="1:23" x14ac:dyDescent="0.3">
      <c r="A542" s="12" t="s">
        <v>592</v>
      </c>
      <c r="B542" s="19">
        <v>42237</v>
      </c>
      <c r="C542" s="46" t="s">
        <v>20</v>
      </c>
      <c r="D542" s="13" t="s">
        <v>12</v>
      </c>
      <c r="E542" s="13" t="s">
        <v>21</v>
      </c>
      <c r="F542" s="13" t="s">
        <v>22</v>
      </c>
      <c r="G542" s="13">
        <v>21</v>
      </c>
      <c r="H542" s="13">
        <v>105</v>
      </c>
      <c r="I542" s="13">
        <v>2205</v>
      </c>
      <c r="J542" s="14" t="s">
        <v>26</v>
      </c>
      <c r="N542" s="50"/>
      <c r="Q542" s="51"/>
      <c r="R542" s="51"/>
      <c r="S542" s="51"/>
      <c r="T542" s="51"/>
      <c r="U542" s="51"/>
      <c r="V542" s="51"/>
      <c r="W542" s="51"/>
    </row>
    <row r="543" spans="1:23" x14ac:dyDescent="0.3">
      <c r="A543" s="12" t="s">
        <v>593</v>
      </c>
      <c r="B543" s="19">
        <v>42238</v>
      </c>
      <c r="C543" s="46" t="s">
        <v>20</v>
      </c>
      <c r="D543" s="13" t="s">
        <v>12</v>
      </c>
      <c r="E543" s="13" t="s">
        <v>51</v>
      </c>
      <c r="F543" s="13" t="s">
        <v>268</v>
      </c>
      <c r="G543" s="13">
        <v>7.45</v>
      </c>
      <c r="H543" s="13">
        <v>150</v>
      </c>
      <c r="I543" s="13">
        <v>1117.5</v>
      </c>
      <c r="J543" s="14" t="s">
        <v>26</v>
      </c>
      <c r="N543" s="50"/>
      <c r="Q543" s="51"/>
      <c r="R543" s="51"/>
      <c r="S543" s="51"/>
      <c r="T543" s="51"/>
      <c r="U543" s="51"/>
      <c r="V543" s="51"/>
      <c r="W543" s="51"/>
    </row>
    <row r="544" spans="1:23" x14ac:dyDescent="0.3">
      <c r="A544" s="12" t="s">
        <v>594</v>
      </c>
      <c r="B544" s="19">
        <v>42238</v>
      </c>
      <c r="C544" s="46" t="s">
        <v>31</v>
      </c>
      <c r="D544" s="13" t="s">
        <v>12</v>
      </c>
      <c r="E544" s="13" t="s">
        <v>51</v>
      </c>
      <c r="F544" s="13" t="s">
        <v>138</v>
      </c>
      <c r="G544" s="13">
        <v>32.799999999999997</v>
      </c>
      <c r="H544" s="13">
        <v>250</v>
      </c>
      <c r="I544" s="13">
        <v>8200</v>
      </c>
      <c r="J544" s="14" t="s">
        <v>26</v>
      </c>
      <c r="N544" s="50"/>
      <c r="Q544" s="51"/>
      <c r="R544" s="51"/>
      <c r="S544" s="51"/>
      <c r="T544" s="51"/>
      <c r="U544" s="51"/>
      <c r="V544" s="51"/>
      <c r="W544" s="51"/>
    </row>
    <row r="545" spans="1:23" x14ac:dyDescent="0.3">
      <c r="A545" s="12" t="s">
        <v>595</v>
      </c>
      <c r="B545" s="19">
        <v>42238</v>
      </c>
      <c r="C545" s="46" t="s">
        <v>20</v>
      </c>
      <c r="D545" s="13" t="s">
        <v>12</v>
      </c>
      <c r="E545" s="13" t="s">
        <v>17</v>
      </c>
      <c r="F545" s="13" t="s">
        <v>54</v>
      </c>
      <c r="G545" s="13">
        <v>25.89</v>
      </c>
      <c r="H545" s="13">
        <v>240</v>
      </c>
      <c r="I545" s="13">
        <v>6213.6</v>
      </c>
      <c r="J545" s="14" t="s">
        <v>26</v>
      </c>
      <c r="N545" s="50"/>
      <c r="Q545" s="51"/>
      <c r="R545" s="51"/>
      <c r="S545" s="51"/>
      <c r="T545" s="51"/>
      <c r="U545" s="51"/>
      <c r="V545" s="51"/>
      <c r="W545" s="51"/>
    </row>
    <row r="546" spans="1:23" x14ac:dyDescent="0.3">
      <c r="A546" s="12" t="s">
        <v>596</v>
      </c>
      <c r="B546" s="19">
        <v>42241</v>
      </c>
      <c r="C546" s="46" t="s">
        <v>11</v>
      </c>
      <c r="D546" s="13" t="s">
        <v>12</v>
      </c>
      <c r="E546" s="13" t="s">
        <v>17</v>
      </c>
      <c r="F546" s="13" t="s">
        <v>54</v>
      </c>
      <c r="G546" s="13">
        <v>14</v>
      </c>
      <c r="H546" s="13">
        <v>140</v>
      </c>
      <c r="I546" s="13">
        <v>1960</v>
      </c>
      <c r="J546" s="14" t="s">
        <v>26</v>
      </c>
      <c r="N546" s="50"/>
      <c r="Q546" s="51"/>
      <c r="R546" s="51"/>
      <c r="S546" s="51"/>
      <c r="T546" s="51"/>
      <c r="U546" s="51"/>
      <c r="V546" s="51"/>
      <c r="W546" s="51"/>
    </row>
    <row r="547" spans="1:23" x14ac:dyDescent="0.3">
      <c r="A547" s="12" t="s">
        <v>597</v>
      </c>
      <c r="B547" s="19">
        <v>42241</v>
      </c>
      <c r="C547" s="46" t="s">
        <v>31</v>
      </c>
      <c r="D547" s="13" t="s">
        <v>12</v>
      </c>
      <c r="E547" s="13" t="s">
        <v>21</v>
      </c>
      <c r="F547" s="13" t="s">
        <v>22</v>
      </c>
      <c r="G547" s="13">
        <v>25.89</v>
      </c>
      <c r="H547" s="13">
        <v>8</v>
      </c>
      <c r="I547" s="13">
        <v>207.12</v>
      </c>
      <c r="J547" s="14" t="s">
        <v>26</v>
      </c>
      <c r="N547" s="50"/>
      <c r="Q547" s="51"/>
      <c r="R547" s="51"/>
      <c r="S547" s="51"/>
      <c r="T547" s="51"/>
      <c r="U547" s="51"/>
      <c r="V547" s="51"/>
      <c r="W547" s="51"/>
    </row>
    <row r="548" spans="1:23" x14ac:dyDescent="0.3">
      <c r="A548" s="12" t="s">
        <v>598</v>
      </c>
      <c r="B548" s="19">
        <v>42245</v>
      </c>
      <c r="C548" s="46" t="s">
        <v>11</v>
      </c>
      <c r="D548" s="13" t="s">
        <v>12</v>
      </c>
      <c r="E548" s="13" t="s">
        <v>17</v>
      </c>
      <c r="F548" s="13" t="s">
        <v>54</v>
      </c>
      <c r="G548" s="13">
        <v>15</v>
      </c>
      <c r="H548" s="13">
        <v>320</v>
      </c>
      <c r="I548" s="13">
        <v>4800</v>
      </c>
      <c r="J548" s="14" t="s">
        <v>26</v>
      </c>
      <c r="N548" s="50"/>
      <c r="Q548" s="51"/>
      <c r="R548" s="51"/>
      <c r="S548" s="51"/>
      <c r="T548" s="51"/>
      <c r="U548" s="51"/>
      <c r="V548" s="51"/>
      <c r="W548" s="51"/>
    </row>
    <row r="549" spans="1:23" x14ac:dyDescent="0.3">
      <c r="A549" s="12" t="s">
        <v>535</v>
      </c>
      <c r="B549" s="19">
        <v>42245</v>
      </c>
      <c r="C549" s="46" t="s">
        <v>31</v>
      </c>
      <c r="D549" s="13" t="s">
        <v>12</v>
      </c>
      <c r="E549" s="13" t="s">
        <v>13</v>
      </c>
      <c r="F549" s="13" t="s">
        <v>99</v>
      </c>
      <c r="G549" s="13">
        <v>12.5</v>
      </c>
      <c r="H549" s="13">
        <v>40</v>
      </c>
      <c r="I549" s="13">
        <v>500</v>
      </c>
      <c r="J549" s="14" t="s">
        <v>26</v>
      </c>
      <c r="N549" s="50"/>
      <c r="Q549" s="51"/>
      <c r="R549" s="51"/>
      <c r="S549" s="51"/>
      <c r="T549" s="51"/>
      <c r="U549" s="51"/>
      <c r="V549" s="51"/>
      <c r="W549" s="51"/>
    </row>
    <row r="550" spans="1:23" x14ac:dyDescent="0.3">
      <c r="A550" s="12" t="s">
        <v>599</v>
      </c>
      <c r="B550" s="19">
        <v>42245</v>
      </c>
      <c r="C550" s="46" t="s">
        <v>31</v>
      </c>
      <c r="D550" s="13" t="s">
        <v>12</v>
      </c>
      <c r="E550" s="13" t="s">
        <v>17</v>
      </c>
      <c r="F550" s="13" t="s">
        <v>54</v>
      </c>
      <c r="G550" s="13">
        <v>18.399999999999999</v>
      </c>
      <c r="H550" s="13">
        <v>48</v>
      </c>
      <c r="I550" s="13">
        <v>883.19999999999993</v>
      </c>
      <c r="J550" s="14" t="s">
        <v>26</v>
      </c>
      <c r="N550" s="50"/>
      <c r="Q550" s="51"/>
      <c r="R550" s="51"/>
      <c r="S550" s="51"/>
      <c r="T550" s="51"/>
      <c r="U550" s="51"/>
      <c r="V550" s="51"/>
      <c r="W550" s="51"/>
    </row>
    <row r="551" spans="1:23" x14ac:dyDescent="0.3">
      <c r="A551" s="12" t="s">
        <v>600</v>
      </c>
      <c r="B551" s="19">
        <v>42258</v>
      </c>
      <c r="C551" s="46" t="s">
        <v>28</v>
      </c>
      <c r="D551" s="13" t="s">
        <v>45</v>
      </c>
      <c r="E551" s="13" t="s">
        <v>21</v>
      </c>
      <c r="F551" s="13" t="s">
        <v>22</v>
      </c>
      <c r="G551" s="13">
        <v>9</v>
      </c>
      <c r="H551" s="13">
        <v>35</v>
      </c>
      <c r="I551" s="13">
        <v>315</v>
      </c>
      <c r="J551" s="14" t="s">
        <v>26</v>
      </c>
      <c r="N551" s="50"/>
      <c r="Q551" s="51"/>
      <c r="R551" s="51"/>
      <c r="S551" s="51"/>
      <c r="T551" s="51"/>
      <c r="U551" s="51"/>
      <c r="V551" s="51"/>
      <c r="W551" s="51"/>
    </row>
    <row r="552" spans="1:23" x14ac:dyDescent="0.3">
      <c r="A552" s="12" t="s">
        <v>601</v>
      </c>
      <c r="B552" s="19">
        <v>42269</v>
      </c>
      <c r="C552" s="46" t="s">
        <v>11</v>
      </c>
      <c r="D552" s="13" t="s">
        <v>12</v>
      </c>
      <c r="E552" s="13" t="s">
        <v>17</v>
      </c>
      <c r="F552" s="13" t="s">
        <v>54</v>
      </c>
      <c r="G552" s="13">
        <v>31</v>
      </c>
      <c r="H552" s="13">
        <v>120</v>
      </c>
      <c r="I552" s="13">
        <v>3720</v>
      </c>
      <c r="J552" s="14" t="s">
        <v>26</v>
      </c>
      <c r="N552" s="50"/>
      <c r="Q552" s="51"/>
      <c r="R552" s="51"/>
      <c r="S552" s="51"/>
      <c r="T552" s="51"/>
      <c r="U552" s="51"/>
      <c r="V552" s="51"/>
      <c r="W552" s="51"/>
    </row>
    <row r="553" spans="1:23" x14ac:dyDescent="0.3">
      <c r="A553" s="12" t="s">
        <v>602</v>
      </c>
      <c r="B553" s="19">
        <v>42269</v>
      </c>
      <c r="C553" s="46" t="s">
        <v>20</v>
      </c>
      <c r="D553" s="13" t="s">
        <v>12</v>
      </c>
      <c r="E553" s="13" t="s">
        <v>34</v>
      </c>
      <c r="F553" s="13" t="s">
        <v>136</v>
      </c>
      <c r="G553" s="13">
        <v>9.5</v>
      </c>
      <c r="H553" s="13">
        <v>150</v>
      </c>
      <c r="I553" s="13">
        <v>1425</v>
      </c>
      <c r="J553" s="14" t="s">
        <v>26</v>
      </c>
      <c r="N553" s="50"/>
      <c r="Q553" s="51"/>
      <c r="R553" s="51"/>
      <c r="S553" s="51"/>
      <c r="T553" s="51"/>
      <c r="U553" s="51"/>
      <c r="V553" s="51"/>
      <c r="W553" s="51"/>
    </row>
    <row r="554" spans="1:23" x14ac:dyDescent="0.3">
      <c r="A554" s="12" t="s">
        <v>603</v>
      </c>
      <c r="B554" s="19">
        <v>42272</v>
      </c>
      <c r="C554" s="46" t="s">
        <v>20</v>
      </c>
      <c r="D554" s="13" t="s">
        <v>12</v>
      </c>
      <c r="E554" s="13" t="s">
        <v>21</v>
      </c>
      <c r="F554" s="13" t="s">
        <v>97</v>
      </c>
      <c r="G554" s="13">
        <v>13</v>
      </c>
      <c r="H554" s="13">
        <v>240</v>
      </c>
      <c r="I554" s="13">
        <v>3120</v>
      </c>
      <c r="J554" s="14" t="s">
        <v>15</v>
      </c>
      <c r="N554" s="50"/>
      <c r="Q554" s="51"/>
      <c r="R554" s="51"/>
      <c r="S554" s="51"/>
      <c r="T554" s="51"/>
      <c r="U554" s="51"/>
      <c r="V554" s="51"/>
      <c r="W554" s="51"/>
    </row>
    <row r="555" spans="1:23" x14ac:dyDescent="0.3">
      <c r="A555" s="12" t="s">
        <v>604</v>
      </c>
      <c r="B555" s="19">
        <v>42272</v>
      </c>
      <c r="C555" s="46" t="s">
        <v>31</v>
      </c>
      <c r="D555" s="13" t="s">
        <v>12</v>
      </c>
      <c r="E555" s="13" t="s">
        <v>51</v>
      </c>
      <c r="F555" s="13" t="s">
        <v>81</v>
      </c>
      <c r="G555" s="13">
        <v>38</v>
      </c>
      <c r="H555" s="13">
        <v>120</v>
      </c>
      <c r="I555" s="13">
        <v>4560</v>
      </c>
      <c r="J555" s="14" t="s">
        <v>15</v>
      </c>
      <c r="N555" s="50"/>
      <c r="Q555" s="51"/>
      <c r="R555" s="51"/>
      <c r="S555" s="51"/>
      <c r="T555" s="51"/>
      <c r="U555" s="51"/>
      <c r="V555" s="51"/>
      <c r="W555" s="51"/>
    </row>
    <row r="556" spans="1:23" x14ac:dyDescent="0.3">
      <c r="A556" s="12" t="s">
        <v>605</v>
      </c>
      <c r="B556" s="19">
        <v>42284</v>
      </c>
      <c r="C556" s="46" t="s">
        <v>20</v>
      </c>
      <c r="D556" s="13" t="s">
        <v>12</v>
      </c>
      <c r="E556" s="13" t="s">
        <v>17</v>
      </c>
      <c r="F556" s="13" t="s">
        <v>128</v>
      </c>
      <c r="G556" s="13">
        <v>4.5</v>
      </c>
      <c r="H556" s="13">
        <v>105</v>
      </c>
      <c r="I556" s="13">
        <v>472.5</v>
      </c>
      <c r="J556" s="14" t="s">
        <v>15</v>
      </c>
      <c r="N556" s="50"/>
      <c r="Q556" s="51"/>
      <c r="R556" s="51"/>
      <c r="S556" s="51"/>
      <c r="T556" s="51"/>
      <c r="U556" s="51"/>
      <c r="V556" s="51"/>
      <c r="W556" s="51"/>
    </row>
    <row r="557" spans="1:23" x14ac:dyDescent="0.3">
      <c r="A557" s="12" t="s">
        <v>606</v>
      </c>
      <c r="B557" s="19">
        <v>42284</v>
      </c>
      <c r="C557" s="46" t="s">
        <v>11</v>
      </c>
      <c r="D557" s="13" t="s">
        <v>12</v>
      </c>
      <c r="E557" s="13" t="s">
        <v>21</v>
      </c>
      <c r="F557" s="13" t="s">
        <v>111</v>
      </c>
      <c r="G557" s="13">
        <v>22</v>
      </c>
      <c r="H557" s="13">
        <v>18</v>
      </c>
      <c r="I557" s="13">
        <v>396</v>
      </c>
      <c r="J557" s="14" t="s">
        <v>15</v>
      </c>
      <c r="N557" s="50"/>
      <c r="Q557" s="51"/>
      <c r="R557" s="51"/>
      <c r="S557" s="51"/>
      <c r="T557" s="51"/>
      <c r="U557" s="51"/>
      <c r="V557" s="51"/>
      <c r="W557" s="51"/>
    </row>
    <row r="558" spans="1:23" x14ac:dyDescent="0.3">
      <c r="A558" s="12" t="s">
        <v>607</v>
      </c>
      <c r="B558" s="19">
        <v>42284</v>
      </c>
      <c r="C558" s="46" t="s">
        <v>31</v>
      </c>
      <c r="D558" s="13" t="s">
        <v>12</v>
      </c>
      <c r="E558" s="13" t="s">
        <v>34</v>
      </c>
      <c r="F558" s="13" t="s">
        <v>339</v>
      </c>
      <c r="G558" s="13">
        <v>12.75</v>
      </c>
      <c r="H558" s="13">
        <v>120</v>
      </c>
      <c r="I558" s="13">
        <v>1530</v>
      </c>
      <c r="J558" s="14" t="s">
        <v>15</v>
      </c>
      <c r="N558" s="50"/>
      <c r="Q558" s="51"/>
      <c r="R558" s="51"/>
      <c r="S558" s="51"/>
      <c r="T558" s="51"/>
      <c r="U558" s="51"/>
      <c r="V558" s="51"/>
      <c r="W558" s="51"/>
    </row>
    <row r="559" spans="1:23" x14ac:dyDescent="0.3">
      <c r="A559" s="12" t="s">
        <v>399</v>
      </c>
      <c r="B559" s="19">
        <v>42286</v>
      </c>
      <c r="C559" s="46" t="s">
        <v>11</v>
      </c>
      <c r="D559" s="13" t="s">
        <v>45</v>
      </c>
      <c r="E559" s="13" t="s">
        <v>17</v>
      </c>
      <c r="F559" s="13" t="s">
        <v>54</v>
      </c>
      <c r="G559" s="13">
        <v>15</v>
      </c>
      <c r="H559" s="13">
        <v>224</v>
      </c>
      <c r="I559" s="13">
        <v>3360</v>
      </c>
      <c r="J559" s="14" t="s">
        <v>26</v>
      </c>
      <c r="N559" s="50"/>
      <c r="Q559" s="51"/>
      <c r="R559" s="51"/>
      <c r="S559" s="51"/>
      <c r="T559" s="51"/>
      <c r="U559" s="51"/>
      <c r="V559" s="51"/>
      <c r="W559" s="51"/>
    </row>
    <row r="560" spans="1:23" x14ac:dyDescent="0.3">
      <c r="A560" s="12" t="s">
        <v>608</v>
      </c>
      <c r="B560" s="19">
        <v>42286</v>
      </c>
      <c r="C560" s="46" t="s">
        <v>20</v>
      </c>
      <c r="D560" s="13" t="s">
        <v>45</v>
      </c>
      <c r="E560" s="13" t="s">
        <v>51</v>
      </c>
      <c r="F560" s="13" t="s">
        <v>81</v>
      </c>
      <c r="G560" s="13">
        <v>24</v>
      </c>
      <c r="H560" s="13">
        <v>63</v>
      </c>
      <c r="I560" s="13">
        <v>1512</v>
      </c>
      <c r="J560" s="14" t="s">
        <v>26</v>
      </c>
      <c r="N560" s="50"/>
      <c r="Q560" s="51"/>
      <c r="R560" s="51"/>
      <c r="S560" s="51"/>
      <c r="T560" s="51"/>
      <c r="U560" s="51"/>
      <c r="V560" s="51"/>
      <c r="W560" s="51"/>
    </row>
    <row r="561" spans="1:23" x14ac:dyDescent="0.3">
      <c r="A561" s="12" t="s">
        <v>443</v>
      </c>
      <c r="B561" s="19">
        <v>42286</v>
      </c>
      <c r="C561" s="46" t="s">
        <v>11</v>
      </c>
      <c r="D561" s="13" t="s">
        <v>45</v>
      </c>
      <c r="E561" s="13" t="s">
        <v>34</v>
      </c>
      <c r="F561" s="13" t="s">
        <v>64</v>
      </c>
      <c r="G561" s="13">
        <v>19.5</v>
      </c>
      <c r="H561" s="13">
        <v>40</v>
      </c>
      <c r="I561" s="13">
        <v>780</v>
      </c>
      <c r="J561" s="14" t="s">
        <v>26</v>
      </c>
      <c r="N561" s="50"/>
      <c r="Q561" s="51"/>
      <c r="R561" s="51"/>
      <c r="S561" s="51"/>
      <c r="T561" s="51"/>
      <c r="U561" s="51"/>
      <c r="V561" s="51"/>
      <c r="W561" s="51"/>
    </row>
    <row r="562" spans="1:23" x14ac:dyDescent="0.3">
      <c r="A562" s="12" t="s">
        <v>609</v>
      </c>
      <c r="B562" s="19">
        <v>42287</v>
      </c>
      <c r="C562" s="46" t="s">
        <v>11</v>
      </c>
      <c r="D562" s="13" t="s">
        <v>12</v>
      </c>
      <c r="E562" s="13" t="s">
        <v>21</v>
      </c>
      <c r="F562" s="13" t="s">
        <v>47</v>
      </c>
      <c r="G562" s="13">
        <v>40</v>
      </c>
      <c r="H562" s="13">
        <v>200</v>
      </c>
      <c r="I562" s="13">
        <v>8000</v>
      </c>
      <c r="J562" s="14" t="s">
        <v>26</v>
      </c>
      <c r="N562" s="50"/>
      <c r="Q562" s="51"/>
      <c r="R562" s="51"/>
      <c r="S562" s="51"/>
      <c r="T562" s="51"/>
      <c r="U562" s="51"/>
      <c r="V562" s="51"/>
      <c r="W562" s="51"/>
    </row>
    <row r="563" spans="1:23" x14ac:dyDescent="0.3">
      <c r="A563" s="12" t="s">
        <v>610</v>
      </c>
      <c r="B563" s="19">
        <v>42287</v>
      </c>
      <c r="C563" s="46" t="s">
        <v>11</v>
      </c>
      <c r="D563" s="13" t="s">
        <v>12</v>
      </c>
      <c r="E563" s="13" t="s">
        <v>34</v>
      </c>
      <c r="F563" s="13" t="s">
        <v>64</v>
      </c>
      <c r="G563" s="13">
        <v>53</v>
      </c>
      <c r="H563" s="13">
        <v>168</v>
      </c>
      <c r="I563" s="13">
        <v>8904</v>
      </c>
      <c r="J563" s="14" t="s">
        <v>26</v>
      </c>
      <c r="N563" s="50"/>
      <c r="Q563" s="51"/>
      <c r="R563" s="51"/>
      <c r="S563" s="51"/>
      <c r="T563" s="51"/>
      <c r="U563" s="51"/>
      <c r="V563" s="51"/>
      <c r="W563" s="51"/>
    </row>
    <row r="564" spans="1:23" x14ac:dyDescent="0.3">
      <c r="A564" s="12" t="s">
        <v>446</v>
      </c>
      <c r="B564" s="19">
        <v>42287</v>
      </c>
      <c r="C564" s="46" t="s">
        <v>20</v>
      </c>
      <c r="D564" s="13" t="s">
        <v>12</v>
      </c>
      <c r="E564" s="13" t="s">
        <v>13</v>
      </c>
      <c r="F564" s="13" t="s">
        <v>41</v>
      </c>
      <c r="G564" s="13">
        <v>34</v>
      </c>
      <c r="H564" s="13">
        <v>10</v>
      </c>
      <c r="I564" s="13">
        <v>340</v>
      </c>
      <c r="J564" s="14" t="s">
        <v>26</v>
      </c>
      <c r="N564" s="50"/>
      <c r="Q564" s="51"/>
      <c r="R564" s="51"/>
      <c r="S564" s="51"/>
      <c r="T564" s="51"/>
      <c r="U564" s="51"/>
      <c r="V564" s="51"/>
      <c r="W564" s="51"/>
    </row>
    <row r="565" spans="1:23" x14ac:dyDescent="0.3">
      <c r="A565" s="12" t="s">
        <v>611</v>
      </c>
      <c r="B565" s="19">
        <v>42294</v>
      </c>
      <c r="C565" s="46" t="s">
        <v>28</v>
      </c>
      <c r="D565" s="13" t="s">
        <v>24</v>
      </c>
      <c r="E565" s="13" t="s">
        <v>21</v>
      </c>
      <c r="F565" s="13" t="s">
        <v>22</v>
      </c>
      <c r="G565" s="13">
        <v>28.5</v>
      </c>
      <c r="H565" s="13">
        <v>40</v>
      </c>
      <c r="I565" s="13">
        <v>1140</v>
      </c>
      <c r="J565" s="14" t="s">
        <v>26</v>
      </c>
      <c r="N565" s="50"/>
      <c r="Q565" s="51"/>
      <c r="R565" s="51"/>
      <c r="S565" s="51"/>
      <c r="T565" s="51"/>
      <c r="U565" s="51"/>
      <c r="V565" s="51"/>
      <c r="W565" s="51"/>
    </row>
    <row r="566" spans="1:23" x14ac:dyDescent="0.3">
      <c r="A566" s="12" t="s">
        <v>612</v>
      </c>
      <c r="B566" s="19">
        <v>42294</v>
      </c>
      <c r="C566" s="46" t="s">
        <v>20</v>
      </c>
      <c r="D566" s="13" t="s">
        <v>24</v>
      </c>
      <c r="E566" s="13" t="s">
        <v>34</v>
      </c>
      <c r="F566" s="13" t="s">
        <v>241</v>
      </c>
      <c r="G566" s="13">
        <v>10</v>
      </c>
      <c r="H566" s="13">
        <v>20</v>
      </c>
      <c r="I566" s="13">
        <v>200</v>
      </c>
      <c r="J566" s="14" t="s">
        <v>26</v>
      </c>
      <c r="N566" s="50"/>
      <c r="Q566" s="51"/>
      <c r="R566" s="51"/>
      <c r="S566" s="51"/>
      <c r="T566" s="51"/>
      <c r="U566" s="51"/>
      <c r="V566" s="51"/>
      <c r="W566" s="51"/>
    </row>
    <row r="567" spans="1:23" x14ac:dyDescent="0.3">
      <c r="A567" s="12" t="s">
        <v>613</v>
      </c>
      <c r="B567" s="19">
        <v>42298</v>
      </c>
      <c r="C567" s="46" t="s">
        <v>28</v>
      </c>
      <c r="D567" s="13" t="s">
        <v>12</v>
      </c>
      <c r="E567" s="13" t="s">
        <v>17</v>
      </c>
      <c r="F567" s="13" t="s">
        <v>72</v>
      </c>
      <c r="G567" s="13">
        <v>18</v>
      </c>
      <c r="H567" s="13">
        <v>84</v>
      </c>
      <c r="I567" s="13">
        <v>1512</v>
      </c>
      <c r="J567" s="14" t="s">
        <v>26</v>
      </c>
      <c r="N567" s="50"/>
      <c r="Q567" s="51"/>
      <c r="R567" s="51"/>
      <c r="S567" s="51"/>
      <c r="T567" s="51"/>
      <c r="U567" s="51"/>
      <c r="V567" s="51"/>
      <c r="W567" s="51"/>
    </row>
    <row r="568" spans="1:23" x14ac:dyDescent="0.3">
      <c r="A568" s="12" t="s">
        <v>614</v>
      </c>
      <c r="B568" s="19">
        <v>42298</v>
      </c>
      <c r="C568" s="46" t="s">
        <v>11</v>
      </c>
      <c r="D568" s="13" t="s">
        <v>12</v>
      </c>
      <c r="E568" s="13" t="s">
        <v>13</v>
      </c>
      <c r="F568" s="13" t="s">
        <v>124</v>
      </c>
      <c r="G568" s="13">
        <v>21.5</v>
      </c>
      <c r="H568" s="13">
        <v>24</v>
      </c>
      <c r="I568" s="13">
        <v>516</v>
      </c>
      <c r="J568" s="14" t="s">
        <v>26</v>
      </c>
      <c r="N568" s="50"/>
      <c r="Q568" s="51"/>
      <c r="R568" s="51"/>
      <c r="S568" s="51"/>
      <c r="T568" s="51"/>
      <c r="U568" s="51"/>
      <c r="V568" s="51"/>
      <c r="W568" s="51"/>
    </row>
    <row r="569" spans="1:23" x14ac:dyDescent="0.3">
      <c r="A569" s="12" t="s">
        <v>615</v>
      </c>
      <c r="B569" s="19">
        <v>42301</v>
      </c>
      <c r="C569" s="46" t="s">
        <v>11</v>
      </c>
      <c r="D569" s="13" t="s">
        <v>12</v>
      </c>
      <c r="E569" s="13" t="s">
        <v>51</v>
      </c>
      <c r="F569" s="13" t="s">
        <v>81</v>
      </c>
      <c r="G569" s="13">
        <v>24</v>
      </c>
      <c r="H569" s="13">
        <v>30</v>
      </c>
      <c r="I569" s="13">
        <v>720</v>
      </c>
      <c r="J569" s="14" t="s">
        <v>26</v>
      </c>
      <c r="N569" s="50"/>
      <c r="Q569" s="51"/>
      <c r="R569" s="51"/>
      <c r="S569" s="51"/>
      <c r="T569" s="51"/>
      <c r="U569" s="51"/>
      <c r="V569" s="51"/>
      <c r="W569" s="51"/>
    </row>
    <row r="570" spans="1:23" x14ac:dyDescent="0.3">
      <c r="A570" s="12" t="s">
        <v>452</v>
      </c>
      <c r="B570" s="19">
        <v>42301</v>
      </c>
      <c r="C570" s="46" t="s">
        <v>20</v>
      </c>
      <c r="D570" s="13" t="s">
        <v>12</v>
      </c>
      <c r="E570" s="13" t="s">
        <v>51</v>
      </c>
      <c r="F570" s="13" t="s">
        <v>81</v>
      </c>
      <c r="G570" s="13">
        <v>7</v>
      </c>
      <c r="H570" s="13">
        <v>4</v>
      </c>
      <c r="I570" s="13">
        <v>28</v>
      </c>
      <c r="J570" s="14" t="s">
        <v>26</v>
      </c>
      <c r="N570" s="50"/>
      <c r="Q570" s="51"/>
      <c r="R570" s="51"/>
      <c r="S570" s="51"/>
      <c r="T570" s="51"/>
      <c r="U570" s="51"/>
      <c r="V570" s="51"/>
      <c r="W570" s="51"/>
    </row>
    <row r="571" spans="1:23" x14ac:dyDescent="0.3">
      <c r="A571" s="12" t="s">
        <v>616</v>
      </c>
      <c r="B571" s="19">
        <v>42301</v>
      </c>
      <c r="C571" s="46" t="s">
        <v>28</v>
      </c>
      <c r="D571" s="13" t="s">
        <v>12</v>
      </c>
      <c r="E571" s="13" t="s">
        <v>51</v>
      </c>
      <c r="F571" s="13" t="s">
        <v>81</v>
      </c>
      <c r="G571" s="13">
        <v>9.65</v>
      </c>
      <c r="H571" s="13">
        <v>120</v>
      </c>
      <c r="I571" s="13">
        <v>1158</v>
      </c>
      <c r="J571" s="14" t="s">
        <v>26</v>
      </c>
      <c r="N571" s="50"/>
      <c r="Q571" s="51"/>
      <c r="R571" s="51"/>
      <c r="S571" s="51"/>
      <c r="T571" s="51"/>
      <c r="U571" s="51"/>
      <c r="V571" s="51"/>
      <c r="W571" s="51"/>
    </row>
    <row r="572" spans="1:23" x14ac:dyDescent="0.3">
      <c r="A572" s="12" t="s">
        <v>617</v>
      </c>
      <c r="B572" s="19">
        <v>42304</v>
      </c>
      <c r="C572" s="46" t="s">
        <v>28</v>
      </c>
      <c r="D572" s="13" t="s">
        <v>45</v>
      </c>
      <c r="E572" s="13" t="s">
        <v>13</v>
      </c>
      <c r="F572" s="13" t="s">
        <v>14</v>
      </c>
      <c r="G572" s="13">
        <v>21</v>
      </c>
      <c r="H572" s="13">
        <v>50</v>
      </c>
      <c r="I572" s="13">
        <v>1050</v>
      </c>
      <c r="J572" s="14" t="s">
        <v>15</v>
      </c>
      <c r="N572" s="50"/>
      <c r="Q572" s="51"/>
      <c r="R572" s="51"/>
      <c r="S572" s="51"/>
      <c r="T572" s="51"/>
      <c r="U572" s="51"/>
      <c r="V572" s="51"/>
      <c r="W572" s="51"/>
    </row>
    <row r="573" spans="1:23" x14ac:dyDescent="0.3">
      <c r="A573" s="12" t="s">
        <v>618</v>
      </c>
      <c r="B573" s="19">
        <v>42305</v>
      </c>
      <c r="C573" s="46" t="s">
        <v>28</v>
      </c>
      <c r="D573" s="13" t="s">
        <v>12</v>
      </c>
      <c r="E573" s="13" t="s">
        <v>51</v>
      </c>
      <c r="F573" s="13" t="s">
        <v>81</v>
      </c>
      <c r="G573" s="13">
        <v>24</v>
      </c>
      <c r="H573" s="13">
        <v>96</v>
      </c>
      <c r="I573" s="13">
        <v>2304</v>
      </c>
      <c r="J573" s="14" t="s">
        <v>26</v>
      </c>
      <c r="N573" s="50"/>
      <c r="Q573" s="51"/>
      <c r="R573" s="51"/>
      <c r="S573" s="51"/>
      <c r="T573" s="51"/>
      <c r="U573" s="51"/>
      <c r="V573" s="51"/>
      <c r="W573" s="51"/>
    </row>
    <row r="574" spans="1:23" x14ac:dyDescent="0.3">
      <c r="A574" s="12" t="s">
        <v>619</v>
      </c>
      <c r="B574" s="19">
        <v>42305</v>
      </c>
      <c r="C574" s="46" t="s">
        <v>28</v>
      </c>
      <c r="D574" s="13" t="s">
        <v>12</v>
      </c>
      <c r="E574" s="13" t="s">
        <v>21</v>
      </c>
      <c r="F574" s="13" t="s">
        <v>22</v>
      </c>
      <c r="G574" s="13">
        <v>25.89</v>
      </c>
      <c r="H574" s="13">
        <v>105</v>
      </c>
      <c r="I574" s="13">
        <v>2718.4500000000003</v>
      </c>
      <c r="J574" s="14" t="s">
        <v>26</v>
      </c>
      <c r="N574" s="50"/>
      <c r="Q574" s="51"/>
      <c r="R574" s="51"/>
      <c r="S574" s="51"/>
      <c r="T574" s="51"/>
      <c r="U574" s="51"/>
      <c r="V574" s="51"/>
      <c r="W574" s="51"/>
    </row>
    <row r="575" spans="1:23" x14ac:dyDescent="0.3">
      <c r="A575" s="12" t="s">
        <v>620</v>
      </c>
      <c r="B575" s="19">
        <v>42305</v>
      </c>
      <c r="C575" s="46" t="s">
        <v>11</v>
      </c>
      <c r="D575" s="13" t="s">
        <v>12</v>
      </c>
      <c r="E575" s="13" t="s">
        <v>51</v>
      </c>
      <c r="F575" s="13" t="s">
        <v>81</v>
      </c>
      <c r="G575" s="13">
        <v>18.399999999999999</v>
      </c>
      <c r="H575" s="13">
        <v>42</v>
      </c>
      <c r="I575" s="13">
        <v>772.8</v>
      </c>
      <c r="J575" s="14" t="s">
        <v>26</v>
      </c>
      <c r="N575" s="50"/>
      <c r="Q575" s="51"/>
      <c r="R575" s="51"/>
      <c r="S575" s="51"/>
      <c r="T575" s="51"/>
      <c r="U575" s="51"/>
      <c r="V575" s="51"/>
      <c r="W575" s="51"/>
    </row>
    <row r="576" spans="1:23" x14ac:dyDescent="0.3">
      <c r="A576" s="12" t="s">
        <v>621</v>
      </c>
      <c r="B576" s="19">
        <v>42308</v>
      </c>
      <c r="C576" s="46" t="s">
        <v>20</v>
      </c>
      <c r="D576" s="13" t="s">
        <v>12</v>
      </c>
      <c r="E576" s="13" t="s">
        <v>17</v>
      </c>
      <c r="F576" s="13" t="s">
        <v>134</v>
      </c>
      <c r="G576" s="13">
        <v>18</v>
      </c>
      <c r="H576" s="13">
        <v>200</v>
      </c>
      <c r="I576" s="13">
        <v>3600</v>
      </c>
      <c r="J576" s="14" t="s">
        <v>26</v>
      </c>
      <c r="N576" s="50"/>
      <c r="Q576" s="51"/>
      <c r="R576" s="51"/>
      <c r="S576" s="51"/>
      <c r="T576" s="51"/>
      <c r="U576" s="51"/>
      <c r="V576" s="51"/>
      <c r="W576" s="51"/>
    </row>
    <row r="577" spans="1:23" x14ac:dyDescent="0.3">
      <c r="A577" s="12" t="s">
        <v>622</v>
      </c>
      <c r="B577" s="19">
        <v>42308</v>
      </c>
      <c r="C577" s="46" t="s">
        <v>11</v>
      </c>
      <c r="D577" s="13" t="s">
        <v>12</v>
      </c>
      <c r="E577" s="13" t="s">
        <v>21</v>
      </c>
      <c r="F577" s="13" t="s">
        <v>39</v>
      </c>
      <c r="G577" s="13">
        <v>25</v>
      </c>
      <c r="H577" s="13">
        <v>240</v>
      </c>
      <c r="I577" s="13">
        <v>6000</v>
      </c>
      <c r="J577" s="14" t="s">
        <v>26</v>
      </c>
      <c r="N577" s="50"/>
      <c r="Q577" s="51"/>
      <c r="R577" s="51"/>
      <c r="S577" s="51"/>
      <c r="T577" s="51"/>
      <c r="U577" s="51"/>
      <c r="V577" s="51"/>
      <c r="W577" s="51"/>
    </row>
    <row r="578" spans="1:23" x14ac:dyDescent="0.3">
      <c r="A578" s="12" t="s">
        <v>623</v>
      </c>
      <c r="B578" s="19">
        <v>42308</v>
      </c>
      <c r="C578" s="46" t="s">
        <v>20</v>
      </c>
      <c r="D578" s="13" t="s">
        <v>12</v>
      </c>
      <c r="E578" s="13" t="s">
        <v>13</v>
      </c>
      <c r="F578" s="13" t="s">
        <v>14</v>
      </c>
      <c r="G578" s="13">
        <v>25.89</v>
      </c>
      <c r="H578" s="13">
        <v>90</v>
      </c>
      <c r="I578" s="13">
        <v>2330.1</v>
      </c>
      <c r="J578" s="14" t="s">
        <v>26</v>
      </c>
      <c r="N578" s="50"/>
      <c r="Q578" s="51"/>
      <c r="R578" s="51"/>
      <c r="S578" s="51"/>
      <c r="T578" s="51"/>
      <c r="U578" s="51"/>
      <c r="V578" s="51"/>
      <c r="W578" s="51"/>
    </row>
    <row r="579" spans="1:23" x14ac:dyDescent="0.3">
      <c r="A579" s="12" t="s">
        <v>624</v>
      </c>
      <c r="B579" s="19">
        <v>42321</v>
      </c>
      <c r="C579" s="46" t="s">
        <v>31</v>
      </c>
      <c r="D579" s="13" t="s">
        <v>45</v>
      </c>
      <c r="E579" s="13" t="s">
        <v>17</v>
      </c>
      <c r="F579" s="13" t="s">
        <v>134</v>
      </c>
      <c r="G579" s="13">
        <v>18</v>
      </c>
      <c r="H579" s="13">
        <v>60</v>
      </c>
      <c r="I579" s="13">
        <v>1080</v>
      </c>
      <c r="J579" s="14" t="s">
        <v>26</v>
      </c>
      <c r="N579" s="50"/>
      <c r="Q579" s="51"/>
      <c r="R579" s="51"/>
      <c r="S579" s="51"/>
      <c r="T579" s="51"/>
      <c r="U579" s="51"/>
      <c r="V579" s="51"/>
      <c r="W579" s="51"/>
    </row>
    <row r="580" spans="1:23" x14ac:dyDescent="0.3">
      <c r="A580" s="12" t="s">
        <v>625</v>
      </c>
      <c r="B580" s="19">
        <v>42321</v>
      </c>
      <c r="C580" s="46" t="s">
        <v>11</v>
      </c>
      <c r="D580" s="13" t="s">
        <v>45</v>
      </c>
      <c r="E580" s="13" t="s">
        <v>34</v>
      </c>
      <c r="F580" s="13" t="s">
        <v>64</v>
      </c>
      <c r="G580" s="13">
        <v>38</v>
      </c>
      <c r="H580" s="13">
        <v>30</v>
      </c>
      <c r="I580" s="13">
        <v>1140</v>
      </c>
      <c r="J580" s="14" t="s">
        <v>26</v>
      </c>
      <c r="N580" s="50"/>
      <c r="Q580" s="51"/>
      <c r="R580" s="51"/>
      <c r="S580" s="51"/>
      <c r="T580" s="51"/>
      <c r="U580" s="51"/>
      <c r="V580" s="51"/>
      <c r="W580" s="51"/>
    </row>
    <row r="581" spans="1:23" x14ac:dyDescent="0.3">
      <c r="A581" s="12" t="s">
        <v>626</v>
      </c>
      <c r="B581" s="19">
        <v>42321</v>
      </c>
      <c r="C581" s="46" t="s">
        <v>28</v>
      </c>
      <c r="D581" s="13" t="s">
        <v>45</v>
      </c>
      <c r="E581" s="13" t="s">
        <v>13</v>
      </c>
      <c r="F581" s="13" t="s">
        <v>66</v>
      </c>
      <c r="G581" s="13">
        <v>55</v>
      </c>
      <c r="H581" s="13">
        <v>36</v>
      </c>
      <c r="I581" s="13">
        <v>1980</v>
      </c>
      <c r="J581" s="14" t="s">
        <v>26</v>
      </c>
      <c r="N581" s="50"/>
      <c r="Q581" s="51"/>
      <c r="R581" s="51"/>
      <c r="S581" s="51"/>
      <c r="T581" s="51"/>
      <c r="U581" s="51"/>
      <c r="V581" s="51"/>
      <c r="W581" s="51"/>
    </row>
    <row r="582" spans="1:23" x14ac:dyDescent="0.3">
      <c r="A582" s="12" t="s">
        <v>627</v>
      </c>
      <c r="B582" s="19">
        <v>42325</v>
      </c>
      <c r="C582" s="46" t="s">
        <v>28</v>
      </c>
      <c r="D582" s="13" t="s">
        <v>45</v>
      </c>
      <c r="E582" s="13" t="s">
        <v>17</v>
      </c>
      <c r="F582" s="13" t="s">
        <v>79</v>
      </c>
      <c r="G582" s="13">
        <v>18</v>
      </c>
      <c r="H582" s="13">
        <v>32</v>
      </c>
      <c r="I582" s="13">
        <v>576</v>
      </c>
      <c r="J582" s="14" t="s">
        <v>26</v>
      </c>
      <c r="N582" s="50"/>
      <c r="Q582" s="51"/>
      <c r="R582" s="51"/>
      <c r="S582" s="51"/>
      <c r="T582" s="51"/>
      <c r="U582" s="51"/>
      <c r="V582" s="51"/>
      <c r="W582" s="51"/>
    </row>
    <row r="583" spans="1:23" x14ac:dyDescent="0.3">
      <c r="A583" s="12" t="s">
        <v>628</v>
      </c>
      <c r="B583" s="19">
        <v>42325</v>
      </c>
      <c r="C583" s="46" t="s">
        <v>11</v>
      </c>
      <c r="D583" s="13" t="s">
        <v>45</v>
      </c>
      <c r="E583" s="13" t="s">
        <v>13</v>
      </c>
      <c r="F583" s="13" t="s">
        <v>186</v>
      </c>
      <c r="G583" s="13">
        <v>36</v>
      </c>
      <c r="H583" s="13">
        <v>15</v>
      </c>
      <c r="I583" s="13">
        <v>540</v>
      </c>
      <c r="J583" s="14" t="s">
        <v>26</v>
      </c>
      <c r="N583" s="50"/>
      <c r="Q583" s="51"/>
      <c r="R583" s="51"/>
      <c r="S583" s="51"/>
      <c r="T583" s="51"/>
      <c r="U583" s="51"/>
      <c r="V583" s="51"/>
      <c r="W583" s="51"/>
    </row>
    <row r="584" spans="1:23" x14ac:dyDescent="0.3">
      <c r="A584" s="12" t="s">
        <v>629</v>
      </c>
      <c r="B584" s="19">
        <v>42339</v>
      </c>
      <c r="C584" s="46" t="s">
        <v>28</v>
      </c>
      <c r="D584" s="13" t="s">
        <v>45</v>
      </c>
      <c r="E584" s="13" t="s">
        <v>13</v>
      </c>
      <c r="F584" s="13" t="s">
        <v>14</v>
      </c>
      <c r="G584" s="13">
        <v>21</v>
      </c>
      <c r="H584" s="13">
        <v>16</v>
      </c>
      <c r="I584" s="13">
        <v>336</v>
      </c>
      <c r="J584" s="14" t="s">
        <v>26</v>
      </c>
      <c r="N584" s="50"/>
      <c r="Q584" s="51"/>
      <c r="R584" s="51"/>
      <c r="S584" s="51"/>
      <c r="T584" s="51"/>
      <c r="U584" s="51"/>
      <c r="V584" s="51"/>
      <c r="W584" s="51"/>
    </row>
    <row r="585" spans="1:23" x14ac:dyDescent="0.3">
      <c r="A585" s="12" t="s">
        <v>630</v>
      </c>
      <c r="B585" s="19">
        <v>42339</v>
      </c>
      <c r="C585" s="46" t="s">
        <v>11</v>
      </c>
      <c r="D585" s="13" t="s">
        <v>45</v>
      </c>
      <c r="E585" s="13" t="s">
        <v>13</v>
      </c>
      <c r="F585" s="13" t="s">
        <v>99</v>
      </c>
      <c r="G585" s="13">
        <v>12.5</v>
      </c>
      <c r="H585" s="13">
        <v>150</v>
      </c>
      <c r="I585" s="13">
        <v>1875</v>
      </c>
      <c r="J585" s="14" t="s">
        <v>26</v>
      </c>
      <c r="N585" s="50"/>
      <c r="Q585" s="51"/>
      <c r="R585" s="51"/>
      <c r="S585" s="51"/>
      <c r="T585" s="51"/>
      <c r="U585" s="51"/>
      <c r="V585" s="51"/>
      <c r="W585" s="51"/>
    </row>
    <row r="586" spans="1:23" x14ac:dyDescent="0.3">
      <c r="A586" s="12" t="s">
        <v>631</v>
      </c>
      <c r="B586" s="19">
        <v>42339</v>
      </c>
      <c r="C586" s="46" t="s">
        <v>28</v>
      </c>
      <c r="D586" s="13" t="s">
        <v>45</v>
      </c>
      <c r="E586" s="13" t="s">
        <v>13</v>
      </c>
      <c r="F586" s="13" t="s">
        <v>124</v>
      </c>
      <c r="G586" s="13">
        <v>21.5</v>
      </c>
      <c r="H586" s="13">
        <v>108</v>
      </c>
      <c r="I586" s="13">
        <v>2322</v>
      </c>
      <c r="J586" s="14" t="s">
        <v>26</v>
      </c>
      <c r="N586" s="50"/>
      <c r="Q586" s="51"/>
      <c r="R586" s="51"/>
      <c r="S586" s="51"/>
      <c r="T586" s="51"/>
      <c r="U586" s="51"/>
      <c r="V586" s="51"/>
      <c r="W586" s="51"/>
    </row>
    <row r="587" spans="1:23" x14ac:dyDescent="0.3">
      <c r="A587" s="12" t="s">
        <v>632</v>
      </c>
      <c r="B587" s="19">
        <v>42340</v>
      </c>
      <c r="C587" s="46" t="s">
        <v>20</v>
      </c>
      <c r="D587" s="13" t="s">
        <v>12</v>
      </c>
      <c r="E587" s="13" t="s">
        <v>13</v>
      </c>
      <c r="F587" s="13" t="s">
        <v>14</v>
      </c>
      <c r="G587" s="13">
        <v>21</v>
      </c>
      <c r="H587" s="13">
        <v>45</v>
      </c>
      <c r="I587" s="13">
        <v>945</v>
      </c>
      <c r="J587" s="14" t="s">
        <v>26</v>
      </c>
      <c r="N587" s="50"/>
      <c r="Q587" s="51"/>
      <c r="R587" s="51"/>
      <c r="S587" s="51"/>
      <c r="T587" s="51"/>
      <c r="U587" s="51"/>
      <c r="V587" s="51"/>
      <c r="W587" s="51"/>
    </row>
    <row r="588" spans="1:23" x14ac:dyDescent="0.3">
      <c r="A588" s="12" t="s">
        <v>633</v>
      </c>
      <c r="B588" s="19">
        <v>42346</v>
      </c>
      <c r="C588" s="46" t="s">
        <v>20</v>
      </c>
      <c r="D588" s="13" t="s">
        <v>12</v>
      </c>
      <c r="E588" s="13" t="s">
        <v>51</v>
      </c>
      <c r="F588" s="13" t="s">
        <v>81</v>
      </c>
      <c r="G588" s="13">
        <v>14</v>
      </c>
      <c r="H588" s="13">
        <v>100</v>
      </c>
      <c r="I588" s="13">
        <v>1400</v>
      </c>
      <c r="J588" s="14" t="s">
        <v>26</v>
      </c>
      <c r="N588" s="50"/>
      <c r="Q588" s="51"/>
      <c r="R588" s="51"/>
      <c r="S588" s="51"/>
      <c r="T588" s="51"/>
      <c r="U588" s="51"/>
      <c r="V588" s="51"/>
      <c r="W588" s="51"/>
    </row>
    <row r="589" spans="1:23" x14ac:dyDescent="0.3">
      <c r="A589" s="12" t="s">
        <v>634</v>
      </c>
      <c r="B589" s="19">
        <v>42348</v>
      </c>
      <c r="C589" s="46" t="s">
        <v>31</v>
      </c>
      <c r="D589" s="13" t="s">
        <v>24</v>
      </c>
      <c r="E589" s="13" t="s">
        <v>13</v>
      </c>
      <c r="F589" s="13" t="s">
        <v>99</v>
      </c>
      <c r="G589" s="13">
        <v>12.5</v>
      </c>
      <c r="H589" s="13">
        <v>4</v>
      </c>
      <c r="I589" s="13">
        <v>50</v>
      </c>
      <c r="J589" s="14" t="s">
        <v>26</v>
      </c>
      <c r="N589" s="50"/>
      <c r="Q589" s="51"/>
      <c r="R589" s="51"/>
      <c r="S589" s="51"/>
      <c r="T589" s="51"/>
      <c r="U589" s="51"/>
      <c r="V589" s="51"/>
      <c r="W589" s="51"/>
    </row>
    <row r="590" spans="1:23" x14ac:dyDescent="0.3">
      <c r="A590" s="12" t="s">
        <v>635</v>
      </c>
      <c r="B590" s="19">
        <v>42349</v>
      </c>
      <c r="C590" s="46" t="s">
        <v>11</v>
      </c>
      <c r="D590" s="13" t="s">
        <v>12</v>
      </c>
      <c r="E590" s="13" t="s">
        <v>17</v>
      </c>
      <c r="F590" s="13" t="s">
        <v>32</v>
      </c>
      <c r="G590" s="13">
        <v>263.5</v>
      </c>
      <c r="H590" s="13">
        <v>50</v>
      </c>
      <c r="I590" s="13">
        <v>13175</v>
      </c>
      <c r="J590" s="14" t="s">
        <v>26</v>
      </c>
      <c r="N590" s="50"/>
      <c r="Q590" s="51"/>
      <c r="R590" s="51"/>
      <c r="S590" s="51"/>
      <c r="T590" s="51"/>
      <c r="U590" s="51"/>
      <c r="V590" s="51"/>
      <c r="W590" s="51"/>
    </row>
    <row r="591" spans="1:23" x14ac:dyDescent="0.3">
      <c r="A591" s="12" t="s">
        <v>636</v>
      </c>
      <c r="B591" s="19">
        <v>42349</v>
      </c>
      <c r="C591" s="46" t="s">
        <v>11</v>
      </c>
      <c r="D591" s="13" t="s">
        <v>12</v>
      </c>
      <c r="E591" s="13" t="s">
        <v>13</v>
      </c>
      <c r="F591" s="13" t="s">
        <v>99</v>
      </c>
      <c r="G591" s="13">
        <v>12.5</v>
      </c>
      <c r="H591" s="13">
        <v>80</v>
      </c>
      <c r="I591" s="13">
        <v>1000</v>
      </c>
      <c r="J591" s="14" t="s">
        <v>26</v>
      </c>
      <c r="N591" s="50"/>
      <c r="Q591" s="51"/>
      <c r="R591" s="51"/>
      <c r="S591" s="51"/>
      <c r="T591" s="51"/>
      <c r="U591" s="51"/>
      <c r="V591" s="51"/>
      <c r="W591" s="51"/>
    </row>
    <row r="592" spans="1:23" x14ac:dyDescent="0.3">
      <c r="A592" s="12" t="s">
        <v>474</v>
      </c>
      <c r="B592" s="19">
        <v>42350</v>
      </c>
      <c r="C592" s="46" t="s">
        <v>20</v>
      </c>
      <c r="D592" s="13" t="s">
        <v>12</v>
      </c>
      <c r="E592" s="13" t="s">
        <v>21</v>
      </c>
      <c r="F592" s="13" t="s">
        <v>47</v>
      </c>
      <c r="G592" s="13">
        <v>40</v>
      </c>
      <c r="H592" s="13">
        <v>180</v>
      </c>
      <c r="I592" s="13">
        <v>7200</v>
      </c>
      <c r="J592" s="14" t="s">
        <v>15</v>
      </c>
      <c r="N592" s="50"/>
      <c r="Q592" s="51"/>
      <c r="R592" s="51"/>
      <c r="S592" s="51"/>
      <c r="T592" s="51"/>
      <c r="U592" s="51"/>
      <c r="V592" s="51"/>
      <c r="W592" s="51"/>
    </row>
    <row r="593" spans="1:23" x14ac:dyDescent="0.3">
      <c r="A593" s="12" t="s">
        <v>637</v>
      </c>
      <c r="B593" s="19">
        <v>42350</v>
      </c>
      <c r="C593" s="46" t="s">
        <v>28</v>
      </c>
      <c r="D593" s="13" t="s">
        <v>12</v>
      </c>
      <c r="E593" s="13" t="s">
        <v>21</v>
      </c>
      <c r="F593" s="13" t="s">
        <v>22</v>
      </c>
      <c r="G593" s="13">
        <v>25.89</v>
      </c>
      <c r="H593" s="13">
        <v>120</v>
      </c>
      <c r="I593" s="13">
        <v>3106.8</v>
      </c>
      <c r="J593" s="14" t="s">
        <v>15</v>
      </c>
      <c r="N593" s="50"/>
      <c r="Q593" s="51"/>
      <c r="R593" s="51"/>
      <c r="S593" s="51"/>
      <c r="T593" s="51"/>
      <c r="U593" s="51"/>
      <c r="V593" s="51"/>
      <c r="W593" s="51"/>
    </row>
    <row r="594" spans="1:23" x14ac:dyDescent="0.3">
      <c r="A594" s="12" t="s">
        <v>638</v>
      </c>
      <c r="B594" s="19">
        <v>42353</v>
      </c>
      <c r="C594" s="46" t="s">
        <v>31</v>
      </c>
      <c r="D594" s="13" t="s">
        <v>12</v>
      </c>
      <c r="E594" s="13" t="s">
        <v>17</v>
      </c>
      <c r="F594" s="13" t="s">
        <v>54</v>
      </c>
      <c r="G594" s="13">
        <v>30</v>
      </c>
      <c r="H594" s="13">
        <v>18</v>
      </c>
      <c r="I594" s="13">
        <v>540</v>
      </c>
      <c r="J594" s="14" t="s">
        <v>15</v>
      </c>
      <c r="N594" s="50"/>
      <c r="Q594" s="51"/>
      <c r="R594" s="51"/>
      <c r="S594" s="51"/>
      <c r="T594" s="51"/>
      <c r="U594" s="51"/>
      <c r="V594" s="51"/>
      <c r="W594" s="51"/>
    </row>
    <row r="595" spans="1:23" x14ac:dyDescent="0.3">
      <c r="A595" s="12" t="s">
        <v>639</v>
      </c>
      <c r="B595" s="19">
        <v>42353</v>
      </c>
      <c r="C595" s="46" t="s">
        <v>20</v>
      </c>
      <c r="D595" s="13" t="s">
        <v>12</v>
      </c>
      <c r="E595" s="13" t="s">
        <v>21</v>
      </c>
      <c r="F595" s="13" t="s">
        <v>22</v>
      </c>
      <c r="G595" s="13">
        <v>38</v>
      </c>
      <c r="H595" s="13">
        <v>180</v>
      </c>
      <c r="I595" s="13">
        <v>6840</v>
      </c>
      <c r="J595" s="14" t="s">
        <v>15</v>
      </c>
      <c r="N595" s="50"/>
      <c r="Q595" s="51"/>
      <c r="R595" s="51"/>
      <c r="S595" s="51"/>
      <c r="T595" s="51"/>
      <c r="U595" s="51"/>
      <c r="V595" s="51"/>
      <c r="W595" s="51"/>
    </row>
    <row r="596" spans="1:23" x14ac:dyDescent="0.3">
      <c r="A596" s="12" t="s">
        <v>640</v>
      </c>
      <c r="B596" s="19">
        <v>42355</v>
      </c>
      <c r="C596" s="46" t="s">
        <v>11</v>
      </c>
      <c r="D596" s="13" t="s">
        <v>12</v>
      </c>
      <c r="E596" s="13" t="s">
        <v>51</v>
      </c>
      <c r="F596" s="13" t="s">
        <v>268</v>
      </c>
      <c r="G596" s="13">
        <v>7.45</v>
      </c>
      <c r="H596" s="13">
        <v>24</v>
      </c>
      <c r="I596" s="13">
        <v>178.8</v>
      </c>
      <c r="J596" s="14" t="s">
        <v>15</v>
      </c>
      <c r="N596" s="50"/>
      <c r="Q596" s="51"/>
      <c r="R596" s="51"/>
      <c r="S596" s="51"/>
      <c r="T596" s="51"/>
      <c r="U596" s="51"/>
      <c r="V596" s="51"/>
      <c r="W596" s="51"/>
    </row>
    <row r="597" spans="1:23" x14ac:dyDescent="0.3">
      <c r="A597" s="12" t="s">
        <v>479</v>
      </c>
      <c r="B597" s="19">
        <v>42355</v>
      </c>
      <c r="C597" s="46" t="s">
        <v>11</v>
      </c>
      <c r="D597" s="13" t="s">
        <v>12</v>
      </c>
      <c r="E597" s="13" t="s">
        <v>51</v>
      </c>
      <c r="F597" s="13" t="s">
        <v>81</v>
      </c>
      <c r="G597" s="13">
        <v>23.25</v>
      </c>
      <c r="H597" s="13">
        <v>15</v>
      </c>
      <c r="I597" s="13">
        <v>348.75</v>
      </c>
      <c r="J597" s="14" t="s">
        <v>15</v>
      </c>
      <c r="N597" s="50"/>
      <c r="Q597" s="51"/>
      <c r="R597" s="51"/>
      <c r="S597" s="51"/>
      <c r="T597" s="51"/>
      <c r="U597" s="51"/>
      <c r="V597" s="51"/>
      <c r="W597" s="51"/>
    </row>
    <row r="598" spans="1:23" x14ac:dyDescent="0.3">
      <c r="A598" s="12" t="s">
        <v>641</v>
      </c>
      <c r="B598" s="19">
        <v>42355</v>
      </c>
      <c r="C598" s="46" t="s">
        <v>28</v>
      </c>
      <c r="D598" s="13" t="s">
        <v>45</v>
      </c>
      <c r="E598" s="13" t="s">
        <v>17</v>
      </c>
      <c r="F598" s="13" t="s">
        <v>54</v>
      </c>
      <c r="G598" s="13">
        <v>7</v>
      </c>
      <c r="H598" s="13">
        <v>56</v>
      </c>
      <c r="I598" s="13">
        <v>392</v>
      </c>
      <c r="J598" s="14" t="s">
        <v>26</v>
      </c>
      <c r="N598" s="50"/>
      <c r="Q598" s="51"/>
      <c r="R598" s="51"/>
      <c r="S598" s="51"/>
      <c r="T598" s="51"/>
      <c r="U598" s="51"/>
      <c r="V598" s="51"/>
      <c r="W598" s="51"/>
    </row>
    <row r="599" spans="1:23" x14ac:dyDescent="0.3">
      <c r="A599" s="12" t="s">
        <v>642</v>
      </c>
      <c r="B599" s="19">
        <v>42355</v>
      </c>
      <c r="C599" s="46" t="s">
        <v>28</v>
      </c>
      <c r="D599" s="13" t="s">
        <v>45</v>
      </c>
      <c r="E599" s="13" t="s">
        <v>51</v>
      </c>
      <c r="F599" s="13" t="s">
        <v>81</v>
      </c>
      <c r="G599" s="13">
        <v>9.65</v>
      </c>
      <c r="H599" s="13">
        <v>98</v>
      </c>
      <c r="I599" s="13">
        <v>945.7</v>
      </c>
      <c r="J599" s="14" t="s">
        <v>26</v>
      </c>
      <c r="N599" s="50"/>
      <c r="Q599" s="51"/>
      <c r="R599" s="51"/>
      <c r="S599" s="51"/>
      <c r="T599" s="51"/>
      <c r="U599" s="51"/>
      <c r="V599" s="51"/>
      <c r="W599" s="51"/>
    </row>
    <row r="600" spans="1:23" x14ac:dyDescent="0.3">
      <c r="A600" s="12" t="s">
        <v>482</v>
      </c>
      <c r="B600" s="19">
        <v>42357</v>
      </c>
      <c r="C600" s="46" t="s">
        <v>31</v>
      </c>
      <c r="D600" s="13" t="s">
        <v>45</v>
      </c>
      <c r="E600" s="13" t="s">
        <v>13</v>
      </c>
      <c r="F600" s="13" t="s">
        <v>56</v>
      </c>
      <c r="G600" s="13">
        <v>34.799999999999997</v>
      </c>
      <c r="H600" s="13">
        <v>10</v>
      </c>
      <c r="I600" s="13">
        <v>348</v>
      </c>
      <c r="J600" s="14" t="s">
        <v>15</v>
      </c>
      <c r="N600" s="50"/>
      <c r="Q600" s="51"/>
      <c r="R600" s="51"/>
      <c r="S600" s="51"/>
      <c r="T600" s="51"/>
      <c r="U600" s="51"/>
      <c r="V600" s="51"/>
      <c r="W600" s="51"/>
    </row>
    <row r="601" spans="1:23" x14ac:dyDescent="0.3">
      <c r="A601" s="12" t="s">
        <v>483</v>
      </c>
      <c r="B601" s="19">
        <v>42357</v>
      </c>
      <c r="C601" s="46" t="s">
        <v>28</v>
      </c>
      <c r="D601" s="13" t="s">
        <v>45</v>
      </c>
      <c r="E601" s="13" t="s">
        <v>34</v>
      </c>
      <c r="F601" s="13" t="s">
        <v>90</v>
      </c>
      <c r="G601" s="13">
        <v>49.3</v>
      </c>
      <c r="H601" s="13">
        <v>2</v>
      </c>
      <c r="I601" s="13">
        <v>98.6</v>
      </c>
      <c r="J601" s="14" t="s">
        <v>15</v>
      </c>
      <c r="N601" s="50"/>
      <c r="Q601" s="51"/>
      <c r="R601" s="51"/>
      <c r="S601" s="51"/>
      <c r="T601" s="51"/>
      <c r="U601" s="51"/>
      <c r="V601" s="51"/>
      <c r="W601" s="51"/>
    </row>
    <row r="602" spans="1:23" x14ac:dyDescent="0.3">
      <c r="A602" s="12" t="s">
        <v>643</v>
      </c>
      <c r="B602" s="19">
        <v>42357</v>
      </c>
      <c r="C602" s="46" t="s">
        <v>28</v>
      </c>
      <c r="D602" s="13" t="s">
        <v>45</v>
      </c>
      <c r="E602" s="13" t="s">
        <v>51</v>
      </c>
      <c r="F602" s="13" t="s">
        <v>268</v>
      </c>
      <c r="G602" s="13">
        <v>7.45</v>
      </c>
      <c r="H602" s="13">
        <v>56</v>
      </c>
      <c r="I602" s="13">
        <v>417.2</v>
      </c>
      <c r="J602" s="14" t="s">
        <v>26</v>
      </c>
      <c r="N602" s="50"/>
      <c r="Q602" s="51"/>
      <c r="R602" s="51"/>
      <c r="S602" s="51"/>
      <c r="T602" s="51"/>
      <c r="U602" s="51"/>
      <c r="V602" s="51"/>
      <c r="W602" s="51"/>
    </row>
    <row r="603" spans="1:23" x14ac:dyDescent="0.3">
      <c r="A603" s="12" t="s">
        <v>644</v>
      </c>
      <c r="B603" s="19">
        <v>42357</v>
      </c>
      <c r="C603" s="46" t="s">
        <v>31</v>
      </c>
      <c r="D603" s="13" t="s">
        <v>45</v>
      </c>
      <c r="E603" s="13" t="s">
        <v>34</v>
      </c>
      <c r="F603" s="13" t="s">
        <v>64</v>
      </c>
      <c r="G603" s="13">
        <v>53</v>
      </c>
      <c r="H603" s="13">
        <v>40</v>
      </c>
      <c r="I603" s="13">
        <v>2120</v>
      </c>
      <c r="J603" s="14" t="s">
        <v>26</v>
      </c>
      <c r="N603" s="50"/>
      <c r="Q603" s="51"/>
      <c r="R603" s="51"/>
      <c r="S603" s="51"/>
      <c r="T603" s="51"/>
      <c r="U603" s="51"/>
      <c r="V603" s="51"/>
      <c r="W603" s="51"/>
    </row>
    <row r="604" spans="1:23" x14ac:dyDescent="0.3">
      <c r="A604" s="12" t="s">
        <v>645</v>
      </c>
      <c r="B604" s="19">
        <v>42357</v>
      </c>
      <c r="C604" s="46" t="s">
        <v>20</v>
      </c>
      <c r="D604" s="13" t="s">
        <v>45</v>
      </c>
      <c r="E604" s="13" t="s">
        <v>13</v>
      </c>
      <c r="F604" s="13" t="s">
        <v>14</v>
      </c>
      <c r="G604" s="13">
        <v>21</v>
      </c>
      <c r="H604" s="13">
        <v>350</v>
      </c>
      <c r="I604" s="13">
        <v>7350</v>
      </c>
      <c r="J604" s="14" t="s">
        <v>26</v>
      </c>
      <c r="N604" s="50"/>
      <c r="Q604" s="51"/>
      <c r="R604" s="51"/>
      <c r="S604" s="51"/>
      <c r="T604" s="51"/>
      <c r="U604" s="51"/>
      <c r="V604" s="51"/>
      <c r="W604" s="51"/>
    </row>
    <row r="605" spans="1:23" x14ac:dyDescent="0.3">
      <c r="A605" s="12" t="s">
        <v>646</v>
      </c>
      <c r="B605" s="19">
        <v>42360</v>
      </c>
      <c r="C605" s="46" t="s">
        <v>11</v>
      </c>
      <c r="D605" s="13" t="s">
        <v>85</v>
      </c>
      <c r="E605" s="13" t="s">
        <v>51</v>
      </c>
      <c r="F605" s="13" t="s">
        <v>118</v>
      </c>
      <c r="G605" s="13">
        <v>39</v>
      </c>
      <c r="H605" s="13">
        <v>120</v>
      </c>
      <c r="I605" s="13">
        <v>4680</v>
      </c>
      <c r="J605" s="14" t="s">
        <v>26</v>
      </c>
      <c r="N605" s="50"/>
      <c r="Q605" s="51"/>
      <c r="R605" s="51"/>
      <c r="S605" s="51"/>
      <c r="T605" s="51"/>
      <c r="U605" s="51"/>
      <c r="V605" s="51"/>
      <c r="W605" s="51"/>
    </row>
    <row r="606" spans="1:23" x14ac:dyDescent="0.3">
      <c r="A606" s="12" t="s">
        <v>647</v>
      </c>
      <c r="B606" s="19">
        <v>42360</v>
      </c>
      <c r="C606" s="46" t="s">
        <v>11</v>
      </c>
      <c r="D606" s="13" t="s">
        <v>85</v>
      </c>
      <c r="E606" s="13" t="s">
        <v>51</v>
      </c>
      <c r="F606" s="13" t="s">
        <v>52</v>
      </c>
      <c r="G606" s="13">
        <v>123.79</v>
      </c>
      <c r="H606" s="13">
        <v>180</v>
      </c>
      <c r="I606" s="13">
        <v>22282.2</v>
      </c>
      <c r="J606" s="14" t="s">
        <v>26</v>
      </c>
      <c r="N606" s="50"/>
      <c r="Q606" s="51"/>
      <c r="R606" s="51"/>
      <c r="S606" s="51"/>
      <c r="T606" s="51"/>
      <c r="U606" s="51"/>
      <c r="V606" s="51"/>
      <c r="W606" s="51"/>
    </row>
    <row r="607" spans="1:23" x14ac:dyDescent="0.3">
      <c r="A607" s="12" t="s">
        <v>648</v>
      </c>
      <c r="B607" s="19">
        <v>42361</v>
      </c>
      <c r="C607" s="46" t="s">
        <v>20</v>
      </c>
      <c r="D607" s="13" t="s">
        <v>12</v>
      </c>
      <c r="E607" s="13" t="s">
        <v>13</v>
      </c>
      <c r="F607" s="13" t="s">
        <v>66</v>
      </c>
      <c r="G607" s="13">
        <v>55</v>
      </c>
      <c r="H607" s="13">
        <v>135</v>
      </c>
      <c r="I607" s="13">
        <v>7425</v>
      </c>
      <c r="J607" s="14" t="s">
        <v>15</v>
      </c>
      <c r="N607" s="50"/>
      <c r="Q607" s="51"/>
      <c r="R607" s="51"/>
      <c r="S607" s="51"/>
      <c r="T607" s="51"/>
      <c r="U607" s="51"/>
      <c r="V607" s="51"/>
      <c r="W607" s="51"/>
    </row>
    <row r="608" spans="1:23" x14ac:dyDescent="0.3">
      <c r="A608" s="12" t="s">
        <v>649</v>
      </c>
      <c r="B608" s="19">
        <v>42361</v>
      </c>
      <c r="C608" s="46" t="s">
        <v>11</v>
      </c>
      <c r="D608" s="13" t="s">
        <v>12</v>
      </c>
      <c r="E608" s="13" t="s">
        <v>34</v>
      </c>
      <c r="F608" s="13" t="s">
        <v>188</v>
      </c>
      <c r="G608" s="13">
        <v>9.1999999999999993</v>
      </c>
      <c r="H608" s="13">
        <v>216</v>
      </c>
      <c r="I608" s="13">
        <v>1987.1999999999998</v>
      </c>
      <c r="J608" s="14" t="s">
        <v>15</v>
      </c>
      <c r="N608" s="50"/>
      <c r="Q608" s="51"/>
      <c r="R608" s="51"/>
      <c r="S608" s="51"/>
      <c r="T608" s="51"/>
      <c r="U608" s="51"/>
      <c r="V608" s="51"/>
      <c r="W608" s="51"/>
    </row>
    <row r="609" spans="1:23" x14ac:dyDescent="0.3">
      <c r="A609" s="12" t="s">
        <v>650</v>
      </c>
      <c r="B609" s="19">
        <v>42361</v>
      </c>
      <c r="C609" s="46" t="s">
        <v>20</v>
      </c>
      <c r="D609" s="13" t="s">
        <v>12</v>
      </c>
      <c r="E609" s="13" t="s">
        <v>34</v>
      </c>
      <c r="F609" s="13" t="s">
        <v>68</v>
      </c>
      <c r="G609" s="13">
        <v>14</v>
      </c>
      <c r="H609" s="13">
        <v>75</v>
      </c>
      <c r="I609" s="13">
        <v>1050</v>
      </c>
      <c r="J609" s="14" t="s">
        <v>15</v>
      </c>
      <c r="N609" s="50"/>
      <c r="Q609" s="51"/>
      <c r="R609" s="51"/>
      <c r="S609" s="51"/>
      <c r="T609" s="51"/>
      <c r="U609" s="51"/>
      <c r="V609" s="51"/>
      <c r="W609" s="51"/>
    </row>
    <row r="610" spans="1:23" x14ac:dyDescent="0.3">
      <c r="A610" s="15" t="s">
        <v>651</v>
      </c>
      <c r="B610" s="20">
        <v>42361</v>
      </c>
      <c r="C610" s="53" t="s">
        <v>28</v>
      </c>
      <c r="D610" s="16" t="s">
        <v>45</v>
      </c>
      <c r="E610" s="16" t="s">
        <v>51</v>
      </c>
      <c r="F610" s="16" t="s">
        <v>81</v>
      </c>
      <c r="G610" s="16">
        <v>45.6</v>
      </c>
      <c r="H610" s="16">
        <v>120</v>
      </c>
      <c r="I610" s="16">
        <v>5472</v>
      </c>
      <c r="J610" s="17" t="s">
        <v>26</v>
      </c>
      <c r="N610" s="50"/>
      <c r="Q610" s="51"/>
      <c r="R610" s="51"/>
      <c r="S610" s="51"/>
      <c r="T610" s="51"/>
      <c r="U610" s="51"/>
      <c r="V610" s="51"/>
      <c r="W610" s="51"/>
    </row>
    <row r="611" spans="1:23" x14ac:dyDescent="0.3">
      <c r="N611" s="50"/>
      <c r="Q611" s="51"/>
      <c r="R611" s="51"/>
      <c r="S611" s="51"/>
      <c r="T611" s="51"/>
      <c r="U611" s="51"/>
      <c r="V611" s="51"/>
      <c r="W611" s="51"/>
    </row>
    <row r="612" spans="1:23" x14ac:dyDescent="0.3">
      <c r="N612" s="50"/>
      <c r="Q612" s="51"/>
      <c r="R612" s="51"/>
      <c r="S612" s="51"/>
      <c r="T612" s="51"/>
      <c r="U612" s="51"/>
      <c r="V612" s="51"/>
      <c r="W612" s="51"/>
    </row>
    <row r="613" spans="1:23" x14ac:dyDescent="0.3">
      <c r="N613" s="50"/>
      <c r="Q613" s="51"/>
      <c r="R613" s="51"/>
      <c r="S613" s="51"/>
      <c r="T613" s="51"/>
      <c r="U613" s="51"/>
      <c r="V613" s="51"/>
      <c r="W613" s="51"/>
    </row>
    <row r="614" spans="1:23" x14ac:dyDescent="0.3">
      <c r="N614" s="50"/>
      <c r="Q614" s="51"/>
      <c r="R614" s="51"/>
      <c r="S614" s="51"/>
      <c r="T614" s="51"/>
      <c r="U614" s="51"/>
      <c r="V614" s="51"/>
      <c r="W614" s="51"/>
    </row>
    <row r="615" spans="1:23" x14ac:dyDescent="0.3">
      <c r="N615" s="50"/>
      <c r="Q615" s="51"/>
      <c r="R615" s="51"/>
      <c r="S615" s="51"/>
      <c r="T615" s="51"/>
      <c r="U615" s="51"/>
      <c r="V615" s="51"/>
      <c r="W615" s="51"/>
    </row>
    <row r="616" spans="1:23" x14ac:dyDescent="0.3">
      <c r="N616" s="50"/>
      <c r="Q616" s="51"/>
      <c r="R616" s="51"/>
      <c r="S616" s="51"/>
      <c r="T616" s="51"/>
      <c r="U616" s="51"/>
      <c r="V616" s="51"/>
      <c r="W616" s="51"/>
    </row>
    <row r="617" spans="1:23" x14ac:dyDescent="0.3">
      <c r="N617" s="50"/>
      <c r="Q617" s="51"/>
      <c r="R617" s="51"/>
      <c r="S617" s="51"/>
      <c r="T617" s="51"/>
      <c r="U617" s="51"/>
      <c r="V617" s="51"/>
      <c r="W617" s="51"/>
    </row>
    <row r="618" spans="1:23" x14ac:dyDescent="0.3">
      <c r="N618" s="50"/>
      <c r="Q618" s="51"/>
      <c r="R618" s="51"/>
      <c r="S618" s="51"/>
      <c r="T618" s="51"/>
      <c r="U618" s="51"/>
      <c r="V618" s="51"/>
      <c r="W618" s="51"/>
    </row>
    <row r="619" spans="1:23" x14ac:dyDescent="0.3">
      <c r="N619" s="50"/>
      <c r="Q619" s="51"/>
      <c r="R619" s="51"/>
      <c r="S619" s="51"/>
      <c r="T619" s="51"/>
      <c r="U619" s="51"/>
      <c r="V619" s="51"/>
      <c r="W619" s="51"/>
    </row>
    <row r="620" spans="1:23" x14ac:dyDescent="0.3">
      <c r="N620" s="50"/>
      <c r="Q620" s="51"/>
      <c r="R620" s="51"/>
      <c r="S620" s="51"/>
      <c r="T620" s="51"/>
      <c r="U620" s="51"/>
      <c r="V620" s="51"/>
      <c r="W620" s="51"/>
    </row>
    <row r="621" spans="1:23" x14ac:dyDescent="0.3">
      <c r="N621" s="50"/>
      <c r="Q621" s="51"/>
      <c r="R621" s="51"/>
      <c r="S621" s="51"/>
      <c r="T621" s="51"/>
      <c r="U621" s="51"/>
      <c r="V621" s="51"/>
      <c r="W621" s="51"/>
    </row>
    <row r="622" spans="1:23" x14ac:dyDescent="0.3">
      <c r="N622" s="50"/>
      <c r="Q622" s="51"/>
      <c r="R622" s="51"/>
      <c r="S622" s="51"/>
      <c r="T622" s="51"/>
      <c r="U622" s="51"/>
      <c r="V622" s="51"/>
      <c r="W622" s="51"/>
    </row>
    <row r="623" spans="1:23" x14ac:dyDescent="0.3">
      <c r="N623" s="50"/>
      <c r="Q623" s="51"/>
      <c r="R623" s="51"/>
      <c r="S623" s="51"/>
      <c r="T623" s="51"/>
      <c r="U623" s="51"/>
      <c r="V623" s="51"/>
      <c r="W623" s="51"/>
    </row>
    <row r="624" spans="1:23" x14ac:dyDescent="0.3">
      <c r="N624" s="50"/>
      <c r="Q624" s="51"/>
      <c r="R624" s="51"/>
      <c r="S624" s="51"/>
      <c r="T624" s="51"/>
      <c r="U624" s="51"/>
      <c r="V624" s="51"/>
      <c r="W624" s="51"/>
    </row>
    <row r="625" spans="3:23" x14ac:dyDescent="0.3">
      <c r="N625" s="33"/>
      <c r="R625" s="51"/>
      <c r="S625" s="51"/>
      <c r="T625" s="51"/>
      <c r="U625" s="51"/>
      <c r="V625" s="51"/>
      <c r="W625" s="51"/>
    </row>
    <row r="626" spans="3:23" x14ac:dyDescent="0.3">
      <c r="C626" s="54"/>
      <c r="N626" s="33"/>
      <c r="R626" s="51"/>
      <c r="S626" s="51"/>
      <c r="T626" s="51"/>
      <c r="U626" s="51"/>
      <c r="V626" s="51"/>
      <c r="W626" s="51"/>
    </row>
    <row r="627" spans="3:23" x14ac:dyDescent="0.3">
      <c r="C627" s="54"/>
      <c r="N627" s="33"/>
      <c r="R627" s="51"/>
      <c r="S627" s="51"/>
      <c r="T627" s="51"/>
      <c r="U627" s="51"/>
      <c r="V627" s="51"/>
      <c r="W627" s="51"/>
    </row>
    <row r="628" spans="3:23" x14ac:dyDescent="0.3">
      <c r="C628" s="54"/>
      <c r="N628" s="33"/>
      <c r="R628" s="51"/>
      <c r="S628" s="51"/>
      <c r="T628" s="51"/>
      <c r="U628" s="51"/>
      <c r="V628" s="51"/>
      <c r="W628" s="51"/>
    </row>
    <row r="629" spans="3:23" x14ac:dyDescent="0.3">
      <c r="C629" s="54"/>
      <c r="H629" s="55"/>
      <c r="N629" s="33"/>
      <c r="R629" s="51"/>
      <c r="S629" s="51"/>
      <c r="T629" s="51"/>
      <c r="U629" s="51"/>
      <c r="V629" s="51"/>
      <c r="W629" s="51"/>
    </row>
    <row r="630" spans="3:23" x14ac:dyDescent="0.3">
      <c r="C630" s="54"/>
      <c r="N630" s="33"/>
      <c r="R630" s="51"/>
      <c r="S630" s="51"/>
      <c r="T630" s="51"/>
      <c r="U630" s="51"/>
      <c r="V630" s="51"/>
      <c r="W630" s="51"/>
    </row>
    <row r="631" spans="3:23" x14ac:dyDescent="0.3">
      <c r="C631" s="54"/>
      <c r="H631" s="55"/>
      <c r="N631" s="33"/>
      <c r="R631" s="51"/>
      <c r="S631" s="51"/>
      <c r="T631" s="51"/>
      <c r="U631" s="51"/>
      <c r="V631" s="51"/>
      <c r="W631" s="51"/>
    </row>
    <row r="632" spans="3:23" x14ac:dyDescent="0.3">
      <c r="C632" s="54"/>
      <c r="N632" s="33"/>
      <c r="R632" s="51"/>
      <c r="S632" s="51"/>
      <c r="T632" s="51"/>
      <c r="U632" s="51"/>
      <c r="V632" s="51"/>
      <c r="W632" s="51"/>
    </row>
    <row r="633" spans="3:23" x14ac:dyDescent="0.3">
      <c r="C633" s="54"/>
      <c r="N633" s="33"/>
      <c r="R633" s="51"/>
      <c r="S633" s="51"/>
      <c r="T633" s="51"/>
      <c r="U633" s="51"/>
      <c r="V633" s="51"/>
      <c r="W633" s="51"/>
    </row>
    <row r="634" spans="3:23" x14ac:dyDescent="0.3">
      <c r="C634" s="54"/>
      <c r="N634" s="33"/>
      <c r="R634" s="51"/>
      <c r="S634" s="51"/>
      <c r="T634" s="51"/>
      <c r="U634" s="51"/>
      <c r="V634" s="51"/>
      <c r="W634" s="51"/>
    </row>
    <row r="635" spans="3:23" x14ac:dyDescent="0.3">
      <c r="C635" s="54"/>
      <c r="H635" s="51"/>
      <c r="M635" s="33"/>
      <c r="R635" s="51"/>
      <c r="S635" s="51"/>
      <c r="T635" s="51"/>
      <c r="U635" s="51"/>
      <c r="V635" s="51"/>
      <c r="W635" s="51"/>
    </row>
    <row r="636" spans="3:23" x14ac:dyDescent="0.3">
      <c r="C636" s="54"/>
      <c r="H636" s="51"/>
      <c r="M636" s="54"/>
      <c r="R636" s="51"/>
      <c r="S636" s="51"/>
      <c r="T636" s="51"/>
      <c r="U636" s="51"/>
      <c r="V636" s="51"/>
      <c r="W636" s="51"/>
    </row>
    <row r="637" spans="3:23" x14ac:dyDescent="0.3">
      <c r="C637" s="54"/>
      <c r="H637" s="51"/>
      <c r="M637" s="54"/>
      <c r="R637" s="51"/>
      <c r="S637" s="51"/>
      <c r="T637" s="51"/>
      <c r="U637" s="51"/>
      <c r="V637" s="51"/>
      <c r="W637" s="51"/>
    </row>
    <row r="638" spans="3:23" x14ac:dyDescent="0.3">
      <c r="C638" s="54"/>
      <c r="H638" s="51"/>
      <c r="M638" s="54"/>
      <c r="R638" s="51"/>
      <c r="S638" s="51"/>
      <c r="T638" s="51"/>
      <c r="U638" s="51"/>
      <c r="V638" s="51"/>
      <c r="W638" s="51"/>
    </row>
    <row r="639" spans="3:23" x14ac:dyDescent="0.3">
      <c r="C639" s="54"/>
      <c r="H639" s="51"/>
      <c r="M639" s="54"/>
      <c r="R639" s="51"/>
      <c r="S639" s="51"/>
      <c r="T639" s="51"/>
      <c r="U639" s="51"/>
      <c r="V639" s="51"/>
      <c r="W639" s="51"/>
    </row>
    <row r="640" spans="3:23" x14ac:dyDescent="0.3">
      <c r="C640" s="54"/>
      <c r="H640" s="51"/>
      <c r="M640" s="54"/>
      <c r="R640" s="51"/>
      <c r="S640" s="51"/>
      <c r="T640" s="51"/>
      <c r="U640" s="51"/>
      <c r="V640" s="51"/>
      <c r="W640" s="51"/>
    </row>
    <row r="641" spans="3:23" x14ac:dyDescent="0.3">
      <c r="C641" s="54"/>
      <c r="H641" s="51"/>
      <c r="M641" s="54"/>
      <c r="R641" s="51"/>
      <c r="S641" s="51"/>
      <c r="T641" s="51"/>
      <c r="U641" s="51"/>
      <c r="V641" s="51"/>
      <c r="W641" s="51"/>
    </row>
    <row r="642" spans="3:23" x14ac:dyDescent="0.3">
      <c r="C642" s="54"/>
      <c r="H642" s="51"/>
      <c r="M642" s="54"/>
      <c r="R642" s="51"/>
      <c r="S642" s="51"/>
      <c r="T642" s="51"/>
      <c r="U642" s="51"/>
      <c r="V642" s="51"/>
      <c r="W642" s="51"/>
    </row>
    <row r="643" spans="3:23" x14ac:dyDescent="0.3">
      <c r="C643" s="54"/>
      <c r="H643" s="51"/>
      <c r="M643" s="54"/>
      <c r="R643" s="51"/>
      <c r="S643" s="51"/>
      <c r="T643" s="51"/>
      <c r="U643" s="51"/>
      <c r="V643" s="51"/>
      <c r="W643" s="51"/>
    </row>
    <row r="644" spans="3:23" x14ac:dyDescent="0.3">
      <c r="C644" s="54"/>
      <c r="H644" s="51"/>
      <c r="M644" s="54"/>
      <c r="R644" s="51"/>
      <c r="S644" s="51"/>
      <c r="T644" s="51"/>
      <c r="U644" s="51"/>
      <c r="V644" s="51"/>
      <c r="W644" s="51"/>
    </row>
    <row r="645" spans="3:23" x14ac:dyDescent="0.3">
      <c r="C645" s="54"/>
      <c r="M645" s="54"/>
      <c r="R645" s="51"/>
      <c r="S645" s="51"/>
      <c r="T645" s="51"/>
      <c r="U645" s="51"/>
      <c r="V645" s="51"/>
      <c r="W645" s="51"/>
    </row>
    <row r="646" spans="3:23" x14ac:dyDescent="0.3">
      <c r="C646" s="54"/>
      <c r="M646" s="54"/>
      <c r="R646" s="51"/>
      <c r="S646" s="51"/>
      <c r="T646" s="51"/>
      <c r="U646" s="51"/>
      <c r="V646" s="51"/>
      <c r="W646" s="51"/>
    </row>
    <row r="647" spans="3:23" x14ac:dyDescent="0.3">
      <c r="C647" s="54"/>
      <c r="M647" s="54"/>
      <c r="R647" s="51"/>
      <c r="S647" s="51"/>
      <c r="T647" s="51"/>
      <c r="U647" s="51"/>
      <c r="V647" s="51"/>
      <c r="W647" s="51"/>
    </row>
    <row r="648" spans="3:23" x14ac:dyDescent="0.3">
      <c r="C648" s="54"/>
      <c r="M648" s="54"/>
      <c r="R648" s="51"/>
      <c r="S648" s="51"/>
      <c r="T648" s="51"/>
      <c r="U648" s="51"/>
      <c r="V648" s="51"/>
      <c r="W648" s="51"/>
    </row>
    <row r="649" spans="3:23" x14ac:dyDescent="0.3">
      <c r="C649" s="54"/>
      <c r="M649" s="54"/>
      <c r="R649" s="51"/>
      <c r="S649" s="51"/>
      <c r="T649" s="51"/>
      <c r="U649" s="51"/>
      <c r="V649" s="51"/>
      <c r="W649" s="51"/>
    </row>
    <row r="650" spans="3:23" x14ac:dyDescent="0.3">
      <c r="C650" s="54"/>
      <c r="M650" s="54"/>
      <c r="R650" s="51"/>
      <c r="S650" s="51"/>
      <c r="T650" s="51"/>
      <c r="U650" s="51"/>
      <c r="V650" s="51"/>
      <c r="W650" s="51"/>
    </row>
    <row r="651" spans="3:23" x14ac:dyDescent="0.3">
      <c r="C651" s="54"/>
      <c r="M651" s="54"/>
      <c r="R651" s="51"/>
      <c r="S651" s="51"/>
      <c r="T651" s="51"/>
      <c r="U651" s="51"/>
      <c r="V651" s="51"/>
      <c r="W651" s="51"/>
    </row>
    <row r="652" spans="3:23" x14ac:dyDescent="0.3">
      <c r="C652" s="54"/>
      <c r="M652" s="54"/>
      <c r="R652" s="51"/>
      <c r="S652" s="51"/>
      <c r="T652" s="51"/>
      <c r="U652" s="51"/>
      <c r="V652" s="51"/>
      <c r="W652" s="51"/>
    </row>
    <row r="653" spans="3:23" x14ac:dyDescent="0.3">
      <c r="C653" s="54"/>
      <c r="M653" s="54"/>
      <c r="R653" s="51"/>
      <c r="S653" s="51"/>
      <c r="T653" s="51"/>
      <c r="U653" s="51"/>
      <c r="V653" s="51"/>
      <c r="W653" s="51"/>
    </row>
    <row r="654" spans="3:23" x14ac:dyDescent="0.3">
      <c r="C654" s="54"/>
      <c r="M654" s="54"/>
      <c r="R654" s="51"/>
      <c r="S654" s="51"/>
      <c r="T654" s="51"/>
      <c r="U654" s="51"/>
      <c r="V654" s="51"/>
      <c r="W654" s="51"/>
    </row>
    <row r="655" spans="3:23" x14ac:dyDescent="0.3">
      <c r="C655" s="54"/>
      <c r="M655" s="54"/>
      <c r="R655" s="51"/>
      <c r="S655" s="51"/>
      <c r="T655" s="51"/>
      <c r="U655" s="51"/>
      <c r="V655" s="51"/>
      <c r="W655" s="51"/>
    </row>
    <row r="656" spans="3:23" x14ac:dyDescent="0.3">
      <c r="C656" s="54"/>
      <c r="M656" s="54"/>
      <c r="R656" s="51"/>
      <c r="S656" s="51"/>
      <c r="T656" s="51"/>
      <c r="U656" s="51"/>
      <c r="V656" s="51"/>
      <c r="W656" s="51"/>
    </row>
    <row r="657" spans="3:23" x14ac:dyDescent="0.3">
      <c r="C657" s="54"/>
      <c r="M657" s="54"/>
      <c r="R657" s="51"/>
      <c r="S657" s="51"/>
      <c r="T657" s="51"/>
      <c r="U657" s="51"/>
      <c r="V657" s="51"/>
      <c r="W657" s="51"/>
    </row>
    <row r="658" spans="3:23" x14ac:dyDescent="0.3">
      <c r="C658" s="54"/>
      <c r="M658" s="54"/>
      <c r="R658" s="51"/>
      <c r="S658" s="51"/>
      <c r="T658" s="51"/>
      <c r="U658" s="51"/>
      <c r="V658" s="51"/>
      <c r="W658" s="51"/>
    </row>
    <row r="659" spans="3:23" x14ac:dyDescent="0.3">
      <c r="C659" s="54"/>
      <c r="M659" s="54"/>
      <c r="R659" s="51"/>
      <c r="S659" s="51"/>
      <c r="T659" s="51"/>
      <c r="U659" s="51"/>
      <c r="V659" s="51"/>
      <c r="W659" s="51"/>
    </row>
    <row r="660" spans="3:23" x14ac:dyDescent="0.3">
      <c r="C660" s="54"/>
      <c r="M660" s="54"/>
      <c r="R660" s="51"/>
      <c r="S660" s="51"/>
      <c r="T660" s="51"/>
      <c r="U660" s="51"/>
      <c r="V660" s="51"/>
      <c r="W660" s="51"/>
    </row>
    <row r="661" spans="3:23" x14ac:dyDescent="0.3">
      <c r="C661" s="54"/>
      <c r="M661" s="54"/>
      <c r="R661" s="51"/>
      <c r="S661" s="51"/>
      <c r="T661" s="51"/>
      <c r="U661" s="51"/>
      <c r="V661" s="51"/>
      <c r="W661" s="51"/>
    </row>
    <row r="662" spans="3:23" x14ac:dyDescent="0.3">
      <c r="C662" s="54"/>
      <c r="M662" s="54"/>
      <c r="R662" s="51"/>
      <c r="S662" s="51"/>
      <c r="T662" s="51"/>
      <c r="U662" s="51"/>
      <c r="V662" s="51"/>
      <c r="W662" s="51"/>
    </row>
    <row r="663" spans="3:23" x14ac:dyDescent="0.3">
      <c r="C663" s="54"/>
      <c r="N663" s="33"/>
      <c r="R663" s="51"/>
      <c r="S663" s="51"/>
      <c r="T663" s="51"/>
      <c r="U663" s="51"/>
      <c r="V663" s="51"/>
      <c r="W663" s="51"/>
    </row>
    <row r="664" spans="3:23" x14ac:dyDescent="0.3">
      <c r="C664" s="54"/>
      <c r="N664" s="33"/>
      <c r="R664" s="51"/>
      <c r="S664" s="51"/>
      <c r="T664" s="51"/>
      <c r="U664" s="51"/>
      <c r="V664" s="51"/>
      <c r="W664" s="51"/>
    </row>
    <row r="665" spans="3:23" x14ac:dyDescent="0.3">
      <c r="C665" s="54"/>
      <c r="N665" s="33"/>
      <c r="R665" s="51"/>
      <c r="S665" s="51"/>
      <c r="T665" s="51"/>
      <c r="U665" s="51"/>
      <c r="V665" s="51"/>
      <c r="W665" s="51"/>
    </row>
    <row r="666" spans="3:23" x14ac:dyDescent="0.3">
      <c r="C666" s="54"/>
      <c r="N666" s="33"/>
      <c r="R666" s="51"/>
      <c r="S666" s="51"/>
      <c r="T666" s="51"/>
      <c r="U666" s="51"/>
      <c r="V666" s="51"/>
      <c r="W666" s="51"/>
    </row>
    <row r="667" spans="3:23" x14ac:dyDescent="0.3">
      <c r="C667" s="54"/>
      <c r="N667" s="33"/>
      <c r="R667" s="51"/>
      <c r="S667" s="51"/>
      <c r="T667" s="51"/>
      <c r="U667" s="51"/>
      <c r="V667" s="51"/>
      <c r="W667" s="51"/>
    </row>
    <row r="668" spans="3:23" x14ac:dyDescent="0.3">
      <c r="C668" s="54"/>
      <c r="N668" s="33"/>
      <c r="R668" s="51"/>
      <c r="S668" s="51"/>
      <c r="T668" s="51"/>
      <c r="U668" s="51"/>
      <c r="V668" s="51"/>
      <c r="W668" s="51"/>
    </row>
    <row r="669" spans="3:23" x14ac:dyDescent="0.3">
      <c r="C669" s="54"/>
      <c r="N669" s="33"/>
      <c r="R669" s="51"/>
      <c r="S669" s="51"/>
      <c r="T669" s="51"/>
      <c r="U669" s="51"/>
      <c r="V669" s="51"/>
      <c r="W669" s="51"/>
    </row>
    <row r="670" spans="3:23" x14ac:dyDescent="0.3">
      <c r="C670" s="54"/>
      <c r="N670" s="33"/>
      <c r="R670" s="51"/>
      <c r="S670" s="51"/>
      <c r="T670" s="51"/>
      <c r="U670" s="51"/>
      <c r="V670" s="51"/>
      <c r="W670" s="51"/>
    </row>
    <row r="671" spans="3:23" x14ac:dyDescent="0.3">
      <c r="C671" s="54"/>
      <c r="N671" s="33"/>
      <c r="R671" s="51"/>
      <c r="S671" s="51"/>
      <c r="T671" s="51"/>
      <c r="U671" s="51"/>
      <c r="V671" s="51"/>
      <c r="W671" s="51"/>
    </row>
    <row r="672" spans="3:23" x14ac:dyDescent="0.3">
      <c r="C672" s="54"/>
      <c r="N672" s="33"/>
      <c r="R672" s="51"/>
      <c r="S672" s="51"/>
      <c r="T672" s="51"/>
      <c r="U672" s="51"/>
      <c r="V672" s="51"/>
      <c r="W672" s="51"/>
    </row>
    <row r="673" spans="3:23" x14ac:dyDescent="0.3">
      <c r="C673" s="54"/>
      <c r="N673" s="33"/>
      <c r="R673" s="51"/>
      <c r="S673" s="51"/>
      <c r="T673" s="51"/>
      <c r="U673" s="51"/>
      <c r="V673" s="51"/>
      <c r="W673" s="51"/>
    </row>
    <row r="674" spans="3:23" x14ac:dyDescent="0.3">
      <c r="C674" s="54"/>
      <c r="N674" s="33"/>
      <c r="R674" s="51"/>
      <c r="S674" s="51"/>
      <c r="T674" s="51"/>
      <c r="U674" s="51"/>
      <c r="V674" s="51"/>
      <c r="W674" s="51"/>
    </row>
    <row r="675" spans="3:23" x14ac:dyDescent="0.3">
      <c r="C675" s="54"/>
      <c r="N675" s="33"/>
      <c r="R675" s="51"/>
      <c r="S675" s="51"/>
      <c r="T675" s="51"/>
      <c r="U675" s="51"/>
      <c r="V675" s="51"/>
      <c r="W675" s="51"/>
    </row>
    <row r="676" spans="3:23" x14ac:dyDescent="0.3">
      <c r="C676" s="54"/>
      <c r="N676" s="33"/>
      <c r="R676" s="51"/>
      <c r="S676" s="51"/>
      <c r="T676" s="51"/>
      <c r="U676" s="51"/>
      <c r="V676" s="51"/>
      <c r="W676" s="51"/>
    </row>
    <row r="677" spans="3:23" x14ac:dyDescent="0.3">
      <c r="C677" s="54"/>
      <c r="N677" s="33"/>
      <c r="R677" s="51"/>
      <c r="S677" s="51"/>
      <c r="T677" s="51"/>
      <c r="U677" s="51"/>
      <c r="V677" s="51"/>
      <c r="W677" s="51"/>
    </row>
    <row r="678" spans="3:23" x14ac:dyDescent="0.3">
      <c r="C678" s="54"/>
      <c r="N678" s="33"/>
      <c r="R678" s="51"/>
      <c r="S678" s="51"/>
      <c r="T678" s="51"/>
      <c r="U678" s="51"/>
      <c r="V678" s="51"/>
      <c r="W678" s="51"/>
    </row>
    <row r="679" spans="3:23" x14ac:dyDescent="0.3">
      <c r="C679" s="54"/>
      <c r="N679" s="33"/>
      <c r="R679" s="51"/>
      <c r="S679" s="51"/>
      <c r="T679" s="51"/>
      <c r="U679" s="51"/>
      <c r="V679" s="51"/>
      <c r="W679" s="51"/>
    </row>
    <row r="680" spans="3:23" x14ac:dyDescent="0.3">
      <c r="C680" s="54"/>
      <c r="N680" s="33"/>
      <c r="R680" s="51"/>
      <c r="S680" s="51"/>
      <c r="T680" s="51"/>
      <c r="U680" s="51"/>
      <c r="V680" s="51"/>
      <c r="W680" s="51"/>
    </row>
    <row r="681" spans="3:23" x14ac:dyDescent="0.3">
      <c r="C681" s="54"/>
      <c r="N681" s="33"/>
      <c r="R681" s="51"/>
      <c r="S681" s="51"/>
      <c r="T681" s="51"/>
      <c r="U681" s="51"/>
      <c r="V681" s="51"/>
      <c r="W681" s="51"/>
    </row>
    <row r="682" spans="3:23" x14ac:dyDescent="0.3">
      <c r="C682" s="54"/>
      <c r="N682" s="33"/>
      <c r="R682" s="51"/>
      <c r="S682" s="51"/>
      <c r="T682" s="51"/>
      <c r="U682" s="51"/>
      <c r="V682" s="51"/>
      <c r="W682" s="51"/>
    </row>
    <row r="683" spans="3:23" x14ac:dyDescent="0.3">
      <c r="C683" s="54"/>
      <c r="N683" s="33"/>
      <c r="R683" s="51"/>
      <c r="S683" s="51"/>
      <c r="T683" s="51"/>
      <c r="U683" s="51"/>
      <c r="V683" s="51"/>
      <c r="W683" s="51"/>
    </row>
    <row r="684" spans="3:23" x14ac:dyDescent="0.3">
      <c r="C684" s="54"/>
      <c r="N684" s="33"/>
      <c r="R684" s="51"/>
      <c r="S684" s="51"/>
      <c r="T684" s="51"/>
      <c r="U684" s="51"/>
      <c r="V684" s="51"/>
      <c r="W684" s="51"/>
    </row>
    <row r="685" spans="3:23" x14ac:dyDescent="0.3">
      <c r="C685" s="54"/>
      <c r="N685" s="33"/>
      <c r="R685" s="51"/>
      <c r="S685" s="51"/>
      <c r="T685" s="51"/>
      <c r="U685" s="51"/>
      <c r="V685" s="51"/>
      <c r="W685" s="51"/>
    </row>
    <row r="686" spans="3:23" x14ac:dyDescent="0.3">
      <c r="C686" s="54"/>
      <c r="N686" s="33"/>
      <c r="R686" s="51"/>
      <c r="S686" s="51"/>
      <c r="T686" s="51"/>
      <c r="U686" s="51"/>
      <c r="V686" s="51"/>
      <c r="W686" s="51"/>
    </row>
    <row r="687" spans="3:23" x14ac:dyDescent="0.3">
      <c r="C687" s="54"/>
      <c r="N687" s="33"/>
      <c r="R687" s="51"/>
      <c r="S687" s="51"/>
      <c r="T687" s="51"/>
      <c r="U687" s="51"/>
      <c r="V687" s="51"/>
      <c r="W687" s="51"/>
    </row>
    <row r="688" spans="3:23" x14ac:dyDescent="0.3">
      <c r="C688" s="54"/>
      <c r="N688" s="33"/>
      <c r="R688" s="51"/>
      <c r="S688" s="51"/>
      <c r="T688" s="51"/>
      <c r="U688" s="51"/>
      <c r="V688" s="51"/>
      <c r="W688" s="51"/>
    </row>
    <row r="689" spans="3:23" x14ac:dyDescent="0.3">
      <c r="C689" s="54"/>
      <c r="N689" s="33"/>
      <c r="R689" s="51"/>
      <c r="S689" s="51"/>
      <c r="T689" s="51"/>
      <c r="U689" s="51"/>
      <c r="V689" s="51"/>
      <c r="W689" s="51"/>
    </row>
    <row r="690" spans="3:23" x14ac:dyDescent="0.3">
      <c r="C690" s="54"/>
      <c r="N690" s="33"/>
      <c r="R690" s="51"/>
      <c r="S690" s="51"/>
      <c r="T690" s="51"/>
      <c r="U690" s="51"/>
      <c r="V690" s="51"/>
      <c r="W690" s="51"/>
    </row>
    <row r="691" spans="3:23" x14ac:dyDescent="0.3">
      <c r="C691" s="54"/>
      <c r="N691" s="33"/>
      <c r="R691" s="51"/>
      <c r="S691" s="51"/>
      <c r="T691" s="51"/>
      <c r="U691" s="51"/>
      <c r="V691" s="51"/>
      <c r="W691" s="51"/>
    </row>
    <row r="692" spans="3:23" x14ac:dyDescent="0.3">
      <c r="C692" s="54"/>
      <c r="N692" s="33"/>
      <c r="R692" s="51"/>
      <c r="S692" s="51"/>
      <c r="T692" s="51"/>
      <c r="U692" s="51"/>
      <c r="V692" s="51"/>
      <c r="W692" s="51"/>
    </row>
    <row r="693" spans="3:23" x14ac:dyDescent="0.3">
      <c r="C693" s="54"/>
      <c r="N693" s="33"/>
      <c r="R693" s="51"/>
      <c r="S693" s="51"/>
      <c r="T693" s="51"/>
      <c r="U693" s="51"/>
      <c r="V693" s="51"/>
      <c r="W693" s="51"/>
    </row>
    <row r="694" spans="3:23" x14ac:dyDescent="0.3">
      <c r="C694" s="54"/>
      <c r="N694" s="33"/>
      <c r="R694" s="51"/>
      <c r="S694" s="51"/>
      <c r="T694" s="51"/>
      <c r="U694" s="51"/>
      <c r="V694" s="51"/>
      <c r="W694" s="51"/>
    </row>
    <row r="695" spans="3:23" x14ac:dyDescent="0.3">
      <c r="C695" s="54"/>
      <c r="N695" s="33"/>
      <c r="R695" s="51"/>
      <c r="S695" s="51"/>
      <c r="T695" s="51"/>
      <c r="U695" s="51"/>
      <c r="V695" s="51"/>
      <c r="W695" s="51"/>
    </row>
    <row r="696" spans="3:23" x14ac:dyDescent="0.3">
      <c r="C696" s="54"/>
      <c r="N696" s="33"/>
      <c r="R696" s="51"/>
      <c r="S696" s="51"/>
      <c r="T696" s="51"/>
      <c r="U696" s="51"/>
      <c r="V696" s="51"/>
      <c r="W696" s="51"/>
    </row>
    <row r="697" spans="3:23" x14ac:dyDescent="0.3">
      <c r="C697" s="54"/>
      <c r="N697" s="33"/>
      <c r="R697" s="51"/>
      <c r="S697" s="51"/>
      <c r="T697" s="51"/>
      <c r="U697" s="51"/>
      <c r="V697" s="51"/>
      <c r="W697" s="51"/>
    </row>
    <row r="698" spans="3:23" x14ac:dyDescent="0.3">
      <c r="C698" s="54"/>
      <c r="N698" s="33"/>
      <c r="R698" s="51"/>
      <c r="S698" s="51"/>
      <c r="T698" s="51"/>
      <c r="U698" s="51"/>
      <c r="V698" s="51"/>
      <c r="W698" s="51"/>
    </row>
    <row r="699" spans="3:23" x14ac:dyDescent="0.3">
      <c r="C699" s="54"/>
      <c r="N699" s="33"/>
      <c r="R699" s="51"/>
      <c r="S699" s="51"/>
      <c r="T699" s="51"/>
      <c r="U699" s="51"/>
      <c r="V699" s="51"/>
      <c r="W699" s="51"/>
    </row>
    <row r="700" spans="3:23" x14ac:dyDescent="0.3">
      <c r="C700" s="54"/>
      <c r="N700" s="33"/>
      <c r="R700" s="51"/>
      <c r="S700" s="51"/>
      <c r="T700" s="51"/>
      <c r="U700" s="51"/>
      <c r="V700" s="51"/>
      <c r="W700" s="51"/>
    </row>
    <row r="701" spans="3:23" x14ac:dyDescent="0.3">
      <c r="C701" s="54"/>
      <c r="N701" s="33"/>
      <c r="R701" s="51"/>
      <c r="S701" s="51"/>
      <c r="T701" s="51"/>
      <c r="U701" s="51"/>
      <c r="V701" s="51"/>
      <c r="W701" s="51"/>
    </row>
    <row r="702" spans="3:23" x14ac:dyDescent="0.3">
      <c r="C702" s="54"/>
      <c r="N702" s="33"/>
      <c r="R702" s="51"/>
      <c r="S702" s="51"/>
      <c r="T702" s="51"/>
      <c r="U702" s="51"/>
      <c r="V702" s="51"/>
      <c r="W702" s="51"/>
    </row>
    <row r="703" spans="3:23" x14ac:dyDescent="0.3">
      <c r="C703" s="54"/>
      <c r="N703" s="33"/>
      <c r="R703" s="51"/>
      <c r="S703" s="51"/>
      <c r="T703" s="51"/>
      <c r="U703" s="51"/>
      <c r="V703" s="51"/>
      <c r="W703" s="51"/>
    </row>
    <row r="704" spans="3:23" x14ac:dyDescent="0.3">
      <c r="C704" s="54"/>
      <c r="N704" s="33"/>
      <c r="R704" s="51"/>
      <c r="S704" s="51"/>
      <c r="T704" s="51"/>
      <c r="U704" s="51"/>
      <c r="V704" s="51"/>
      <c r="W704" s="51"/>
    </row>
    <row r="705" spans="3:23" x14ac:dyDescent="0.3">
      <c r="C705" s="54"/>
      <c r="N705" s="33"/>
      <c r="R705" s="51"/>
      <c r="S705" s="51"/>
      <c r="T705" s="51"/>
      <c r="U705" s="51"/>
      <c r="V705" s="51"/>
      <c r="W705" s="51"/>
    </row>
    <row r="706" spans="3:23" x14ac:dyDescent="0.3">
      <c r="C706" s="54"/>
      <c r="N706" s="33"/>
      <c r="R706" s="51"/>
      <c r="S706" s="51"/>
      <c r="T706" s="51"/>
      <c r="U706" s="51"/>
      <c r="V706" s="51"/>
      <c r="W706" s="51"/>
    </row>
    <row r="707" spans="3:23" x14ac:dyDescent="0.3">
      <c r="C707" s="54"/>
      <c r="N707" s="33"/>
      <c r="R707" s="51"/>
      <c r="S707" s="51"/>
      <c r="T707" s="51"/>
      <c r="U707" s="51"/>
      <c r="V707" s="51"/>
      <c r="W707" s="51"/>
    </row>
    <row r="708" spans="3:23" x14ac:dyDescent="0.3">
      <c r="C708" s="54"/>
      <c r="N708" s="33"/>
      <c r="R708" s="51"/>
      <c r="S708" s="51"/>
      <c r="T708" s="51"/>
      <c r="U708" s="51"/>
      <c r="V708" s="51"/>
      <c r="W708" s="51"/>
    </row>
    <row r="709" spans="3:23" x14ac:dyDescent="0.3">
      <c r="C709" s="54"/>
      <c r="N709" s="33"/>
      <c r="R709" s="51"/>
      <c r="S709" s="51"/>
      <c r="T709" s="51"/>
      <c r="U709" s="51"/>
      <c r="V709" s="51"/>
      <c r="W709" s="51"/>
    </row>
    <row r="710" spans="3:23" x14ac:dyDescent="0.3">
      <c r="C710" s="54"/>
      <c r="N710" s="33"/>
      <c r="R710" s="51"/>
      <c r="S710" s="51"/>
      <c r="T710" s="51"/>
      <c r="U710" s="51"/>
      <c r="V710" s="51"/>
      <c r="W710" s="51"/>
    </row>
    <row r="711" spans="3:23" x14ac:dyDescent="0.3">
      <c r="C711" s="54"/>
      <c r="N711" s="33"/>
      <c r="R711" s="51"/>
      <c r="S711" s="51"/>
      <c r="T711" s="51"/>
      <c r="U711" s="51"/>
      <c r="V711" s="51"/>
      <c r="W711" s="51"/>
    </row>
    <row r="712" spans="3:23" x14ac:dyDescent="0.3">
      <c r="C712" s="54"/>
      <c r="N712" s="33"/>
      <c r="R712" s="51"/>
      <c r="S712" s="51"/>
      <c r="T712" s="51"/>
      <c r="U712" s="51"/>
      <c r="V712" s="51"/>
      <c r="W712" s="51"/>
    </row>
    <row r="713" spans="3:23" x14ac:dyDescent="0.3">
      <c r="C713" s="54"/>
      <c r="N713" s="33"/>
      <c r="R713" s="51"/>
      <c r="S713" s="51"/>
      <c r="T713" s="51"/>
      <c r="U713" s="51"/>
      <c r="V713" s="51"/>
      <c r="W713" s="51"/>
    </row>
    <row r="714" spans="3:23" x14ac:dyDescent="0.3">
      <c r="C714" s="54"/>
      <c r="N714" s="33"/>
      <c r="R714" s="51"/>
      <c r="S714" s="51"/>
      <c r="T714" s="51"/>
      <c r="U714" s="51"/>
      <c r="V714" s="51"/>
      <c r="W714" s="51"/>
    </row>
    <row r="715" spans="3:23" x14ac:dyDescent="0.3">
      <c r="C715" s="54"/>
      <c r="N715" s="33"/>
      <c r="R715" s="51"/>
      <c r="S715" s="51"/>
      <c r="T715" s="51"/>
      <c r="U715" s="51"/>
      <c r="V715" s="51"/>
      <c r="W715" s="51"/>
    </row>
    <row r="716" spans="3:23" x14ac:dyDescent="0.3">
      <c r="C716" s="54"/>
      <c r="N716" s="33"/>
      <c r="R716" s="51"/>
      <c r="S716" s="51"/>
      <c r="T716" s="51"/>
      <c r="U716" s="51"/>
      <c r="V716" s="51"/>
      <c r="W716" s="51"/>
    </row>
    <row r="717" spans="3:23" x14ac:dyDescent="0.3">
      <c r="C717" s="54"/>
      <c r="N717" s="33"/>
      <c r="R717" s="51"/>
      <c r="S717" s="51"/>
      <c r="T717" s="51"/>
      <c r="U717" s="51"/>
      <c r="V717" s="51"/>
      <c r="W717" s="51"/>
    </row>
    <row r="718" spans="3:23" x14ac:dyDescent="0.3">
      <c r="C718" s="54"/>
      <c r="N718" s="33"/>
      <c r="R718" s="51"/>
      <c r="S718" s="51"/>
      <c r="T718" s="51"/>
      <c r="U718" s="51"/>
      <c r="V718" s="51"/>
      <c r="W718" s="51"/>
    </row>
    <row r="719" spans="3:23" x14ac:dyDescent="0.3">
      <c r="C719" s="54"/>
      <c r="N719" s="33"/>
      <c r="R719" s="51"/>
      <c r="S719" s="51"/>
      <c r="T719" s="51"/>
      <c r="U719" s="51"/>
      <c r="V719" s="51"/>
      <c r="W719" s="51"/>
    </row>
    <row r="720" spans="3:23" x14ac:dyDescent="0.3">
      <c r="C720" s="54"/>
      <c r="N720" s="33"/>
      <c r="R720" s="51"/>
      <c r="S720" s="51"/>
      <c r="T720" s="51"/>
      <c r="U720" s="51"/>
      <c r="V720" s="51"/>
      <c r="W720" s="51"/>
    </row>
    <row r="721" spans="3:23" x14ac:dyDescent="0.3">
      <c r="C721" s="54"/>
      <c r="N721" s="33"/>
      <c r="R721" s="51"/>
      <c r="S721" s="51"/>
      <c r="T721" s="51"/>
      <c r="U721" s="51"/>
      <c r="V721" s="51"/>
      <c r="W721" s="51"/>
    </row>
    <row r="722" spans="3:23" x14ac:dyDescent="0.3">
      <c r="C722" s="54"/>
      <c r="N722" s="33"/>
      <c r="R722" s="51"/>
      <c r="S722" s="51"/>
      <c r="T722" s="51"/>
      <c r="U722" s="51"/>
      <c r="V722" s="51"/>
      <c r="W722" s="51"/>
    </row>
    <row r="723" spans="3:23" x14ac:dyDescent="0.3">
      <c r="C723" s="54"/>
      <c r="N723" s="33"/>
      <c r="R723" s="51"/>
      <c r="S723" s="51"/>
      <c r="T723" s="51"/>
      <c r="U723" s="51"/>
      <c r="V723" s="51"/>
      <c r="W723" s="51"/>
    </row>
    <row r="724" spans="3:23" x14ac:dyDescent="0.3">
      <c r="C724" s="54"/>
      <c r="N724" s="33"/>
      <c r="R724" s="51"/>
      <c r="S724" s="51"/>
      <c r="T724" s="51"/>
      <c r="U724" s="51"/>
      <c r="V724" s="51"/>
      <c r="W724" s="51"/>
    </row>
    <row r="725" spans="3:23" x14ac:dyDescent="0.3">
      <c r="C725" s="54"/>
      <c r="N725" s="33"/>
      <c r="R725" s="51"/>
      <c r="S725" s="51"/>
      <c r="T725" s="51"/>
      <c r="U725" s="51"/>
      <c r="V725" s="51"/>
      <c r="W725" s="51"/>
    </row>
    <row r="726" spans="3:23" x14ac:dyDescent="0.3">
      <c r="C726" s="54"/>
      <c r="N726" s="33"/>
      <c r="R726" s="51"/>
      <c r="S726" s="51"/>
      <c r="T726" s="51"/>
      <c r="U726" s="51"/>
      <c r="V726" s="51"/>
      <c r="W726" s="51"/>
    </row>
    <row r="727" spans="3:23" x14ac:dyDescent="0.3">
      <c r="C727" s="54"/>
      <c r="N727" s="33"/>
      <c r="R727" s="51"/>
      <c r="S727" s="51"/>
      <c r="T727" s="51"/>
      <c r="U727" s="51"/>
      <c r="V727" s="51"/>
      <c r="W727" s="51"/>
    </row>
    <row r="728" spans="3:23" x14ac:dyDescent="0.3">
      <c r="C728" s="54"/>
      <c r="N728" s="33"/>
      <c r="R728" s="51"/>
      <c r="S728" s="51"/>
      <c r="T728" s="51"/>
      <c r="U728" s="51"/>
      <c r="V728" s="51"/>
      <c r="W728" s="51"/>
    </row>
    <row r="729" spans="3:23" x14ac:dyDescent="0.3">
      <c r="C729" s="54"/>
      <c r="N729" s="33"/>
      <c r="R729" s="51"/>
      <c r="S729" s="51"/>
      <c r="T729" s="51"/>
      <c r="U729" s="51"/>
      <c r="V729" s="51"/>
      <c r="W729" s="51"/>
    </row>
    <row r="730" spans="3:23" x14ac:dyDescent="0.3">
      <c r="C730" s="54"/>
      <c r="N730" s="33"/>
      <c r="R730" s="51"/>
      <c r="S730" s="51"/>
      <c r="T730" s="51"/>
      <c r="U730" s="51"/>
      <c r="V730" s="51"/>
      <c r="W730" s="51"/>
    </row>
    <row r="731" spans="3:23" x14ac:dyDescent="0.3">
      <c r="C731" s="54"/>
      <c r="N731" s="33"/>
      <c r="R731" s="51"/>
      <c r="S731" s="51"/>
      <c r="T731" s="51"/>
      <c r="U731" s="51"/>
      <c r="V731" s="51"/>
      <c r="W731" s="51"/>
    </row>
    <row r="732" spans="3:23" x14ac:dyDescent="0.3">
      <c r="C732" s="54"/>
      <c r="N732" s="33"/>
      <c r="R732" s="51"/>
      <c r="S732" s="51"/>
      <c r="T732" s="51"/>
      <c r="U732" s="51"/>
      <c r="V732" s="51"/>
      <c r="W732" s="51"/>
    </row>
    <row r="733" spans="3:23" x14ac:dyDescent="0.3">
      <c r="C733" s="54"/>
      <c r="N733" s="33"/>
      <c r="R733" s="51"/>
      <c r="S733" s="51"/>
      <c r="T733" s="51"/>
      <c r="U733" s="51"/>
      <c r="V733" s="51"/>
      <c r="W733" s="51"/>
    </row>
    <row r="734" spans="3:23" x14ac:dyDescent="0.3">
      <c r="C734" s="54"/>
      <c r="N734" s="33"/>
      <c r="R734" s="51"/>
      <c r="S734" s="51"/>
      <c r="T734" s="51"/>
      <c r="U734" s="51"/>
      <c r="V734" s="51"/>
      <c r="W734" s="51"/>
    </row>
    <row r="735" spans="3:23" x14ac:dyDescent="0.3">
      <c r="C735" s="54"/>
      <c r="N735" s="33"/>
      <c r="R735" s="51"/>
      <c r="S735" s="51"/>
      <c r="T735" s="51"/>
      <c r="U735" s="51"/>
      <c r="V735" s="51"/>
      <c r="W735" s="51"/>
    </row>
    <row r="736" spans="3:23" x14ac:dyDescent="0.3">
      <c r="C736" s="54"/>
      <c r="N736" s="33"/>
      <c r="R736" s="51"/>
      <c r="S736" s="51"/>
      <c r="T736" s="51"/>
      <c r="U736" s="51"/>
      <c r="V736" s="51"/>
      <c r="W736" s="51"/>
    </row>
    <row r="737" spans="3:23" x14ac:dyDescent="0.3">
      <c r="C737" s="54"/>
      <c r="N737" s="33"/>
      <c r="R737" s="51"/>
      <c r="S737" s="51"/>
      <c r="T737" s="51"/>
      <c r="U737" s="51"/>
      <c r="V737" s="51"/>
      <c r="W737" s="51"/>
    </row>
    <row r="738" spans="3:23" x14ac:dyDescent="0.3">
      <c r="C738" s="54"/>
      <c r="N738" s="33"/>
      <c r="R738" s="51"/>
      <c r="S738" s="51"/>
      <c r="T738" s="51"/>
      <c r="U738" s="51"/>
      <c r="V738" s="51"/>
      <c r="W738" s="51"/>
    </row>
    <row r="739" spans="3:23" x14ac:dyDescent="0.3">
      <c r="C739" s="54"/>
      <c r="N739" s="33"/>
      <c r="R739" s="51"/>
      <c r="S739" s="51"/>
      <c r="T739" s="51"/>
      <c r="U739" s="51"/>
      <c r="V739" s="51"/>
      <c r="W739" s="51"/>
    </row>
    <row r="740" spans="3:23" x14ac:dyDescent="0.3">
      <c r="C740" s="54"/>
      <c r="N740" s="33"/>
      <c r="R740" s="51"/>
      <c r="S740" s="51"/>
      <c r="T740" s="51"/>
      <c r="U740" s="51"/>
      <c r="V740" s="51"/>
      <c r="W740" s="51"/>
    </row>
    <row r="741" spans="3:23" x14ac:dyDescent="0.3">
      <c r="C741" s="54"/>
      <c r="N741" s="33"/>
      <c r="R741" s="51"/>
      <c r="S741" s="51"/>
      <c r="T741" s="51"/>
      <c r="U741" s="51"/>
      <c r="V741" s="51"/>
      <c r="W741" s="51"/>
    </row>
    <row r="742" spans="3:23" x14ac:dyDescent="0.3">
      <c r="C742" s="54"/>
      <c r="N742" s="33"/>
      <c r="R742" s="51"/>
      <c r="S742" s="51"/>
      <c r="T742" s="51"/>
      <c r="U742" s="51"/>
      <c r="V742" s="51"/>
      <c r="W742" s="51"/>
    </row>
    <row r="743" spans="3:23" x14ac:dyDescent="0.3">
      <c r="C743" s="54"/>
      <c r="N743" s="33"/>
      <c r="R743" s="51"/>
      <c r="S743" s="51"/>
      <c r="T743" s="51"/>
      <c r="U743" s="51"/>
      <c r="V743" s="51"/>
      <c r="W743" s="51"/>
    </row>
    <row r="744" spans="3:23" x14ac:dyDescent="0.3">
      <c r="C744" s="54"/>
      <c r="N744" s="33"/>
      <c r="R744" s="51"/>
      <c r="S744" s="51"/>
      <c r="T744" s="51"/>
      <c r="U744" s="51"/>
      <c r="V744" s="51"/>
      <c r="W744" s="51"/>
    </row>
    <row r="745" spans="3:23" x14ac:dyDescent="0.3">
      <c r="C745" s="54"/>
      <c r="N745" s="33"/>
      <c r="R745" s="51"/>
      <c r="S745" s="51"/>
      <c r="T745" s="51"/>
      <c r="U745" s="51"/>
      <c r="V745" s="51"/>
      <c r="W745" s="51"/>
    </row>
    <row r="746" spans="3:23" x14ac:dyDescent="0.3">
      <c r="C746" s="54"/>
      <c r="N746" s="33"/>
      <c r="R746" s="51"/>
      <c r="S746" s="51"/>
      <c r="T746" s="51"/>
      <c r="U746" s="51"/>
      <c r="V746" s="51"/>
      <c r="W746" s="51"/>
    </row>
    <row r="747" spans="3:23" x14ac:dyDescent="0.3">
      <c r="C747" s="54"/>
      <c r="N747" s="33"/>
      <c r="R747" s="51"/>
      <c r="S747" s="51"/>
      <c r="T747" s="51"/>
      <c r="U747" s="51"/>
      <c r="V747" s="51"/>
      <c r="W747" s="51"/>
    </row>
    <row r="748" spans="3:23" x14ac:dyDescent="0.3">
      <c r="C748" s="54"/>
      <c r="N748" s="33"/>
      <c r="R748" s="51"/>
      <c r="S748" s="51"/>
      <c r="T748" s="51"/>
      <c r="U748" s="51"/>
      <c r="V748" s="51"/>
      <c r="W748" s="51"/>
    </row>
    <row r="749" spans="3:23" x14ac:dyDescent="0.3">
      <c r="C749" s="54"/>
      <c r="N749" s="33"/>
      <c r="R749" s="51"/>
      <c r="S749" s="51"/>
      <c r="T749" s="51"/>
      <c r="U749" s="51"/>
      <c r="V749" s="51"/>
      <c r="W749" s="51"/>
    </row>
    <row r="750" spans="3:23" x14ac:dyDescent="0.3">
      <c r="C750" s="54"/>
      <c r="N750" s="33"/>
      <c r="R750" s="51"/>
      <c r="S750" s="51"/>
      <c r="T750" s="51"/>
      <c r="U750" s="51"/>
      <c r="V750" s="51"/>
      <c r="W750" s="51"/>
    </row>
    <row r="751" spans="3:23" x14ac:dyDescent="0.3">
      <c r="C751" s="54"/>
      <c r="N751" s="33"/>
      <c r="R751" s="51"/>
      <c r="S751" s="51"/>
      <c r="T751" s="51"/>
      <c r="U751" s="51"/>
      <c r="V751" s="51"/>
      <c r="W751" s="51"/>
    </row>
    <row r="752" spans="3:23" x14ac:dyDescent="0.3">
      <c r="C752" s="54"/>
      <c r="N752" s="33"/>
      <c r="R752" s="51"/>
      <c r="S752" s="51"/>
      <c r="T752" s="51"/>
      <c r="U752" s="51"/>
      <c r="V752" s="51"/>
      <c r="W752" s="51"/>
    </row>
    <row r="753" spans="3:23" x14ac:dyDescent="0.3">
      <c r="C753" s="54"/>
      <c r="N753" s="33"/>
      <c r="R753" s="51"/>
      <c r="S753" s="51"/>
      <c r="T753" s="51"/>
      <c r="U753" s="51"/>
      <c r="V753" s="51"/>
      <c r="W753" s="51"/>
    </row>
    <row r="754" spans="3:23" x14ac:dyDescent="0.3">
      <c r="C754" s="54"/>
      <c r="N754" s="33"/>
      <c r="R754" s="51"/>
      <c r="S754" s="51"/>
      <c r="T754" s="51"/>
      <c r="U754" s="51"/>
      <c r="V754" s="51"/>
      <c r="W754" s="51"/>
    </row>
    <row r="755" spans="3:23" x14ac:dyDescent="0.3">
      <c r="C755" s="54"/>
      <c r="N755" s="33"/>
      <c r="R755" s="51"/>
      <c r="S755" s="51"/>
      <c r="T755" s="51"/>
      <c r="U755" s="51"/>
      <c r="V755" s="51"/>
      <c r="W755" s="51"/>
    </row>
    <row r="756" spans="3:23" x14ac:dyDescent="0.3">
      <c r="C756" s="54"/>
      <c r="N756" s="33"/>
      <c r="R756" s="51"/>
      <c r="S756" s="51"/>
      <c r="T756" s="51"/>
      <c r="U756" s="51"/>
      <c r="V756" s="51"/>
      <c r="W756" s="51"/>
    </row>
    <row r="757" spans="3:23" x14ac:dyDescent="0.3">
      <c r="C757" s="54"/>
      <c r="N757" s="33"/>
      <c r="R757" s="51"/>
      <c r="S757" s="51"/>
      <c r="T757" s="51"/>
      <c r="U757" s="51"/>
      <c r="V757" s="51"/>
      <c r="W757" s="51"/>
    </row>
    <row r="758" spans="3:23" x14ac:dyDescent="0.3">
      <c r="C758" s="54"/>
      <c r="N758" s="33"/>
      <c r="R758" s="51"/>
      <c r="S758" s="51"/>
      <c r="T758" s="51"/>
      <c r="U758" s="51"/>
      <c r="V758" s="51"/>
      <c r="W758" s="51"/>
    </row>
    <row r="759" spans="3:23" x14ac:dyDescent="0.3">
      <c r="C759" s="54"/>
      <c r="N759" s="33"/>
      <c r="R759" s="51"/>
      <c r="S759" s="51"/>
      <c r="T759" s="51"/>
      <c r="U759" s="51"/>
      <c r="V759" s="51"/>
      <c r="W759" s="51"/>
    </row>
    <row r="760" spans="3:23" x14ac:dyDescent="0.3">
      <c r="C760" s="54"/>
      <c r="N760" s="33"/>
      <c r="R760" s="51"/>
      <c r="S760" s="51"/>
      <c r="T760" s="51"/>
      <c r="U760" s="51"/>
      <c r="V760" s="51"/>
      <c r="W760" s="51"/>
    </row>
    <row r="761" spans="3:23" x14ac:dyDescent="0.3">
      <c r="C761" s="54"/>
      <c r="N761" s="33"/>
      <c r="R761" s="51"/>
      <c r="S761" s="51"/>
      <c r="T761" s="51"/>
      <c r="U761" s="51"/>
      <c r="V761" s="51"/>
      <c r="W761" s="51"/>
    </row>
    <row r="762" spans="3:23" x14ac:dyDescent="0.3">
      <c r="C762" s="54"/>
      <c r="N762" s="33"/>
      <c r="R762" s="51"/>
      <c r="S762" s="51"/>
      <c r="T762" s="51"/>
      <c r="U762" s="51"/>
      <c r="V762" s="51"/>
      <c r="W762" s="51"/>
    </row>
    <row r="763" spans="3:23" x14ac:dyDescent="0.3">
      <c r="C763" s="54"/>
      <c r="N763" s="33"/>
      <c r="R763" s="51"/>
      <c r="S763" s="51"/>
      <c r="T763" s="51"/>
      <c r="U763" s="51"/>
      <c r="V763" s="51"/>
      <c r="W763" s="51"/>
    </row>
    <row r="764" spans="3:23" x14ac:dyDescent="0.3">
      <c r="C764" s="54"/>
      <c r="N764" s="33"/>
      <c r="R764" s="51"/>
      <c r="S764" s="51"/>
      <c r="T764" s="51"/>
      <c r="U764" s="51"/>
      <c r="V764" s="51"/>
      <c r="W764" s="51"/>
    </row>
    <row r="765" spans="3:23" x14ac:dyDescent="0.3">
      <c r="C765" s="54"/>
      <c r="N765" s="33"/>
      <c r="R765" s="51"/>
      <c r="S765" s="51"/>
      <c r="T765" s="51"/>
      <c r="U765" s="51"/>
      <c r="V765" s="51"/>
      <c r="W765" s="51"/>
    </row>
    <row r="766" spans="3:23" x14ac:dyDescent="0.3">
      <c r="C766" s="54"/>
      <c r="N766" s="33"/>
      <c r="R766" s="51"/>
      <c r="S766" s="51"/>
      <c r="T766" s="51"/>
      <c r="U766" s="51"/>
      <c r="V766" s="51"/>
      <c r="W766" s="51"/>
    </row>
    <row r="767" spans="3:23" x14ac:dyDescent="0.3">
      <c r="C767" s="54"/>
      <c r="N767" s="33"/>
      <c r="R767" s="51"/>
      <c r="S767" s="51"/>
      <c r="T767" s="51"/>
      <c r="U767" s="51"/>
      <c r="V767" s="51"/>
      <c r="W767" s="51"/>
    </row>
    <row r="768" spans="3:23" x14ac:dyDescent="0.3">
      <c r="C768" s="54"/>
      <c r="N768" s="33"/>
      <c r="R768" s="51"/>
      <c r="S768" s="51"/>
      <c r="T768" s="51"/>
      <c r="U768" s="51"/>
      <c r="V768" s="51"/>
      <c r="W768" s="51"/>
    </row>
    <row r="769" spans="3:23" x14ac:dyDescent="0.3">
      <c r="C769" s="54"/>
      <c r="N769" s="33"/>
      <c r="R769" s="51"/>
      <c r="S769" s="51"/>
      <c r="T769" s="51"/>
      <c r="U769" s="51"/>
      <c r="V769" s="51"/>
      <c r="W769" s="51"/>
    </row>
    <row r="770" spans="3:23" x14ac:dyDescent="0.3">
      <c r="C770" s="54"/>
      <c r="N770" s="33"/>
      <c r="R770" s="51"/>
      <c r="S770" s="51"/>
      <c r="T770" s="51"/>
      <c r="U770" s="51"/>
      <c r="V770" s="51"/>
      <c r="W770" s="51"/>
    </row>
    <row r="771" spans="3:23" x14ac:dyDescent="0.3">
      <c r="C771" s="54"/>
      <c r="N771" s="33"/>
      <c r="R771" s="51"/>
      <c r="S771" s="51"/>
      <c r="T771" s="51"/>
      <c r="U771" s="51"/>
      <c r="V771" s="51"/>
      <c r="W771" s="51"/>
    </row>
    <row r="772" spans="3:23" x14ac:dyDescent="0.3">
      <c r="C772" s="54"/>
      <c r="N772" s="33"/>
      <c r="R772" s="51"/>
      <c r="S772" s="51"/>
      <c r="T772" s="51"/>
      <c r="U772" s="51"/>
      <c r="V772" s="51"/>
      <c r="W772" s="51"/>
    </row>
    <row r="773" spans="3:23" x14ac:dyDescent="0.3">
      <c r="C773" s="54"/>
      <c r="N773" s="33"/>
      <c r="R773" s="51"/>
      <c r="S773" s="51"/>
      <c r="T773" s="51"/>
      <c r="U773" s="51"/>
      <c r="V773" s="51"/>
      <c r="W773" s="51"/>
    </row>
    <row r="774" spans="3:23" x14ac:dyDescent="0.3">
      <c r="C774" s="54"/>
      <c r="N774" s="33"/>
      <c r="R774" s="51"/>
      <c r="S774" s="51"/>
      <c r="T774" s="51"/>
      <c r="U774" s="51"/>
      <c r="V774" s="51"/>
      <c r="W774" s="51"/>
    </row>
    <row r="775" spans="3:23" x14ac:dyDescent="0.3">
      <c r="C775" s="54"/>
      <c r="N775" s="33"/>
      <c r="R775" s="51"/>
      <c r="S775" s="51"/>
      <c r="T775" s="51"/>
      <c r="U775" s="51"/>
      <c r="V775" s="51"/>
      <c r="W775" s="51"/>
    </row>
    <row r="776" spans="3:23" x14ac:dyDescent="0.3">
      <c r="C776" s="54"/>
      <c r="N776" s="33"/>
      <c r="R776" s="51"/>
      <c r="S776" s="51"/>
      <c r="T776" s="51"/>
      <c r="U776" s="51"/>
      <c r="V776" s="51"/>
      <c r="W776" s="51"/>
    </row>
    <row r="777" spans="3:23" x14ac:dyDescent="0.3">
      <c r="C777" s="54"/>
      <c r="N777" s="33"/>
      <c r="R777" s="51"/>
      <c r="S777" s="51"/>
      <c r="T777" s="51"/>
      <c r="U777" s="51"/>
      <c r="V777" s="51"/>
      <c r="W777" s="51"/>
    </row>
    <row r="778" spans="3:23" x14ac:dyDescent="0.3">
      <c r="C778" s="54"/>
      <c r="N778" s="33"/>
      <c r="R778" s="51"/>
      <c r="S778" s="51"/>
      <c r="T778" s="51"/>
      <c r="U778" s="51"/>
      <c r="V778" s="51"/>
      <c r="W778" s="51"/>
    </row>
    <row r="779" spans="3:23" x14ac:dyDescent="0.3">
      <c r="C779" s="54"/>
      <c r="N779" s="33"/>
      <c r="R779" s="51"/>
      <c r="S779" s="51"/>
      <c r="T779" s="51"/>
      <c r="U779" s="51"/>
      <c r="V779" s="51"/>
      <c r="W779" s="51"/>
    </row>
    <row r="780" spans="3:23" x14ac:dyDescent="0.3">
      <c r="C780" s="54"/>
      <c r="N780" s="33"/>
      <c r="R780" s="51"/>
      <c r="S780" s="51"/>
      <c r="T780" s="51"/>
      <c r="U780" s="51"/>
      <c r="V780" s="51"/>
      <c r="W780" s="51"/>
    </row>
    <row r="781" spans="3:23" x14ac:dyDescent="0.3">
      <c r="C781" s="54"/>
      <c r="N781" s="33"/>
      <c r="R781" s="51"/>
      <c r="S781" s="51"/>
      <c r="T781" s="51"/>
      <c r="U781" s="51"/>
      <c r="V781" s="51"/>
      <c r="W781" s="51"/>
    </row>
    <row r="782" spans="3:23" x14ac:dyDescent="0.3">
      <c r="C782" s="54"/>
      <c r="N782" s="33"/>
      <c r="R782" s="51"/>
      <c r="S782" s="51"/>
      <c r="T782" s="51"/>
      <c r="U782" s="51"/>
      <c r="V782" s="51"/>
      <c r="W782" s="51"/>
    </row>
    <row r="783" spans="3:23" x14ac:dyDescent="0.3">
      <c r="C783" s="54"/>
      <c r="N783" s="33"/>
      <c r="R783" s="51"/>
      <c r="S783" s="51"/>
      <c r="T783" s="51"/>
      <c r="U783" s="51"/>
      <c r="V783" s="51"/>
      <c r="W783" s="51"/>
    </row>
    <row r="784" spans="3:23" x14ac:dyDescent="0.3">
      <c r="C784" s="54"/>
      <c r="N784" s="33"/>
      <c r="R784" s="51"/>
      <c r="S784" s="51"/>
      <c r="T784" s="51"/>
      <c r="U784" s="51"/>
      <c r="V784" s="51"/>
      <c r="W784" s="51"/>
    </row>
    <row r="785" spans="3:23" x14ac:dyDescent="0.3">
      <c r="C785" s="54"/>
      <c r="N785" s="33"/>
      <c r="R785" s="51"/>
      <c r="S785" s="51"/>
      <c r="T785" s="51"/>
      <c r="U785" s="51"/>
      <c r="V785" s="51"/>
      <c r="W785" s="51"/>
    </row>
    <row r="786" spans="3:23" x14ac:dyDescent="0.3">
      <c r="C786" s="54"/>
      <c r="N786" s="33"/>
      <c r="R786" s="51"/>
      <c r="S786" s="51"/>
      <c r="T786" s="51"/>
      <c r="U786" s="51"/>
      <c r="V786" s="51"/>
      <c r="W786" s="51"/>
    </row>
    <row r="787" spans="3:23" x14ac:dyDescent="0.3">
      <c r="C787" s="54"/>
      <c r="N787" s="33"/>
      <c r="R787" s="51"/>
      <c r="S787" s="51"/>
      <c r="T787" s="51"/>
      <c r="U787" s="51"/>
      <c r="V787" s="51"/>
      <c r="W787" s="51"/>
    </row>
    <row r="788" spans="3:23" x14ac:dyDescent="0.3">
      <c r="C788" s="54"/>
      <c r="N788" s="33"/>
      <c r="R788" s="51"/>
      <c r="S788" s="51"/>
      <c r="T788" s="51"/>
      <c r="U788" s="51"/>
      <c r="V788" s="51"/>
      <c r="W788" s="51"/>
    </row>
    <row r="789" spans="3:23" x14ac:dyDescent="0.3">
      <c r="C789" s="54"/>
      <c r="N789" s="33"/>
      <c r="R789" s="51"/>
      <c r="S789" s="51"/>
      <c r="T789" s="51"/>
      <c r="U789" s="51"/>
      <c r="V789" s="51"/>
      <c r="W789" s="51"/>
    </row>
    <row r="790" spans="3:23" x14ac:dyDescent="0.3">
      <c r="C790" s="54"/>
      <c r="N790" s="33"/>
      <c r="R790" s="51"/>
      <c r="S790" s="51"/>
      <c r="T790" s="51"/>
      <c r="U790" s="51"/>
      <c r="V790" s="51"/>
      <c r="W790" s="51"/>
    </row>
    <row r="791" spans="3:23" x14ac:dyDescent="0.3">
      <c r="C791" s="54"/>
      <c r="N791" s="33"/>
      <c r="R791" s="51"/>
      <c r="S791" s="51"/>
      <c r="T791" s="51"/>
      <c r="U791" s="51"/>
      <c r="V791" s="51"/>
      <c r="W791" s="51"/>
    </row>
    <row r="792" spans="3:23" x14ac:dyDescent="0.3">
      <c r="C792" s="54"/>
      <c r="N792" s="33"/>
      <c r="R792" s="51"/>
      <c r="S792" s="51"/>
      <c r="T792" s="51"/>
      <c r="U792" s="51"/>
      <c r="V792" s="51"/>
      <c r="W792" s="51"/>
    </row>
    <row r="793" spans="3:23" x14ac:dyDescent="0.3">
      <c r="C793" s="54"/>
      <c r="N793" s="33"/>
      <c r="R793" s="51"/>
      <c r="S793" s="51"/>
      <c r="T793" s="51"/>
      <c r="U793" s="51"/>
      <c r="V793" s="51"/>
      <c r="W793" s="51"/>
    </row>
    <row r="794" spans="3:23" x14ac:dyDescent="0.3">
      <c r="C794" s="54"/>
      <c r="N794" s="33"/>
      <c r="R794" s="51"/>
      <c r="S794" s="51"/>
      <c r="T794" s="51"/>
      <c r="U794" s="51"/>
      <c r="V794" s="51"/>
      <c r="W794" s="51"/>
    </row>
    <row r="795" spans="3:23" x14ac:dyDescent="0.3">
      <c r="C795" s="54"/>
      <c r="N795" s="33"/>
      <c r="R795" s="51"/>
      <c r="S795" s="51"/>
      <c r="T795" s="51"/>
      <c r="U795" s="51"/>
      <c r="V795" s="51"/>
      <c r="W795" s="51"/>
    </row>
    <row r="796" spans="3:23" x14ac:dyDescent="0.3">
      <c r="C796" s="54"/>
      <c r="N796" s="33"/>
      <c r="R796" s="51"/>
      <c r="S796" s="51"/>
      <c r="T796" s="51"/>
      <c r="U796" s="51"/>
      <c r="V796" s="51"/>
      <c r="W796" s="51"/>
    </row>
    <row r="797" spans="3:23" x14ac:dyDescent="0.3">
      <c r="C797" s="54"/>
      <c r="N797" s="33"/>
      <c r="R797" s="51"/>
      <c r="S797" s="51"/>
      <c r="T797" s="51"/>
      <c r="U797" s="51"/>
      <c r="V797" s="51"/>
      <c r="W797" s="51"/>
    </row>
    <row r="798" spans="3:23" x14ac:dyDescent="0.3">
      <c r="C798" s="54"/>
      <c r="N798" s="33"/>
      <c r="R798" s="51"/>
      <c r="S798" s="51"/>
      <c r="T798" s="51"/>
      <c r="U798" s="51"/>
      <c r="V798" s="51"/>
      <c r="W798" s="51"/>
    </row>
    <row r="799" spans="3:23" x14ac:dyDescent="0.3">
      <c r="C799" s="54"/>
      <c r="N799" s="33"/>
      <c r="R799" s="51"/>
      <c r="S799" s="51"/>
      <c r="T799" s="51"/>
      <c r="U799" s="51"/>
      <c r="V799" s="51"/>
      <c r="W799" s="51"/>
    </row>
    <row r="800" spans="3:23" x14ac:dyDescent="0.3">
      <c r="C800" s="54"/>
      <c r="N800" s="33"/>
      <c r="R800" s="51"/>
      <c r="S800" s="51"/>
      <c r="T800" s="51"/>
      <c r="U800" s="51"/>
      <c r="V800" s="51"/>
      <c r="W800" s="51"/>
    </row>
    <row r="801" spans="3:23" x14ac:dyDescent="0.3">
      <c r="C801" s="54"/>
      <c r="N801" s="33"/>
      <c r="R801" s="51"/>
      <c r="S801" s="51"/>
      <c r="T801" s="51"/>
      <c r="U801" s="51"/>
      <c r="V801" s="51"/>
      <c r="W801" s="51"/>
    </row>
    <row r="802" spans="3:23" x14ac:dyDescent="0.3">
      <c r="C802" s="54"/>
      <c r="N802" s="33"/>
      <c r="R802" s="51"/>
      <c r="S802" s="51"/>
      <c r="T802" s="51"/>
      <c r="U802" s="51"/>
      <c r="V802" s="51"/>
      <c r="W802" s="51"/>
    </row>
    <row r="803" spans="3:23" x14ac:dyDescent="0.3">
      <c r="C803" s="54"/>
      <c r="N803" s="33"/>
      <c r="R803" s="51"/>
      <c r="S803" s="51"/>
      <c r="T803" s="51"/>
      <c r="U803" s="51"/>
      <c r="V803" s="51"/>
      <c r="W803" s="51"/>
    </row>
    <row r="804" spans="3:23" x14ac:dyDescent="0.3">
      <c r="C804" s="54"/>
      <c r="N804" s="33"/>
      <c r="R804" s="51"/>
      <c r="S804" s="51"/>
      <c r="T804" s="51"/>
      <c r="U804" s="51"/>
      <c r="V804" s="51"/>
      <c r="W804" s="51"/>
    </row>
    <row r="805" spans="3:23" x14ac:dyDescent="0.3">
      <c r="C805" s="54"/>
      <c r="N805" s="33"/>
      <c r="R805" s="51"/>
      <c r="S805" s="51"/>
      <c r="T805" s="51"/>
      <c r="U805" s="51"/>
      <c r="V805" s="51"/>
      <c r="W805" s="51"/>
    </row>
    <row r="806" spans="3:23" x14ac:dyDescent="0.3">
      <c r="C806" s="54"/>
      <c r="N806" s="33"/>
      <c r="R806" s="51"/>
      <c r="S806" s="51"/>
      <c r="T806" s="51"/>
      <c r="U806" s="51"/>
      <c r="V806" s="51"/>
      <c r="W806" s="51"/>
    </row>
    <row r="807" spans="3:23" x14ac:dyDescent="0.3">
      <c r="C807" s="54"/>
      <c r="N807" s="33"/>
      <c r="R807" s="51"/>
      <c r="S807" s="51"/>
      <c r="T807" s="51"/>
      <c r="U807" s="51"/>
      <c r="V807" s="51"/>
      <c r="W807" s="51"/>
    </row>
    <row r="808" spans="3:23" x14ac:dyDescent="0.3">
      <c r="C808" s="54"/>
      <c r="N808" s="33"/>
      <c r="R808" s="51"/>
      <c r="S808" s="51"/>
      <c r="T808" s="51"/>
      <c r="U808" s="51"/>
      <c r="V808" s="51"/>
      <c r="W808" s="51"/>
    </row>
    <row r="809" spans="3:23" x14ac:dyDescent="0.3">
      <c r="C809" s="54"/>
      <c r="N809" s="33"/>
      <c r="R809" s="51"/>
      <c r="S809" s="51"/>
      <c r="T809" s="51"/>
      <c r="U809" s="51"/>
      <c r="V809" s="51"/>
      <c r="W809" s="51"/>
    </row>
    <row r="810" spans="3:23" x14ac:dyDescent="0.3">
      <c r="C810" s="54"/>
      <c r="N810" s="33"/>
      <c r="R810" s="51"/>
      <c r="S810" s="51"/>
      <c r="T810" s="51"/>
      <c r="U810" s="51"/>
      <c r="V810" s="51"/>
      <c r="W810" s="51"/>
    </row>
    <row r="811" spans="3:23" x14ac:dyDescent="0.3">
      <c r="C811" s="54"/>
      <c r="N811" s="33"/>
      <c r="R811" s="51"/>
      <c r="S811" s="51"/>
      <c r="T811" s="51"/>
      <c r="U811" s="51"/>
      <c r="V811" s="51"/>
      <c r="W811" s="51"/>
    </row>
    <row r="812" spans="3:23" x14ac:dyDescent="0.3">
      <c r="C812" s="54"/>
      <c r="N812" s="33"/>
      <c r="R812" s="51"/>
      <c r="S812" s="51"/>
      <c r="T812" s="51"/>
      <c r="U812" s="51"/>
      <c r="V812" s="51"/>
      <c r="W812" s="51"/>
    </row>
    <row r="813" spans="3:23" x14ac:dyDescent="0.3">
      <c r="C813" s="54"/>
      <c r="N813" s="33"/>
      <c r="R813" s="51"/>
      <c r="S813" s="51"/>
      <c r="T813" s="51"/>
      <c r="U813" s="51"/>
      <c r="V813" s="51"/>
      <c r="W813" s="51"/>
    </row>
    <row r="814" spans="3:23" x14ac:dyDescent="0.3">
      <c r="C814" s="54"/>
      <c r="N814" s="33"/>
      <c r="R814" s="51"/>
      <c r="S814" s="51"/>
      <c r="T814" s="51"/>
      <c r="U814" s="51"/>
      <c r="V814" s="51"/>
      <c r="W814" s="51"/>
    </row>
    <row r="815" spans="3:23" x14ac:dyDescent="0.3">
      <c r="C815" s="54"/>
      <c r="N815" s="33"/>
      <c r="R815" s="51"/>
      <c r="S815" s="51"/>
      <c r="T815" s="51"/>
      <c r="U815" s="51"/>
      <c r="V815" s="51"/>
      <c r="W815" s="51"/>
    </row>
    <row r="816" spans="3:23" x14ac:dyDescent="0.3">
      <c r="C816" s="54"/>
      <c r="N816" s="33"/>
      <c r="R816" s="51"/>
      <c r="S816" s="51"/>
      <c r="T816" s="51"/>
      <c r="U816" s="51"/>
      <c r="V816" s="51"/>
      <c r="W816" s="51"/>
    </row>
    <row r="817" spans="3:23" x14ac:dyDescent="0.3">
      <c r="C817" s="54"/>
      <c r="N817" s="33"/>
      <c r="R817" s="51"/>
      <c r="S817" s="51"/>
      <c r="T817" s="51"/>
      <c r="U817" s="51"/>
      <c r="V817" s="51"/>
      <c r="W817" s="51"/>
    </row>
    <row r="818" spans="3:23" x14ac:dyDescent="0.3">
      <c r="C818" s="54"/>
      <c r="N818" s="33"/>
      <c r="R818" s="51"/>
      <c r="S818" s="51"/>
      <c r="T818" s="51"/>
      <c r="U818" s="51"/>
      <c r="V818" s="51"/>
      <c r="W818" s="51"/>
    </row>
    <row r="819" spans="3:23" x14ac:dyDescent="0.3">
      <c r="C819" s="54"/>
      <c r="N819" s="33"/>
      <c r="R819" s="51"/>
      <c r="S819" s="51"/>
      <c r="T819" s="51"/>
      <c r="U819" s="51"/>
      <c r="V819" s="51"/>
      <c r="W819" s="51"/>
    </row>
    <row r="820" spans="3:23" x14ac:dyDescent="0.3">
      <c r="C820" s="54"/>
      <c r="N820" s="33"/>
      <c r="R820" s="51"/>
      <c r="S820" s="51"/>
      <c r="T820" s="51"/>
      <c r="U820" s="51"/>
      <c r="V820" s="51"/>
      <c r="W820" s="51"/>
    </row>
    <row r="821" spans="3:23" x14ac:dyDescent="0.3">
      <c r="C821" s="54"/>
      <c r="N821" s="33"/>
      <c r="R821" s="51"/>
      <c r="S821" s="51"/>
      <c r="T821" s="51"/>
      <c r="U821" s="51"/>
      <c r="V821" s="51"/>
      <c r="W821" s="51"/>
    </row>
    <row r="822" spans="3:23" x14ac:dyDescent="0.3">
      <c r="C822" s="54"/>
      <c r="N822" s="33"/>
      <c r="R822" s="51"/>
      <c r="S822" s="51"/>
      <c r="T822" s="51"/>
      <c r="U822" s="51"/>
      <c r="V822" s="51"/>
      <c r="W822" s="51"/>
    </row>
    <row r="823" spans="3:23" x14ac:dyDescent="0.3">
      <c r="C823" s="54"/>
      <c r="N823" s="33"/>
      <c r="R823" s="51"/>
      <c r="S823" s="51"/>
      <c r="T823" s="51"/>
      <c r="U823" s="51"/>
      <c r="V823" s="51"/>
      <c r="W823" s="51"/>
    </row>
    <row r="824" spans="3:23" x14ac:dyDescent="0.3">
      <c r="C824" s="54"/>
      <c r="N824" s="33"/>
      <c r="R824" s="51"/>
      <c r="S824" s="51"/>
      <c r="T824" s="51"/>
      <c r="U824" s="51"/>
      <c r="V824" s="51"/>
      <c r="W824" s="51"/>
    </row>
    <row r="825" spans="3:23" x14ac:dyDescent="0.3">
      <c r="C825" s="54"/>
      <c r="N825" s="33"/>
      <c r="R825" s="51"/>
      <c r="S825" s="51"/>
      <c r="T825" s="51"/>
      <c r="U825" s="51"/>
      <c r="V825" s="51"/>
      <c r="W825" s="51"/>
    </row>
    <row r="826" spans="3:23" x14ac:dyDescent="0.3">
      <c r="C826" s="54"/>
      <c r="N826" s="33"/>
      <c r="R826" s="51"/>
      <c r="S826" s="51"/>
      <c r="T826" s="51"/>
      <c r="U826" s="51"/>
      <c r="V826" s="51"/>
      <c r="W826" s="51"/>
    </row>
    <row r="827" spans="3:23" x14ac:dyDescent="0.3">
      <c r="C827" s="54"/>
      <c r="N827" s="33"/>
      <c r="R827" s="51"/>
      <c r="S827" s="51"/>
      <c r="T827" s="51"/>
      <c r="U827" s="51"/>
      <c r="V827" s="51"/>
      <c r="W827" s="51"/>
    </row>
    <row r="828" spans="3:23" x14ac:dyDescent="0.3">
      <c r="C828" s="54"/>
      <c r="N828" s="33"/>
      <c r="R828" s="51"/>
      <c r="S828" s="51"/>
      <c r="T828" s="51"/>
      <c r="U828" s="51"/>
      <c r="V828" s="51"/>
      <c r="W828" s="51"/>
    </row>
    <row r="829" spans="3:23" x14ac:dyDescent="0.3">
      <c r="C829" s="54"/>
      <c r="N829" s="33"/>
      <c r="R829" s="51"/>
      <c r="S829" s="51"/>
      <c r="T829" s="51"/>
      <c r="U829" s="51"/>
      <c r="V829" s="51"/>
      <c r="W829" s="51"/>
    </row>
    <row r="830" spans="3:23" x14ac:dyDescent="0.3">
      <c r="C830" s="54"/>
      <c r="N830" s="33"/>
      <c r="R830" s="51"/>
      <c r="S830" s="51"/>
      <c r="T830" s="51"/>
      <c r="U830" s="51"/>
      <c r="V830" s="51"/>
      <c r="W830" s="51"/>
    </row>
    <row r="831" spans="3:23" x14ac:dyDescent="0.3">
      <c r="C831" s="54"/>
      <c r="N831" s="33"/>
      <c r="R831" s="51"/>
      <c r="S831" s="51"/>
      <c r="T831" s="51"/>
      <c r="U831" s="51"/>
      <c r="V831" s="51"/>
      <c r="W831" s="51"/>
    </row>
    <row r="832" spans="3:23" x14ac:dyDescent="0.3">
      <c r="C832" s="54"/>
      <c r="N832" s="33"/>
      <c r="R832" s="51"/>
      <c r="S832" s="51"/>
      <c r="T832" s="51"/>
      <c r="U832" s="51"/>
      <c r="V832" s="51"/>
      <c r="W832" s="51"/>
    </row>
    <row r="833" spans="3:23" x14ac:dyDescent="0.3">
      <c r="C833" s="54"/>
      <c r="N833" s="33"/>
      <c r="R833" s="51"/>
      <c r="S833" s="51"/>
      <c r="T833" s="51"/>
      <c r="U833" s="51"/>
      <c r="V833" s="51"/>
      <c r="W833" s="51"/>
    </row>
    <row r="834" spans="3:23" x14ac:dyDescent="0.3">
      <c r="C834" s="54"/>
      <c r="N834" s="33"/>
      <c r="R834" s="51"/>
      <c r="S834" s="51"/>
      <c r="T834" s="51"/>
      <c r="U834" s="51"/>
      <c r="V834" s="51"/>
      <c r="W834" s="51"/>
    </row>
    <row r="835" spans="3:23" x14ac:dyDescent="0.3">
      <c r="C835" s="54"/>
      <c r="N835" s="33"/>
      <c r="R835" s="51"/>
      <c r="S835" s="51"/>
      <c r="T835" s="51"/>
      <c r="U835" s="51"/>
      <c r="V835" s="51"/>
      <c r="W835" s="51"/>
    </row>
    <row r="836" spans="3:23" x14ac:dyDescent="0.3">
      <c r="C836" s="54"/>
      <c r="N836" s="33"/>
      <c r="R836" s="51"/>
      <c r="S836" s="51"/>
      <c r="T836" s="51"/>
      <c r="U836" s="51"/>
      <c r="V836" s="51"/>
      <c r="W836" s="51"/>
    </row>
    <row r="837" spans="3:23" x14ac:dyDescent="0.3">
      <c r="C837" s="54"/>
      <c r="N837" s="33"/>
      <c r="R837" s="51"/>
      <c r="S837" s="51"/>
      <c r="T837" s="51"/>
      <c r="U837" s="51"/>
      <c r="V837" s="51"/>
      <c r="W837" s="51"/>
    </row>
    <row r="838" spans="3:23" x14ac:dyDescent="0.3">
      <c r="C838" s="54"/>
      <c r="N838" s="33"/>
      <c r="R838" s="51"/>
      <c r="S838" s="51"/>
      <c r="T838" s="51"/>
      <c r="U838" s="51"/>
      <c r="V838" s="51"/>
      <c r="W838" s="51"/>
    </row>
    <row r="839" spans="3:23" x14ac:dyDescent="0.3">
      <c r="C839" s="54"/>
      <c r="N839" s="33"/>
      <c r="R839" s="51"/>
      <c r="S839" s="51"/>
      <c r="T839" s="51"/>
      <c r="U839" s="51"/>
      <c r="V839" s="51"/>
      <c r="W839" s="51"/>
    </row>
    <row r="840" spans="3:23" x14ac:dyDescent="0.3">
      <c r="C840" s="54"/>
      <c r="N840" s="33"/>
      <c r="R840" s="51"/>
      <c r="S840" s="51"/>
      <c r="T840" s="51"/>
      <c r="U840" s="51"/>
      <c r="V840" s="51"/>
      <c r="W840" s="51"/>
    </row>
    <row r="841" spans="3:23" x14ac:dyDescent="0.3">
      <c r="C841" s="54"/>
      <c r="N841" s="33"/>
      <c r="R841" s="51"/>
      <c r="S841" s="51"/>
      <c r="T841" s="51"/>
      <c r="U841" s="51"/>
      <c r="V841" s="51"/>
      <c r="W841" s="51"/>
    </row>
    <row r="842" spans="3:23" x14ac:dyDescent="0.3">
      <c r="C842" s="54"/>
      <c r="N842" s="33"/>
      <c r="R842" s="51"/>
      <c r="S842" s="51"/>
      <c r="T842" s="51"/>
      <c r="U842" s="51"/>
      <c r="V842" s="51"/>
      <c r="W842" s="51"/>
    </row>
    <row r="843" spans="3:23" x14ac:dyDescent="0.3">
      <c r="C843" s="54"/>
      <c r="N843" s="33"/>
      <c r="R843" s="51"/>
      <c r="S843" s="51"/>
      <c r="T843" s="51"/>
      <c r="U843" s="51"/>
      <c r="V843" s="51"/>
      <c r="W843" s="51"/>
    </row>
    <row r="844" spans="3:23" x14ac:dyDescent="0.3">
      <c r="C844" s="54"/>
      <c r="N844" s="33"/>
      <c r="R844" s="51"/>
      <c r="S844" s="51"/>
      <c r="T844" s="51"/>
      <c r="U844" s="51"/>
      <c r="V844" s="51"/>
      <c r="W844" s="51"/>
    </row>
    <row r="845" spans="3:23" x14ac:dyDescent="0.3">
      <c r="C845" s="54"/>
      <c r="N845" s="33"/>
      <c r="R845" s="51"/>
      <c r="S845" s="51"/>
      <c r="T845" s="51"/>
      <c r="U845" s="51"/>
      <c r="V845" s="51"/>
      <c r="W845" s="51"/>
    </row>
    <row r="846" spans="3:23" x14ac:dyDescent="0.3">
      <c r="C846" s="54"/>
      <c r="N846" s="33"/>
      <c r="R846" s="51"/>
      <c r="S846" s="51"/>
      <c r="T846" s="51"/>
      <c r="U846" s="51"/>
      <c r="V846" s="51"/>
      <c r="W846" s="51"/>
    </row>
    <row r="847" spans="3:23" x14ac:dyDescent="0.3">
      <c r="C847" s="54"/>
      <c r="N847" s="33"/>
      <c r="R847" s="51"/>
      <c r="S847" s="51"/>
      <c r="T847" s="51"/>
      <c r="U847" s="51"/>
      <c r="V847" s="51"/>
      <c r="W847" s="51"/>
    </row>
    <row r="848" spans="3:23" x14ac:dyDescent="0.3">
      <c r="C848" s="54"/>
      <c r="N848" s="33"/>
      <c r="R848" s="51"/>
      <c r="S848" s="51"/>
      <c r="T848" s="51"/>
      <c r="U848" s="51"/>
      <c r="V848" s="51"/>
      <c r="W848" s="51"/>
    </row>
    <row r="849" spans="3:23" x14ac:dyDescent="0.3">
      <c r="C849" s="54"/>
      <c r="N849" s="33"/>
      <c r="R849" s="51"/>
      <c r="S849" s="51"/>
      <c r="T849" s="51"/>
      <c r="U849" s="51"/>
      <c r="V849" s="51"/>
      <c r="W849" s="51"/>
    </row>
    <row r="850" spans="3:23" x14ac:dyDescent="0.3">
      <c r="C850" s="54"/>
      <c r="N850" s="33"/>
      <c r="R850" s="51"/>
      <c r="S850" s="51"/>
      <c r="T850" s="51"/>
      <c r="U850" s="51"/>
      <c r="V850" s="51"/>
      <c r="W850" s="51"/>
    </row>
    <row r="851" spans="3:23" x14ac:dyDescent="0.3">
      <c r="C851" s="54"/>
      <c r="N851" s="33"/>
      <c r="R851" s="51"/>
      <c r="S851" s="51"/>
      <c r="T851" s="51"/>
      <c r="U851" s="51"/>
      <c r="V851" s="51"/>
      <c r="W851" s="51"/>
    </row>
    <row r="852" spans="3:23" x14ac:dyDescent="0.3">
      <c r="C852" s="54"/>
      <c r="N852" s="33"/>
      <c r="R852" s="51"/>
      <c r="S852" s="51"/>
      <c r="T852" s="51"/>
      <c r="U852" s="51"/>
      <c r="V852" s="51"/>
      <c r="W852" s="51"/>
    </row>
    <row r="853" spans="3:23" x14ac:dyDescent="0.3">
      <c r="C853" s="54"/>
      <c r="N853" s="33"/>
      <c r="R853" s="51"/>
      <c r="S853" s="51"/>
      <c r="T853" s="51"/>
      <c r="U853" s="51"/>
      <c r="V853" s="51"/>
      <c r="W853" s="51"/>
    </row>
    <row r="854" spans="3:23" x14ac:dyDescent="0.3">
      <c r="C854" s="54"/>
      <c r="N854" s="33"/>
      <c r="R854" s="51"/>
      <c r="S854" s="51"/>
      <c r="T854" s="51"/>
      <c r="U854" s="51"/>
      <c r="V854" s="51"/>
      <c r="W854" s="51"/>
    </row>
    <row r="855" spans="3:23" x14ac:dyDescent="0.3">
      <c r="C855" s="54"/>
      <c r="N855" s="33"/>
      <c r="R855" s="51"/>
      <c r="S855" s="51"/>
      <c r="T855" s="51"/>
      <c r="U855" s="51"/>
      <c r="V855" s="51"/>
      <c r="W855" s="51"/>
    </row>
    <row r="856" spans="3:23" x14ac:dyDescent="0.3">
      <c r="C856" s="54"/>
      <c r="N856" s="33"/>
      <c r="R856" s="51"/>
      <c r="S856" s="51"/>
      <c r="T856" s="51"/>
      <c r="U856" s="51"/>
      <c r="V856" s="51"/>
      <c r="W856" s="51"/>
    </row>
    <row r="857" spans="3:23" x14ac:dyDescent="0.3">
      <c r="C857" s="54"/>
      <c r="N857" s="33"/>
      <c r="R857" s="51"/>
      <c r="S857" s="51"/>
      <c r="T857" s="51"/>
      <c r="U857" s="51"/>
      <c r="V857" s="51"/>
      <c r="W857" s="51"/>
    </row>
    <row r="858" spans="3:23" x14ac:dyDescent="0.3">
      <c r="C858" s="54"/>
      <c r="N858" s="33"/>
      <c r="R858" s="51"/>
      <c r="S858" s="51"/>
      <c r="T858" s="51"/>
      <c r="U858" s="51"/>
      <c r="V858" s="51"/>
      <c r="W858" s="51"/>
    </row>
    <row r="859" spans="3:23" x14ac:dyDescent="0.3">
      <c r="C859" s="54"/>
      <c r="N859" s="33"/>
      <c r="R859" s="51"/>
      <c r="S859" s="51"/>
      <c r="T859" s="51"/>
      <c r="U859" s="51"/>
      <c r="V859" s="51"/>
      <c r="W859" s="51"/>
    </row>
    <row r="860" spans="3:23" x14ac:dyDescent="0.3">
      <c r="C860" s="54"/>
      <c r="N860" s="33"/>
    </row>
    <row r="861" spans="3:23" x14ac:dyDescent="0.3">
      <c r="C861" s="54"/>
      <c r="N861" s="33"/>
    </row>
    <row r="862" spans="3:23" x14ac:dyDescent="0.3">
      <c r="C862" s="54"/>
      <c r="N862" s="33"/>
    </row>
    <row r="863" spans="3:23" x14ac:dyDescent="0.3">
      <c r="C863" s="54"/>
      <c r="N863" s="33"/>
    </row>
    <row r="864" spans="3:23" x14ac:dyDescent="0.3">
      <c r="C864" s="54"/>
      <c r="N864" s="33"/>
    </row>
    <row r="865" spans="3:14" x14ac:dyDescent="0.3">
      <c r="C865" s="54"/>
      <c r="N865" s="33"/>
    </row>
    <row r="866" spans="3:14" x14ac:dyDescent="0.3">
      <c r="C866" s="54"/>
      <c r="N866" s="33"/>
    </row>
    <row r="867" spans="3:14" x14ac:dyDescent="0.3">
      <c r="C867" s="54"/>
      <c r="N867" s="33"/>
    </row>
    <row r="868" spans="3:14" x14ac:dyDescent="0.3">
      <c r="C868" s="54"/>
      <c r="N868" s="33"/>
    </row>
    <row r="869" spans="3:14" x14ac:dyDescent="0.3">
      <c r="C869" s="54"/>
      <c r="N869" s="33"/>
    </row>
    <row r="870" spans="3:14" x14ac:dyDescent="0.3">
      <c r="C870" s="54"/>
      <c r="N870" s="33"/>
    </row>
    <row r="871" spans="3:14" x14ac:dyDescent="0.3">
      <c r="C871" s="54"/>
      <c r="N871" s="33"/>
    </row>
    <row r="872" spans="3:14" x14ac:dyDescent="0.3">
      <c r="C872" s="54"/>
      <c r="N872" s="33"/>
    </row>
    <row r="873" spans="3:14" x14ac:dyDescent="0.3">
      <c r="C873" s="54"/>
      <c r="N873" s="33"/>
    </row>
    <row r="874" spans="3:14" x14ac:dyDescent="0.3">
      <c r="C874" s="54"/>
      <c r="N874" s="33"/>
    </row>
    <row r="875" spans="3:14" x14ac:dyDescent="0.3">
      <c r="C875" s="54"/>
      <c r="N875" s="33"/>
    </row>
    <row r="876" spans="3:14" x14ac:dyDescent="0.3">
      <c r="C876" s="54"/>
      <c r="N876" s="33"/>
    </row>
    <row r="877" spans="3:14" x14ac:dyDescent="0.3">
      <c r="C877" s="54"/>
      <c r="N877" s="33"/>
    </row>
    <row r="878" spans="3:14" x14ac:dyDescent="0.3">
      <c r="C878" s="54"/>
      <c r="N878" s="33"/>
    </row>
    <row r="879" spans="3:14" x14ac:dyDescent="0.3">
      <c r="C879" s="54"/>
      <c r="N879" s="33"/>
    </row>
    <row r="880" spans="3:14" x14ac:dyDescent="0.3">
      <c r="C880" s="54"/>
      <c r="N880" s="33"/>
    </row>
    <row r="881" spans="3:14" x14ac:dyDescent="0.3">
      <c r="C881" s="54"/>
      <c r="N881" s="33"/>
    </row>
    <row r="882" spans="3:14" x14ac:dyDescent="0.3">
      <c r="C882" s="54"/>
      <c r="N882" s="33"/>
    </row>
    <row r="883" spans="3:14" x14ac:dyDescent="0.3">
      <c r="C883" s="54"/>
      <c r="N883" s="33"/>
    </row>
    <row r="884" spans="3:14" x14ac:dyDescent="0.3">
      <c r="C884" s="54"/>
      <c r="N884" s="33"/>
    </row>
    <row r="885" spans="3:14" x14ac:dyDescent="0.3">
      <c r="C885" s="54"/>
      <c r="N885" s="33"/>
    </row>
    <row r="886" spans="3:14" x14ac:dyDescent="0.3">
      <c r="C886" s="54"/>
      <c r="N886" s="33"/>
    </row>
    <row r="887" spans="3:14" x14ac:dyDescent="0.3">
      <c r="C887" s="54"/>
      <c r="N887" s="33"/>
    </row>
    <row r="888" spans="3:14" x14ac:dyDescent="0.3">
      <c r="C888" s="54"/>
      <c r="N888" s="33"/>
    </row>
    <row r="889" spans="3:14" x14ac:dyDescent="0.3">
      <c r="C889" s="54"/>
      <c r="N889" s="33"/>
    </row>
    <row r="890" spans="3:14" x14ac:dyDescent="0.3">
      <c r="C890" s="54"/>
      <c r="N890" s="33"/>
    </row>
    <row r="891" spans="3:14" x14ac:dyDescent="0.3">
      <c r="C891" s="54"/>
      <c r="N891" s="33"/>
    </row>
    <row r="892" spans="3:14" x14ac:dyDescent="0.3">
      <c r="C892" s="54"/>
      <c r="N892" s="33"/>
    </row>
    <row r="893" spans="3:14" x14ac:dyDescent="0.3">
      <c r="C893" s="54"/>
      <c r="N893" s="33"/>
    </row>
    <row r="894" spans="3:14" x14ac:dyDescent="0.3">
      <c r="C894" s="54"/>
      <c r="N894" s="33"/>
    </row>
    <row r="895" spans="3:14" x14ac:dyDescent="0.3">
      <c r="C895" s="54"/>
      <c r="N895" s="33"/>
    </row>
    <row r="896" spans="3:14" x14ac:dyDescent="0.3">
      <c r="C896" s="54"/>
      <c r="N896" s="33"/>
    </row>
    <row r="897" spans="3:14" x14ac:dyDescent="0.3">
      <c r="C897" s="54"/>
      <c r="N897" s="33"/>
    </row>
    <row r="898" spans="3:14" x14ac:dyDescent="0.3">
      <c r="C898" s="54"/>
      <c r="N898" s="33"/>
    </row>
    <row r="899" spans="3:14" x14ac:dyDescent="0.3">
      <c r="C899" s="54"/>
      <c r="N899" s="33"/>
    </row>
    <row r="900" spans="3:14" x14ac:dyDescent="0.3">
      <c r="C900" s="54"/>
      <c r="N900" s="33"/>
    </row>
    <row r="901" spans="3:14" x14ac:dyDescent="0.3">
      <c r="C901" s="54"/>
      <c r="N901" s="33"/>
    </row>
    <row r="902" spans="3:14" x14ac:dyDescent="0.3">
      <c r="C902" s="54"/>
      <c r="N902" s="33"/>
    </row>
    <row r="903" spans="3:14" x14ac:dyDescent="0.3">
      <c r="C903" s="54"/>
      <c r="N903" s="33"/>
    </row>
    <row r="904" spans="3:14" x14ac:dyDescent="0.3">
      <c r="C904" s="54"/>
      <c r="N904" s="33"/>
    </row>
    <row r="905" spans="3:14" x14ac:dyDescent="0.3">
      <c r="C905" s="54"/>
      <c r="N905" s="33"/>
    </row>
    <row r="906" spans="3:14" x14ac:dyDescent="0.3">
      <c r="C906" s="54"/>
      <c r="N906" s="33"/>
    </row>
    <row r="907" spans="3:14" x14ac:dyDescent="0.3">
      <c r="C907" s="54"/>
      <c r="N907" s="33"/>
    </row>
    <row r="908" spans="3:14" x14ac:dyDescent="0.3">
      <c r="C908" s="54"/>
      <c r="N908" s="33"/>
    </row>
    <row r="909" spans="3:14" x14ac:dyDescent="0.3">
      <c r="C909" s="54"/>
      <c r="N909" s="33"/>
    </row>
    <row r="910" spans="3:14" x14ac:dyDescent="0.3">
      <c r="C910" s="54"/>
      <c r="N910" s="33"/>
    </row>
    <row r="911" spans="3:14" x14ac:dyDescent="0.3">
      <c r="C911" s="54"/>
      <c r="N911" s="33"/>
    </row>
    <row r="912" spans="3:14" x14ac:dyDescent="0.3">
      <c r="C912" s="54"/>
      <c r="N912" s="33"/>
    </row>
    <row r="913" spans="3:14" x14ac:dyDescent="0.3">
      <c r="C913" s="54"/>
      <c r="N913" s="33"/>
    </row>
    <row r="914" spans="3:14" x14ac:dyDescent="0.3">
      <c r="C914" s="54"/>
      <c r="N914" s="33"/>
    </row>
    <row r="915" spans="3:14" x14ac:dyDescent="0.3">
      <c r="C915" s="54"/>
      <c r="N915" s="33"/>
    </row>
    <row r="916" spans="3:14" x14ac:dyDescent="0.3">
      <c r="C916" s="54"/>
      <c r="N916" s="33"/>
    </row>
    <row r="917" spans="3:14" x14ac:dyDescent="0.3">
      <c r="C917" s="54"/>
      <c r="N917" s="33"/>
    </row>
    <row r="918" spans="3:14" x14ac:dyDescent="0.3">
      <c r="C918" s="54"/>
      <c r="N918" s="33"/>
    </row>
    <row r="919" spans="3:14" x14ac:dyDescent="0.3">
      <c r="C919" s="54"/>
      <c r="N919" s="33"/>
    </row>
    <row r="920" spans="3:14" x14ac:dyDescent="0.3">
      <c r="C920" s="54"/>
      <c r="N920" s="33"/>
    </row>
    <row r="921" spans="3:14" x14ac:dyDescent="0.3">
      <c r="C921" s="54"/>
      <c r="N921" s="33"/>
    </row>
    <row r="922" spans="3:14" x14ac:dyDescent="0.3">
      <c r="C922" s="54"/>
      <c r="N922" s="33"/>
    </row>
    <row r="923" spans="3:14" x14ac:dyDescent="0.3">
      <c r="C923" s="54"/>
      <c r="N923" s="33"/>
    </row>
    <row r="924" spans="3:14" x14ac:dyDescent="0.3">
      <c r="C924" s="54"/>
      <c r="N924" s="33"/>
    </row>
    <row r="925" spans="3:14" x14ac:dyDescent="0.3">
      <c r="C925" s="54"/>
      <c r="N925" s="33"/>
    </row>
    <row r="926" spans="3:14" x14ac:dyDescent="0.3">
      <c r="C926" s="54"/>
      <c r="N926" s="33"/>
    </row>
    <row r="927" spans="3:14" x14ac:dyDescent="0.3">
      <c r="C927" s="54"/>
      <c r="N927" s="33"/>
    </row>
    <row r="928" spans="3:14" x14ac:dyDescent="0.3">
      <c r="C928" s="54"/>
      <c r="N928" s="33"/>
    </row>
    <row r="929" spans="3:14" x14ac:dyDescent="0.3">
      <c r="C929" s="54"/>
      <c r="N929" s="33"/>
    </row>
    <row r="930" spans="3:14" x14ac:dyDescent="0.3">
      <c r="C930" s="54"/>
      <c r="N930" s="33"/>
    </row>
    <row r="931" spans="3:14" x14ac:dyDescent="0.3">
      <c r="C931" s="54"/>
      <c r="N931" s="33"/>
    </row>
    <row r="932" spans="3:14" x14ac:dyDescent="0.3">
      <c r="C932" s="54"/>
      <c r="N932" s="33"/>
    </row>
    <row r="933" spans="3:14" x14ac:dyDescent="0.3">
      <c r="C933" s="54"/>
      <c r="N933" s="33"/>
    </row>
    <row r="934" spans="3:14" x14ac:dyDescent="0.3">
      <c r="C934" s="54"/>
      <c r="N934" s="33"/>
    </row>
    <row r="935" spans="3:14" x14ac:dyDescent="0.3">
      <c r="C935" s="54"/>
      <c r="N935" s="33"/>
    </row>
    <row r="936" spans="3:14" x14ac:dyDescent="0.3">
      <c r="C936" s="54"/>
      <c r="N936" s="33"/>
    </row>
    <row r="937" spans="3:14" x14ac:dyDescent="0.3">
      <c r="C937" s="54"/>
      <c r="N937" s="33"/>
    </row>
    <row r="938" spans="3:14" x14ac:dyDescent="0.3">
      <c r="C938" s="54"/>
      <c r="N938" s="33"/>
    </row>
    <row r="939" spans="3:14" x14ac:dyDescent="0.3">
      <c r="C939" s="54"/>
      <c r="N939" s="33"/>
    </row>
    <row r="940" spans="3:14" x14ac:dyDescent="0.3">
      <c r="C940" s="54"/>
      <c r="N940" s="33"/>
    </row>
    <row r="941" spans="3:14" x14ac:dyDescent="0.3">
      <c r="C941" s="54"/>
      <c r="N941" s="33"/>
    </row>
    <row r="942" spans="3:14" x14ac:dyDescent="0.3">
      <c r="C942" s="54"/>
      <c r="N942" s="33"/>
    </row>
    <row r="943" spans="3:14" x14ac:dyDescent="0.3">
      <c r="C943" s="54"/>
      <c r="N943" s="33"/>
    </row>
    <row r="944" spans="3:14" x14ac:dyDescent="0.3">
      <c r="C944" s="54"/>
      <c r="N944" s="33"/>
    </row>
    <row r="945" spans="3:14" x14ac:dyDescent="0.3">
      <c r="C945" s="54"/>
      <c r="N945" s="33"/>
    </row>
    <row r="946" spans="3:14" x14ac:dyDescent="0.3">
      <c r="C946" s="54"/>
      <c r="N946" s="33"/>
    </row>
    <row r="947" spans="3:14" x14ac:dyDescent="0.3">
      <c r="C947" s="54"/>
      <c r="N947" s="33"/>
    </row>
    <row r="948" spans="3:14" x14ac:dyDescent="0.3">
      <c r="C948" s="54"/>
      <c r="N948" s="33"/>
    </row>
    <row r="949" spans="3:14" x14ac:dyDescent="0.3">
      <c r="C949" s="54"/>
      <c r="N949" s="33"/>
    </row>
    <row r="950" spans="3:14" x14ac:dyDescent="0.3">
      <c r="C950" s="54"/>
      <c r="N950" s="33"/>
    </row>
    <row r="951" spans="3:14" x14ac:dyDescent="0.3">
      <c r="C951" s="54"/>
      <c r="N951" s="33"/>
    </row>
    <row r="952" spans="3:14" x14ac:dyDescent="0.3">
      <c r="C952" s="54"/>
      <c r="N952" s="33"/>
    </row>
    <row r="953" spans="3:14" x14ac:dyDescent="0.3">
      <c r="C953" s="54"/>
      <c r="N953" s="33"/>
    </row>
    <row r="954" spans="3:14" x14ac:dyDescent="0.3">
      <c r="C954" s="54"/>
      <c r="N954" s="33"/>
    </row>
    <row r="955" spans="3:14" x14ac:dyDescent="0.3">
      <c r="C955" s="54"/>
      <c r="N955" s="33"/>
    </row>
    <row r="956" spans="3:14" x14ac:dyDescent="0.3">
      <c r="C956" s="54"/>
      <c r="N956" s="33"/>
    </row>
    <row r="957" spans="3:14" x14ac:dyDescent="0.3">
      <c r="C957" s="54"/>
      <c r="N957" s="33"/>
    </row>
    <row r="958" spans="3:14" x14ac:dyDescent="0.3">
      <c r="C958" s="54"/>
      <c r="N958" s="33"/>
    </row>
    <row r="959" spans="3:14" x14ac:dyDescent="0.3">
      <c r="C959" s="54"/>
      <c r="N959" s="33"/>
    </row>
    <row r="960" spans="3:14" x14ac:dyDescent="0.3">
      <c r="C960" s="54"/>
      <c r="N960" s="33"/>
    </row>
    <row r="961" spans="3:14" x14ac:dyDescent="0.3">
      <c r="C961" s="54"/>
      <c r="N961" s="33"/>
    </row>
    <row r="962" spans="3:14" x14ac:dyDescent="0.3">
      <c r="C962" s="54"/>
      <c r="N962" s="33"/>
    </row>
    <row r="963" spans="3:14" x14ac:dyDescent="0.3">
      <c r="C963" s="54"/>
      <c r="N963" s="33"/>
    </row>
    <row r="964" spans="3:14" x14ac:dyDescent="0.3">
      <c r="C964" s="54"/>
      <c r="N964" s="33"/>
    </row>
    <row r="965" spans="3:14" x14ac:dyDescent="0.3">
      <c r="C965" s="54"/>
      <c r="N965" s="33"/>
    </row>
    <row r="966" spans="3:14" x14ac:dyDescent="0.3">
      <c r="C966" s="54"/>
      <c r="N966" s="33"/>
    </row>
    <row r="967" spans="3:14" x14ac:dyDescent="0.3">
      <c r="C967" s="54"/>
      <c r="N967" s="33"/>
    </row>
    <row r="968" spans="3:14" x14ac:dyDescent="0.3">
      <c r="C968" s="54"/>
      <c r="N968" s="33"/>
    </row>
    <row r="969" spans="3:14" x14ac:dyDescent="0.3">
      <c r="C969" s="54"/>
      <c r="N969" s="33"/>
    </row>
    <row r="970" spans="3:14" x14ac:dyDescent="0.3">
      <c r="C970" s="54"/>
      <c r="N970" s="33"/>
    </row>
    <row r="971" spans="3:14" x14ac:dyDescent="0.3">
      <c r="C971" s="54"/>
      <c r="N971" s="33"/>
    </row>
    <row r="972" spans="3:14" x14ac:dyDescent="0.3">
      <c r="C972" s="54"/>
      <c r="N972" s="33"/>
    </row>
    <row r="973" spans="3:14" x14ac:dyDescent="0.3">
      <c r="C973" s="54"/>
      <c r="N973" s="33"/>
    </row>
    <row r="974" spans="3:14" x14ac:dyDescent="0.3">
      <c r="C974" s="54"/>
      <c r="N974" s="33"/>
    </row>
    <row r="975" spans="3:14" x14ac:dyDescent="0.3">
      <c r="C975" s="54"/>
      <c r="N975" s="33"/>
    </row>
    <row r="976" spans="3:14" x14ac:dyDescent="0.3">
      <c r="C976" s="54"/>
      <c r="N976" s="33"/>
    </row>
    <row r="977" spans="3:14" x14ac:dyDescent="0.3">
      <c r="C977" s="54"/>
      <c r="N977" s="33"/>
    </row>
    <row r="978" spans="3:14" x14ac:dyDescent="0.3">
      <c r="C978" s="54"/>
      <c r="N978" s="33"/>
    </row>
    <row r="979" spans="3:14" x14ac:dyDescent="0.3">
      <c r="C979" s="54"/>
      <c r="N979" s="33"/>
    </row>
    <row r="980" spans="3:14" x14ac:dyDescent="0.3">
      <c r="C980" s="54"/>
      <c r="N980" s="33"/>
    </row>
    <row r="981" spans="3:14" x14ac:dyDescent="0.3">
      <c r="C981" s="54"/>
      <c r="N981" s="33"/>
    </row>
    <row r="982" spans="3:14" x14ac:dyDescent="0.3">
      <c r="C982" s="54"/>
      <c r="N982" s="33"/>
    </row>
    <row r="983" spans="3:14" x14ac:dyDescent="0.3">
      <c r="C983" s="54"/>
      <c r="N983" s="33"/>
    </row>
    <row r="984" spans="3:14" x14ac:dyDescent="0.3">
      <c r="C984" s="54"/>
      <c r="N984" s="33"/>
    </row>
    <row r="985" spans="3:14" x14ac:dyDescent="0.3">
      <c r="C985" s="54"/>
      <c r="N985" s="33"/>
    </row>
    <row r="986" spans="3:14" x14ac:dyDescent="0.3">
      <c r="C986" s="54"/>
      <c r="N986" s="33"/>
    </row>
    <row r="987" spans="3:14" x14ac:dyDescent="0.3">
      <c r="C987" s="54"/>
      <c r="N987" s="33"/>
    </row>
    <row r="988" spans="3:14" x14ac:dyDescent="0.3">
      <c r="C988" s="54"/>
      <c r="N988" s="33"/>
    </row>
    <row r="989" spans="3:14" x14ac:dyDescent="0.3">
      <c r="C989" s="54"/>
      <c r="N989" s="33"/>
    </row>
    <row r="990" spans="3:14" x14ac:dyDescent="0.3">
      <c r="C990" s="54"/>
      <c r="N990" s="33"/>
    </row>
    <row r="991" spans="3:14" x14ac:dyDescent="0.3">
      <c r="C991" s="54"/>
      <c r="N991" s="33"/>
    </row>
    <row r="992" spans="3:14" x14ac:dyDescent="0.3">
      <c r="C992" s="54"/>
      <c r="N992" s="33"/>
    </row>
    <row r="993" spans="3:14" x14ac:dyDescent="0.3">
      <c r="C993" s="54"/>
      <c r="N993" s="33"/>
    </row>
    <row r="994" spans="3:14" x14ac:dyDescent="0.3">
      <c r="C994" s="54"/>
      <c r="N994" s="33"/>
    </row>
    <row r="995" spans="3:14" x14ac:dyDescent="0.3">
      <c r="C995" s="54"/>
      <c r="N995" s="33"/>
    </row>
    <row r="996" spans="3:14" x14ac:dyDescent="0.3">
      <c r="C996" s="54"/>
      <c r="N996" s="33"/>
    </row>
    <row r="997" spans="3:14" x14ac:dyDescent="0.3">
      <c r="C997" s="54"/>
      <c r="N997" s="33"/>
    </row>
    <row r="998" spans="3:14" x14ac:dyDescent="0.3">
      <c r="C998" s="54"/>
      <c r="N998" s="33"/>
    </row>
    <row r="999" spans="3:14" x14ac:dyDescent="0.3">
      <c r="C999" s="54"/>
      <c r="N999" s="33"/>
    </row>
    <row r="1000" spans="3:14" x14ac:dyDescent="0.3">
      <c r="C1000" s="54"/>
      <c r="N1000" s="33"/>
    </row>
    <row r="1001" spans="3:14" x14ac:dyDescent="0.3">
      <c r="C1001" s="54"/>
      <c r="N1001" s="33"/>
    </row>
    <row r="1002" spans="3:14" x14ac:dyDescent="0.3">
      <c r="C1002" s="54"/>
      <c r="N1002" s="33"/>
    </row>
    <row r="1003" spans="3:14" x14ac:dyDescent="0.3">
      <c r="C1003" s="54"/>
      <c r="N1003" s="33"/>
    </row>
    <row r="1004" spans="3:14" x14ac:dyDescent="0.3">
      <c r="C1004" s="54"/>
      <c r="N1004" s="33"/>
    </row>
    <row r="1005" spans="3:14" x14ac:dyDescent="0.3">
      <c r="C1005" s="54"/>
      <c r="N1005" s="33"/>
    </row>
    <row r="1006" spans="3:14" x14ac:dyDescent="0.3">
      <c r="C1006" s="54"/>
      <c r="N1006" s="33"/>
    </row>
    <row r="1007" spans="3:14" x14ac:dyDescent="0.3">
      <c r="C1007" s="54"/>
      <c r="N1007" s="33"/>
    </row>
    <row r="1008" spans="3:14" x14ac:dyDescent="0.3">
      <c r="C1008" s="54"/>
      <c r="N1008" s="33"/>
    </row>
    <row r="1009" spans="3:14" x14ac:dyDescent="0.3">
      <c r="C1009" s="54"/>
      <c r="N1009" s="33"/>
    </row>
    <row r="1010" spans="3:14" x14ac:dyDescent="0.3">
      <c r="C1010" s="54"/>
      <c r="N1010" s="33"/>
    </row>
    <row r="1011" spans="3:14" x14ac:dyDescent="0.3">
      <c r="C1011" s="54"/>
      <c r="N1011" s="33"/>
    </row>
    <row r="1012" spans="3:14" x14ac:dyDescent="0.3">
      <c r="C1012" s="54"/>
      <c r="N1012" s="33"/>
    </row>
    <row r="1013" spans="3:14" x14ac:dyDescent="0.3">
      <c r="C1013" s="54"/>
      <c r="N1013" s="33"/>
    </row>
    <row r="1014" spans="3:14" x14ac:dyDescent="0.3">
      <c r="C1014" s="54"/>
      <c r="N1014" s="33"/>
    </row>
    <row r="1015" spans="3:14" x14ac:dyDescent="0.3">
      <c r="C1015" s="54"/>
      <c r="N1015" s="33"/>
    </row>
    <row r="1016" spans="3:14" x14ac:dyDescent="0.3">
      <c r="C1016" s="54"/>
      <c r="N1016" s="33"/>
    </row>
    <row r="1017" spans="3:14" x14ac:dyDescent="0.3">
      <c r="C1017" s="54"/>
      <c r="N1017" s="33"/>
    </row>
    <row r="1018" spans="3:14" x14ac:dyDescent="0.3">
      <c r="C1018" s="54"/>
      <c r="N1018" s="33"/>
    </row>
    <row r="1019" spans="3:14" x14ac:dyDescent="0.3">
      <c r="C1019" s="54"/>
      <c r="N1019" s="33"/>
    </row>
    <row r="1020" spans="3:14" x14ac:dyDescent="0.3">
      <c r="C1020" s="54"/>
      <c r="N1020" s="33"/>
    </row>
    <row r="1021" spans="3:14" x14ac:dyDescent="0.3">
      <c r="C1021" s="54"/>
      <c r="N1021" s="33"/>
    </row>
    <row r="1022" spans="3:14" x14ac:dyDescent="0.3">
      <c r="C1022" s="54"/>
      <c r="N1022" s="33"/>
    </row>
    <row r="1023" spans="3:14" x14ac:dyDescent="0.3">
      <c r="C1023" s="54"/>
      <c r="N1023" s="33"/>
    </row>
    <row r="1024" spans="3:14" x14ac:dyDescent="0.3">
      <c r="C1024" s="54"/>
      <c r="N1024" s="33"/>
    </row>
    <row r="1025" spans="3:14" x14ac:dyDescent="0.3">
      <c r="C1025" s="54"/>
      <c r="N1025" s="33"/>
    </row>
    <row r="1026" spans="3:14" x14ac:dyDescent="0.3">
      <c r="C1026" s="54"/>
      <c r="N1026" s="33"/>
    </row>
    <row r="1027" spans="3:14" x14ac:dyDescent="0.3">
      <c r="C1027" s="54"/>
      <c r="N1027" s="33"/>
    </row>
    <row r="1028" spans="3:14" x14ac:dyDescent="0.3">
      <c r="C1028" s="54"/>
      <c r="N1028" s="33"/>
    </row>
    <row r="1029" spans="3:14" x14ac:dyDescent="0.3">
      <c r="C1029" s="54"/>
      <c r="N1029" s="33"/>
    </row>
    <row r="1030" spans="3:14" x14ac:dyDescent="0.3">
      <c r="C1030" s="54"/>
      <c r="N1030" s="33"/>
    </row>
    <row r="1031" spans="3:14" x14ac:dyDescent="0.3">
      <c r="C1031" s="54"/>
      <c r="N1031" s="33"/>
    </row>
    <row r="1032" spans="3:14" x14ac:dyDescent="0.3">
      <c r="C1032" s="54"/>
      <c r="N1032" s="33"/>
    </row>
    <row r="1033" spans="3:14" x14ac:dyDescent="0.3">
      <c r="C1033" s="54"/>
      <c r="N1033" s="33"/>
    </row>
    <row r="1034" spans="3:14" x14ac:dyDescent="0.3">
      <c r="C1034" s="54"/>
      <c r="N1034" s="33"/>
    </row>
    <row r="1035" spans="3:14" x14ac:dyDescent="0.3">
      <c r="C1035" s="54"/>
      <c r="N1035" s="33"/>
    </row>
    <row r="1036" spans="3:14" x14ac:dyDescent="0.3">
      <c r="C1036" s="54"/>
      <c r="N1036" s="33"/>
    </row>
    <row r="1037" spans="3:14" x14ac:dyDescent="0.3">
      <c r="C1037" s="54"/>
      <c r="N1037" s="33"/>
    </row>
    <row r="1038" spans="3:14" x14ac:dyDescent="0.3">
      <c r="C1038" s="54"/>
      <c r="N1038" s="33"/>
    </row>
    <row r="1039" spans="3:14" x14ac:dyDescent="0.3">
      <c r="C1039" s="54"/>
      <c r="N1039" s="33"/>
    </row>
    <row r="1040" spans="3:14" x14ac:dyDescent="0.3">
      <c r="C1040" s="54"/>
      <c r="N1040" s="33"/>
    </row>
    <row r="1041" spans="3:14" x14ac:dyDescent="0.3">
      <c r="C1041" s="54"/>
      <c r="N1041" s="33"/>
    </row>
    <row r="1042" spans="3:14" x14ac:dyDescent="0.3">
      <c r="C1042" s="54"/>
      <c r="N1042" s="33"/>
    </row>
    <row r="1043" spans="3:14" x14ac:dyDescent="0.3">
      <c r="C1043" s="54"/>
      <c r="N1043" s="33"/>
    </row>
    <row r="1044" spans="3:14" x14ac:dyDescent="0.3">
      <c r="C1044" s="54"/>
      <c r="N1044" s="33"/>
    </row>
    <row r="1045" spans="3:14" x14ac:dyDescent="0.3">
      <c r="C1045" s="54"/>
      <c r="N1045" s="33"/>
    </row>
    <row r="1046" spans="3:14" x14ac:dyDescent="0.3">
      <c r="C1046" s="54"/>
      <c r="N1046" s="33"/>
    </row>
    <row r="1047" spans="3:14" x14ac:dyDescent="0.3">
      <c r="C1047" s="54"/>
      <c r="N1047" s="33"/>
    </row>
    <row r="1048" spans="3:14" x14ac:dyDescent="0.3">
      <c r="C1048" s="54"/>
      <c r="N1048" s="33"/>
    </row>
    <row r="1049" spans="3:14" x14ac:dyDescent="0.3">
      <c r="C1049" s="54"/>
      <c r="N1049" s="33"/>
    </row>
    <row r="1050" spans="3:14" x14ac:dyDescent="0.3">
      <c r="C1050" s="54"/>
      <c r="N1050" s="33"/>
    </row>
    <row r="1051" spans="3:14" x14ac:dyDescent="0.3">
      <c r="C1051" s="54"/>
      <c r="N1051" s="33"/>
    </row>
    <row r="1052" spans="3:14" x14ac:dyDescent="0.3">
      <c r="C1052" s="54"/>
      <c r="N1052" s="33"/>
    </row>
    <row r="1053" spans="3:14" x14ac:dyDescent="0.3">
      <c r="C1053" s="54"/>
      <c r="N1053" s="33"/>
    </row>
    <row r="1054" spans="3:14" x14ac:dyDescent="0.3">
      <c r="C1054" s="54"/>
      <c r="N1054" s="33"/>
    </row>
    <row r="1055" spans="3:14" x14ac:dyDescent="0.3">
      <c r="C1055" s="54"/>
      <c r="N1055" s="33"/>
    </row>
    <row r="1056" spans="3:14" x14ac:dyDescent="0.3">
      <c r="C1056" s="54"/>
      <c r="N1056" s="33"/>
    </row>
    <row r="1057" spans="3:14" x14ac:dyDescent="0.3">
      <c r="C1057" s="54"/>
      <c r="N1057" s="33"/>
    </row>
    <row r="1058" spans="3:14" x14ac:dyDescent="0.3">
      <c r="C1058" s="54"/>
      <c r="N1058" s="33"/>
    </row>
    <row r="1059" spans="3:14" x14ac:dyDescent="0.3">
      <c r="C1059" s="54"/>
      <c r="N1059" s="33"/>
    </row>
    <row r="1060" spans="3:14" x14ac:dyDescent="0.3">
      <c r="C1060" s="54"/>
      <c r="N1060" s="33"/>
    </row>
    <row r="1061" spans="3:14" x14ac:dyDescent="0.3">
      <c r="C1061" s="54"/>
      <c r="N1061" s="33"/>
    </row>
    <row r="1062" spans="3:14" x14ac:dyDescent="0.3">
      <c r="C1062" s="54"/>
      <c r="N1062" s="33"/>
    </row>
    <row r="1063" spans="3:14" x14ac:dyDescent="0.3">
      <c r="C1063" s="54"/>
      <c r="N1063" s="33"/>
    </row>
    <row r="1064" spans="3:14" x14ac:dyDescent="0.3">
      <c r="C1064" s="54"/>
      <c r="N1064" s="33"/>
    </row>
    <row r="1065" spans="3:14" x14ac:dyDescent="0.3">
      <c r="C1065" s="54"/>
      <c r="N1065" s="33"/>
    </row>
    <row r="1066" spans="3:14" x14ac:dyDescent="0.3">
      <c r="C1066" s="54"/>
      <c r="N1066" s="33"/>
    </row>
    <row r="1067" spans="3:14" x14ac:dyDescent="0.3">
      <c r="C1067" s="54"/>
      <c r="N1067" s="33"/>
    </row>
    <row r="1068" spans="3:14" x14ac:dyDescent="0.3">
      <c r="C1068" s="54"/>
      <c r="N1068" s="33"/>
    </row>
    <row r="1069" spans="3:14" x14ac:dyDescent="0.3">
      <c r="C1069" s="54"/>
      <c r="N1069" s="33"/>
    </row>
    <row r="1070" spans="3:14" x14ac:dyDescent="0.3">
      <c r="C1070" s="54"/>
      <c r="N1070" s="33"/>
    </row>
    <row r="1071" spans="3:14" x14ac:dyDescent="0.3">
      <c r="C1071" s="54"/>
      <c r="N1071" s="33"/>
    </row>
    <row r="1072" spans="3:14" x14ac:dyDescent="0.3">
      <c r="C1072" s="54"/>
      <c r="N1072" s="33"/>
    </row>
    <row r="1073" spans="3:14" x14ac:dyDescent="0.3">
      <c r="C1073" s="54"/>
      <c r="N1073" s="33"/>
    </row>
    <row r="1074" spans="3:14" x14ac:dyDescent="0.3">
      <c r="C1074" s="54"/>
      <c r="N1074" s="33"/>
    </row>
    <row r="1075" spans="3:14" x14ac:dyDescent="0.3">
      <c r="C1075" s="54"/>
      <c r="N1075" s="33"/>
    </row>
    <row r="1076" spans="3:14" x14ac:dyDescent="0.3">
      <c r="C1076" s="54"/>
      <c r="N1076" s="33"/>
    </row>
    <row r="1077" spans="3:14" x14ac:dyDescent="0.3">
      <c r="C1077" s="54"/>
      <c r="N1077" s="33"/>
    </row>
    <row r="1078" spans="3:14" x14ac:dyDescent="0.3">
      <c r="C1078" s="54"/>
      <c r="N1078" s="33"/>
    </row>
    <row r="1079" spans="3:14" x14ac:dyDescent="0.3">
      <c r="C1079" s="54"/>
      <c r="N1079" s="33"/>
    </row>
    <row r="1080" spans="3:14" x14ac:dyDescent="0.3">
      <c r="C1080" s="54"/>
      <c r="N1080" s="33"/>
    </row>
    <row r="1081" spans="3:14" x14ac:dyDescent="0.3">
      <c r="C1081" s="54"/>
      <c r="N1081" s="33"/>
    </row>
    <row r="1082" spans="3:14" x14ac:dyDescent="0.3">
      <c r="C1082" s="54"/>
      <c r="N1082" s="33"/>
    </row>
    <row r="1083" spans="3:14" x14ac:dyDescent="0.3">
      <c r="C1083" s="54"/>
      <c r="N1083" s="33"/>
    </row>
    <row r="1084" spans="3:14" x14ac:dyDescent="0.3">
      <c r="C1084" s="54"/>
      <c r="N1084" s="33"/>
    </row>
    <row r="1085" spans="3:14" x14ac:dyDescent="0.3">
      <c r="C1085" s="54"/>
      <c r="N1085" s="33"/>
    </row>
    <row r="1086" spans="3:14" x14ac:dyDescent="0.3">
      <c r="C1086" s="54"/>
      <c r="N1086" s="33"/>
    </row>
    <row r="1087" spans="3:14" x14ac:dyDescent="0.3">
      <c r="C1087" s="54"/>
      <c r="N1087" s="33"/>
    </row>
    <row r="1088" spans="3:14" x14ac:dyDescent="0.3">
      <c r="C1088" s="54"/>
      <c r="N1088" s="33"/>
    </row>
    <row r="1089" spans="3:14" x14ac:dyDescent="0.3">
      <c r="C1089" s="54"/>
      <c r="N1089" s="33"/>
    </row>
    <row r="1090" spans="3:14" x14ac:dyDescent="0.3">
      <c r="C1090" s="54"/>
      <c r="N1090" s="33"/>
    </row>
    <row r="1091" spans="3:14" x14ac:dyDescent="0.3">
      <c r="C1091" s="54"/>
      <c r="N1091" s="33"/>
    </row>
    <row r="1092" spans="3:14" x14ac:dyDescent="0.3">
      <c r="C1092" s="54"/>
      <c r="N1092" s="33"/>
    </row>
    <row r="1093" spans="3:14" x14ac:dyDescent="0.3">
      <c r="C1093" s="54"/>
      <c r="N1093" s="33"/>
    </row>
    <row r="1094" spans="3:14" x14ac:dyDescent="0.3">
      <c r="C1094" s="54"/>
      <c r="N1094" s="33"/>
    </row>
    <row r="1095" spans="3:14" x14ac:dyDescent="0.3">
      <c r="C1095" s="54"/>
      <c r="N1095" s="33"/>
    </row>
    <row r="1096" spans="3:14" x14ac:dyDescent="0.3">
      <c r="C1096" s="54"/>
      <c r="N1096" s="33"/>
    </row>
    <row r="1097" spans="3:14" x14ac:dyDescent="0.3">
      <c r="C1097" s="54"/>
      <c r="N1097" s="33"/>
    </row>
    <row r="1098" spans="3:14" x14ac:dyDescent="0.3">
      <c r="C1098" s="54"/>
      <c r="N1098" s="33"/>
    </row>
    <row r="1099" spans="3:14" x14ac:dyDescent="0.3">
      <c r="C1099" s="54"/>
      <c r="N1099" s="33"/>
    </row>
    <row r="1100" spans="3:14" x14ac:dyDescent="0.3">
      <c r="C1100" s="54"/>
      <c r="N1100" s="33"/>
    </row>
    <row r="1101" spans="3:14" x14ac:dyDescent="0.3">
      <c r="C1101" s="54"/>
      <c r="N1101" s="33"/>
    </row>
    <row r="1102" spans="3:14" x14ac:dyDescent="0.3">
      <c r="C1102" s="54"/>
      <c r="N1102" s="33"/>
    </row>
    <row r="1103" spans="3:14" x14ac:dyDescent="0.3">
      <c r="C1103" s="54"/>
      <c r="N1103" s="33"/>
    </row>
    <row r="1104" spans="3:14" x14ac:dyDescent="0.3">
      <c r="C1104" s="54"/>
      <c r="N1104" s="33"/>
    </row>
    <row r="1105" spans="3:14" x14ac:dyDescent="0.3">
      <c r="C1105" s="54"/>
      <c r="N1105" s="33"/>
    </row>
    <row r="1106" spans="3:14" x14ac:dyDescent="0.3">
      <c r="C1106" s="54"/>
      <c r="N1106" s="33"/>
    </row>
    <row r="1107" spans="3:14" x14ac:dyDescent="0.3">
      <c r="C1107" s="54"/>
      <c r="N1107" s="33"/>
    </row>
    <row r="1108" spans="3:14" x14ac:dyDescent="0.3">
      <c r="C1108" s="54"/>
      <c r="N1108" s="33"/>
    </row>
    <row r="1109" spans="3:14" x14ac:dyDescent="0.3">
      <c r="C1109" s="54"/>
      <c r="N1109" s="33"/>
    </row>
    <row r="1110" spans="3:14" x14ac:dyDescent="0.3">
      <c r="C1110" s="54"/>
      <c r="N1110" s="33"/>
    </row>
    <row r="1111" spans="3:14" x14ac:dyDescent="0.3">
      <c r="C1111" s="54"/>
      <c r="N1111" s="33"/>
    </row>
    <row r="1112" spans="3:14" x14ac:dyDescent="0.3">
      <c r="C1112" s="54"/>
      <c r="N1112" s="33"/>
    </row>
    <row r="1113" spans="3:14" x14ac:dyDescent="0.3">
      <c r="C1113" s="54"/>
      <c r="N1113" s="33"/>
    </row>
    <row r="1114" spans="3:14" x14ac:dyDescent="0.3">
      <c r="C1114" s="54"/>
      <c r="N1114" s="33"/>
    </row>
    <row r="1115" spans="3:14" x14ac:dyDescent="0.3">
      <c r="C1115" s="54"/>
      <c r="N1115" s="33"/>
    </row>
    <row r="1116" spans="3:14" x14ac:dyDescent="0.3">
      <c r="C1116" s="54"/>
      <c r="N1116" s="33"/>
    </row>
    <row r="1117" spans="3:14" x14ac:dyDescent="0.3">
      <c r="C1117" s="54"/>
      <c r="N1117" s="33"/>
    </row>
    <row r="1118" spans="3:14" x14ac:dyDescent="0.3">
      <c r="C1118" s="54"/>
      <c r="N1118" s="33"/>
    </row>
    <row r="1119" spans="3:14" x14ac:dyDescent="0.3">
      <c r="C1119" s="54"/>
      <c r="N1119" s="33"/>
    </row>
    <row r="1120" spans="3:14" x14ac:dyDescent="0.3">
      <c r="C1120" s="54"/>
      <c r="N1120" s="33"/>
    </row>
    <row r="1121" spans="3:14" x14ac:dyDescent="0.3">
      <c r="C1121" s="54"/>
      <c r="N1121" s="33"/>
    </row>
    <row r="1122" spans="3:14" x14ac:dyDescent="0.3">
      <c r="C1122" s="54"/>
      <c r="N1122" s="33"/>
    </row>
    <row r="1123" spans="3:14" x14ac:dyDescent="0.3">
      <c r="C1123" s="54"/>
      <c r="N1123" s="33"/>
    </row>
    <row r="1124" spans="3:14" x14ac:dyDescent="0.3">
      <c r="C1124" s="54"/>
      <c r="N1124" s="33"/>
    </row>
    <row r="1125" spans="3:14" x14ac:dyDescent="0.3">
      <c r="C1125" s="54"/>
      <c r="N1125" s="33"/>
    </row>
    <row r="1126" spans="3:14" x14ac:dyDescent="0.3">
      <c r="C1126" s="54"/>
      <c r="N1126" s="33"/>
    </row>
    <row r="1127" spans="3:14" x14ac:dyDescent="0.3">
      <c r="C1127" s="54"/>
      <c r="N1127" s="33"/>
    </row>
    <row r="1128" spans="3:14" x14ac:dyDescent="0.3">
      <c r="C1128" s="54"/>
      <c r="N1128" s="33"/>
    </row>
    <row r="1129" spans="3:14" x14ac:dyDescent="0.3">
      <c r="C1129" s="54"/>
      <c r="N1129" s="33"/>
    </row>
    <row r="1130" spans="3:14" x14ac:dyDescent="0.3">
      <c r="C1130" s="54"/>
      <c r="N1130" s="33"/>
    </row>
    <row r="1131" spans="3:14" x14ac:dyDescent="0.3">
      <c r="C1131" s="54"/>
      <c r="N1131" s="33"/>
    </row>
    <row r="1132" spans="3:14" x14ac:dyDescent="0.3">
      <c r="C1132" s="54"/>
      <c r="N1132" s="33"/>
    </row>
    <row r="1133" spans="3:14" x14ac:dyDescent="0.3">
      <c r="C1133" s="54"/>
      <c r="N1133" s="33"/>
    </row>
    <row r="1134" spans="3:14" x14ac:dyDescent="0.3">
      <c r="C1134" s="54"/>
      <c r="N1134" s="33"/>
    </row>
    <row r="1135" spans="3:14" x14ac:dyDescent="0.3">
      <c r="C1135" s="54"/>
      <c r="N1135" s="33"/>
    </row>
    <row r="1136" spans="3:14" x14ac:dyDescent="0.3">
      <c r="C1136" s="54"/>
      <c r="N1136" s="33"/>
    </row>
    <row r="1137" spans="3:14" x14ac:dyDescent="0.3">
      <c r="C1137" s="54"/>
      <c r="N1137" s="33"/>
    </row>
    <row r="1138" spans="3:14" x14ac:dyDescent="0.3">
      <c r="C1138" s="54"/>
      <c r="N1138" s="33"/>
    </row>
    <row r="1139" spans="3:14" x14ac:dyDescent="0.3">
      <c r="C1139" s="54"/>
      <c r="N1139" s="33"/>
    </row>
    <row r="1140" spans="3:14" x14ac:dyDescent="0.3">
      <c r="C1140" s="54"/>
      <c r="N1140" s="33"/>
    </row>
    <row r="1141" spans="3:14" x14ac:dyDescent="0.3">
      <c r="C1141" s="54"/>
      <c r="N1141" s="33"/>
    </row>
    <row r="1142" spans="3:14" x14ac:dyDescent="0.3">
      <c r="C1142" s="54"/>
      <c r="N1142" s="33"/>
    </row>
    <row r="1143" spans="3:14" x14ac:dyDescent="0.3">
      <c r="C1143" s="54"/>
      <c r="N1143" s="33"/>
    </row>
    <row r="1144" spans="3:14" x14ac:dyDescent="0.3">
      <c r="C1144" s="54"/>
      <c r="N1144" s="33"/>
    </row>
    <row r="1145" spans="3:14" x14ac:dyDescent="0.3">
      <c r="C1145" s="54"/>
      <c r="N1145" s="33"/>
    </row>
    <row r="1146" spans="3:14" x14ac:dyDescent="0.3">
      <c r="C1146" s="54"/>
      <c r="N1146" s="33"/>
    </row>
    <row r="1147" spans="3:14" x14ac:dyDescent="0.3">
      <c r="C1147" s="54"/>
      <c r="N1147" s="33"/>
    </row>
    <row r="1148" spans="3:14" x14ac:dyDescent="0.3">
      <c r="C1148" s="54"/>
      <c r="N1148" s="33"/>
    </row>
    <row r="1149" spans="3:14" x14ac:dyDescent="0.3">
      <c r="C1149" s="54"/>
      <c r="N1149" s="33"/>
    </row>
    <row r="1150" spans="3:14" x14ac:dyDescent="0.3">
      <c r="C1150" s="54"/>
      <c r="N1150" s="33"/>
    </row>
    <row r="1151" spans="3:14" x14ac:dyDescent="0.3">
      <c r="C1151" s="54"/>
      <c r="N1151" s="33"/>
    </row>
    <row r="1152" spans="3:14" x14ac:dyDescent="0.3">
      <c r="C1152" s="54"/>
      <c r="N1152" s="33"/>
    </row>
    <row r="1153" spans="3:14" x14ac:dyDescent="0.3">
      <c r="C1153" s="54"/>
      <c r="N1153" s="33"/>
    </row>
    <row r="1154" spans="3:14" x14ac:dyDescent="0.3">
      <c r="C1154" s="54"/>
      <c r="N1154" s="33"/>
    </row>
    <row r="1155" spans="3:14" x14ac:dyDescent="0.3">
      <c r="C1155" s="54"/>
      <c r="N1155" s="33"/>
    </row>
    <row r="1156" spans="3:14" x14ac:dyDescent="0.3">
      <c r="C1156" s="54"/>
      <c r="N1156" s="33"/>
    </row>
    <row r="1157" spans="3:14" x14ac:dyDescent="0.3">
      <c r="C1157" s="54"/>
      <c r="N1157" s="33"/>
    </row>
    <row r="1158" spans="3:14" x14ac:dyDescent="0.3">
      <c r="C1158" s="54"/>
      <c r="N1158" s="33"/>
    </row>
    <row r="1159" spans="3:14" x14ac:dyDescent="0.3">
      <c r="C1159" s="54"/>
      <c r="N1159" s="33"/>
    </row>
    <row r="1160" spans="3:14" x14ac:dyDescent="0.3">
      <c r="C1160" s="54"/>
      <c r="N1160" s="33"/>
    </row>
    <row r="1161" spans="3:14" x14ac:dyDescent="0.3">
      <c r="C1161" s="54"/>
      <c r="N1161" s="33"/>
    </row>
    <row r="1162" spans="3:14" x14ac:dyDescent="0.3">
      <c r="C1162" s="54"/>
      <c r="N1162" s="33"/>
    </row>
    <row r="1163" spans="3:14" x14ac:dyDescent="0.3">
      <c r="C1163" s="54"/>
      <c r="N1163" s="33"/>
    </row>
    <row r="1164" spans="3:14" x14ac:dyDescent="0.3">
      <c r="C1164" s="54"/>
      <c r="N1164" s="33"/>
    </row>
    <row r="1165" spans="3:14" x14ac:dyDescent="0.3">
      <c r="C1165" s="54"/>
      <c r="N1165" s="33"/>
    </row>
    <row r="1166" spans="3:14" x14ac:dyDescent="0.3">
      <c r="C1166" s="54"/>
      <c r="N1166" s="33"/>
    </row>
    <row r="1167" spans="3:14" x14ac:dyDescent="0.3">
      <c r="C1167" s="54"/>
      <c r="N1167" s="33"/>
    </row>
    <row r="1168" spans="3:14" x14ac:dyDescent="0.3">
      <c r="C1168" s="54"/>
      <c r="N1168" s="33"/>
    </row>
    <row r="1169" spans="3:14" x14ac:dyDescent="0.3">
      <c r="C1169" s="54"/>
      <c r="N1169" s="33"/>
    </row>
    <row r="1170" spans="3:14" x14ac:dyDescent="0.3">
      <c r="C1170" s="54"/>
      <c r="N1170" s="33"/>
    </row>
    <row r="1171" spans="3:14" x14ac:dyDescent="0.3">
      <c r="C1171" s="54"/>
      <c r="N1171" s="33"/>
    </row>
    <row r="1172" spans="3:14" x14ac:dyDescent="0.3">
      <c r="C1172" s="54"/>
      <c r="N1172" s="33"/>
    </row>
    <row r="1173" spans="3:14" x14ac:dyDescent="0.3">
      <c r="C1173" s="54"/>
      <c r="N1173" s="33"/>
    </row>
    <row r="1174" spans="3:14" x14ac:dyDescent="0.3">
      <c r="C1174" s="54"/>
      <c r="N1174" s="33"/>
    </row>
    <row r="1175" spans="3:14" x14ac:dyDescent="0.3">
      <c r="C1175" s="54"/>
      <c r="N1175" s="33"/>
    </row>
    <row r="1176" spans="3:14" x14ac:dyDescent="0.3">
      <c r="C1176" s="54"/>
      <c r="N1176" s="33"/>
    </row>
    <row r="1177" spans="3:14" x14ac:dyDescent="0.3">
      <c r="C1177" s="54"/>
      <c r="N1177" s="33"/>
    </row>
    <row r="1178" spans="3:14" x14ac:dyDescent="0.3">
      <c r="C1178" s="54"/>
      <c r="N1178" s="33"/>
    </row>
    <row r="1179" spans="3:14" x14ac:dyDescent="0.3">
      <c r="C1179" s="54"/>
      <c r="N1179" s="33"/>
    </row>
    <row r="1180" spans="3:14" x14ac:dyDescent="0.3">
      <c r="C1180" s="54"/>
      <c r="N1180" s="33"/>
    </row>
    <row r="1181" spans="3:14" x14ac:dyDescent="0.3">
      <c r="C1181" s="54"/>
      <c r="N1181" s="33"/>
    </row>
    <row r="1182" spans="3:14" x14ac:dyDescent="0.3">
      <c r="C1182" s="54"/>
      <c r="N1182" s="33"/>
    </row>
    <row r="1183" spans="3:14" x14ac:dyDescent="0.3">
      <c r="C1183" s="54"/>
      <c r="N1183" s="33"/>
    </row>
    <row r="1184" spans="3:14" x14ac:dyDescent="0.3">
      <c r="C1184" s="54"/>
      <c r="N1184" s="33"/>
    </row>
    <row r="1185" spans="3:14" x14ac:dyDescent="0.3">
      <c r="C1185" s="54"/>
      <c r="N1185" s="33"/>
    </row>
    <row r="1186" spans="3:14" x14ac:dyDescent="0.3">
      <c r="C1186" s="54"/>
      <c r="N1186" s="33"/>
    </row>
    <row r="1187" spans="3:14" x14ac:dyDescent="0.3">
      <c r="C1187" s="54"/>
      <c r="N1187" s="33"/>
    </row>
    <row r="1188" spans="3:14" x14ac:dyDescent="0.3">
      <c r="C1188" s="54"/>
      <c r="N1188" s="33"/>
    </row>
    <row r="1189" spans="3:14" x14ac:dyDescent="0.3">
      <c r="C1189" s="54"/>
      <c r="N1189" s="33"/>
    </row>
    <row r="1190" spans="3:14" x14ac:dyDescent="0.3">
      <c r="C1190" s="54"/>
      <c r="N1190" s="33"/>
    </row>
    <row r="1191" spans="3:14" x14ac:dyDescent="0.3">
      <c r="C1191" s="54"/>
      <c r="N1191" s="33"/>
    </row>
    <row r="1192" spans="3:14" x14ac:dyDescent="0.3">
      <c r="C1192" s="54"/>
      <c r="N1192" s="33"/>
    </row>
    <row r="1193" spans="3:14" x14ac:dyDescent="0.3">
      <c r="C1193" s="54"/>
      <c r="N1193" s="33"/>
    </row>
    <row r="1194" spans="3:14" x14ac:dyDescent="0.3">
      <c r="C1194" s="54"/>
      <c r="N1194" s="33"/>
    </row>
    <row r="1195" spans="3:14" x14ac:dyDescent="0.3">
      <c r="C1195" s="54"/>
      <c r="N1195" s="33"/>
    </row>
    <row r="1196" spans="3:14" x14ac:dyDescent="0.3">
      <c r="C1196" s="54"/>
      <c r="N1196" s="33"/>
    </row>
    <row r="1197" spans="3:14" x14ac:dyDescent="0.3">
      <c r="C1197" s="54"/>
      <c r="N1197" s="33"/>
    </row>
    <row r="1198" spans="3:14" x14ac:dyDescent="0.3">
      <c r="C1198" s="54"/>
      <c r="N1198" s="33"/>
    </row>
    <row r="1199" spans="3:14" x14ac:dyDescent="0.3">
      <c r="C1199" s="54"/>
      <c r="N1199" s="33"/>
    </row>
    <row r="1200" spans="3:14" x14ac:dyDescent="0.3">
      <c r="C1200" s="54"/>
      <c r="N1200" s="33"/>
    </row>
    <row r="1201" spans="3:14" x14ac:dyDescent="0.3">
      <c r="C1201" s="54"/>
      <c r="N1201" s="33"/>
    </row>
    <row r="1202" spans="3:14" x14ac:dyDescent="0.3">
      <c r="C1202" s="54"/>
      <c r="N1202" s="33"/>
    </row>
    <row r="1203" spans="3:14" x14ac:dyDescent="0.3">
      <c r="C1203" s="54"/>
      <c r="N1203" s="33"/>
    </row>
    <row r="1204" spans="3:14" x14ac:dyDescent="0.3">
      <c r="C1204" s="54"/>
      <c r="N1204" s="33"/>
    </row>
    <row r="1205" spans="3:14" x14ac:dyDescent="0.3">
      <c r="C1205" s="54"/>
      <c r="N1205" s="33"/>
    </row>
    <row r="1206" spans="3:14" x14ac:dyDescent="0.3">
      <c r="C1206" s="54"/>
      <c r="N1206" s="33"/>
    </row>
    <row r="1207" spans="3:14" x14ac:dyDescent="0.3">
      <c r="C1207" s="54"/>
      <c r="N1207" s="33"/>
    </row>
    <row r="1208" spans="3:14" x14ac:dyDescent="0.3">
      <c r="C1208" s="54"/>
      <c r="N1208" s="33"/>
    </row>
    <row r="1209" spans="3:14" x14ac:dyDescent="0.3">
      <c r="C1209" s="54"/>
      <c r="N1209" s="33"/>
    </row>
    <row r="1210" spans="3:14" x14ac:dyDescent="0.3">
      <c r="C1210" s="54"/>
      <c r="N1210" s="33"/>
    </row>
    <row r="1211" spans="3:14" x14ac:dyDescent="0.3">
      <c r="C1211" s="54"/>
      <c r="N1211" s="33"/>
    </row>
    <row r="1212" spans="3:14" x14ac:dyDescent="0.3">
      <c r="C1212" s="54"/>
      <c r="N1212" s="33"/>
    </row>
    <row r="1213" spans="3:14" x14ac:dyDescent="0.3">
      <c r="C1213" s="54"/>
      <c r="N1213" s="33"/>
    </row>
    <row r="1214" spans="3:14" x14ac:dyDescent="0.3">
      <c r="C1214" s="54"/>
      <c r="N1214" s="33"/>
    </row>
    <row r="1215" spans="3:14" x14ac:dyDescent="0.3">
      <c r="C1215" s="54"/>
      <c r="N1215" s="33"/>
    </row>
    <row r="1216" spans="3:14" x14ac:dyDescent="0.3">
      <c r="C1216" s="54"/>
      <c r="N1216" s="33"/>
    </row>
    <row r="1217" spans="3:14" x14ac:dyDescent="0.3">
      <c r="C1217" s="54"/>
      <c r="N1217" s="33"/>
    </row>
    <row r="1218" spans="3:14" x14ac:dyDescent="0.3">
      <c r="C1218" s="54"/>
      <c r="N1218" s="33"/>
    </row>
    <row r="1219" spans="3:14" x14ac:dyDescent="0.3">
      <c r="C1219" s="54"/>
      <c r="N1219" s="33"/>
    </row>
    <row r="1220" spans="3:14" x14ac:dyDescent="0.3">
      <c r="C1220" s="54"/>
      <c r="N1220" s="33"/>
    </row>
    <row r="1221" spans="3:14" x14ac:dyDescent="0.3">
      <c r="C1221" s="54"/>
      <c r="N1221" s="33"/>
    </row>
    <row r="1222" spans="3:14" x14ac:dyDescent="0.3">
      <c r="C1222" s="54"/>
      <c r="N1222" s="33"/>
    </row>
    <row r="1223" spans="3:14" x14ac:dyDescent="0.3">
      <c r="C1223" s="54"/>
      <c r="N1223" s="33"/>
    </row>
    <row r="1224" spans="3:14" x14ac:dyDescent="0.3">
      <c r="C1224" s="54"/>
      <c r="N1224" s="33"/>
    </row>
    <row r="1225" spans="3:14" x14ac:dyDescent="0.3">
      <c r="C1225" s="54"/>
      <c r="N1225" s="33"/>
    </row>
    <row r="1226" spans="3:14" x14ac:dyDescent="0.3">
      <c r="C1226" s="54"/>
      <c r="N1226" s="33"/>
    </row>
    <row r="1227" spans="3:14" x14ac:dyDescent="0.3">
      <c r="C1227" s="54"/>
      <c r="N1227" s="33"/>
    </row>
    <row r="1228" spans="3:14" x14ac:dyDescent="0.3">
      <c r="C1228" s="54"/>
      <c r="N1228" s="33"/>
    </row>
    <row r="1229" spans="3:14" x14ac:dyDescent="0.3">
      <c r="C1229" s="54"/>
      <c r="N1229" s="33"/>
    </row>
    <row r="1230" spans="3:14" x14ac:dyDescent="0.3">
      <c r="C1230" s="54"/>
      <c r="N1230" s="33"/>
    </row>
    <row r="1231" spans="3:14" x14ac:dyDescent="0.3">
      <c r="C1231" s="54"/>
      <c r="N1231" s="33"/>
    </row>
    <row r="1232" spans="3:14" x14ac:dyDescent="0.3">
      <c r="C1232" s="54"/>
      <c r="N1232" s="33"/>
    </row>
    <row r="1233" spans="3:14" x14ac:dyDescent="0.3">
      <c r="C1233" s="54"/>
      <c r="N1233" s="33"/>
    </row>
    <row r="1234" spans="3:14" x14ac:dyDescent="0.3">
      <c r="C1234" s="54"/>
      <c r="N1234" s="33"/>
    </row>
    <row r="1235" spans="3:14" x14ac:dyDescent="0.3">
      <c r="C1235" s="54"/>
      <c r="N1235" s="33"/>
    </row>
    <row r="1236" spans="3:14" x14ac:dyDescent="0.3">
      <c r="C1236" s="54"/>
      <c r="N1236" s="33"/>
    </row>
    <row r="1237" spans="3:14" x14ac:dyDescent="0.3">
      <c r="C1237" s="54"/>
      <c r="N1237" s="33"/>
    </row>
    <row r="1238" spans="3:14" x14ac:dyDescent="0.3">
      <c r="C1238" s="54"/>
      <c r="N1238" s="33"/>
    </row>
    <row r="1239" spans="3:14" x14ac:dyDescent="0.3">
      <c r="C1239" s="54"/>
      <c r="N1239" s="33"/>
    </row>
    <row r="1240" spans="3:14" x14ac:dyDescent="0.3">
      <c r="C1240" s="54"/>
      <c r="N1240" s="33"/>
    </row>
    <row r="1241" spans="3:14" x14ac:dyDescent="0.3">
      <c r="C1241" s="54"/>
      <c r="N1241" s="33"/>
    </row>
    <row r="1242" spans="3:14" x14ac:dyDescent="0.3">
      <c r="C1242" s="54"/>
      <c r="N1242" s="33"/>
    </row>
    <row r="1243" spans="3:14" x14ac:dyDescent="0.3">
      <c r="C1243" s="54"/>
      <c r="N1243" s="33"/>
    </row>
    <row r="1244" spans="3:14" x14ac:dyDescent="0.3">
      <c r="C1244" s="54"/>
      <c r="N1244" s="33"/>
    </row>
    <row r="1245" spans="3:14" x14ac:dyDescent="0.3">
      <c r="C1245" s="54"/>
      <c r="N1245" s="33"/>
    </row>
    <row r="1246" spans="3:14" x14ac:dyDescent="0.3">
      <c r="C1246" s="54"/>
      <c r="N1246" s="33"/>
    </row>
    <row r="1247" spans="3:14" x14ac:dyDescent="0.3">
      <c r="C1247" s="54"/>
      <c r="N1247" s="33"/>
    </row>
    <row r="1248" spans="3:14" x14ac:dyDescent="0.3">
      <c r="C1248" s="54"/>
      <c r="N1248" s="33"/>
    </row>
    <row r="1249" spans="3:14" x14ac:dyDescent="0.3">
      <c r="C1249" s="54"/>
      <c r="N1249" s="33"/>
    </row>
    <row r="1250" spans="3:14" x14ac:dyDescent="0.3">
      <c r="C1250" s="54"/>
      <c r="N1250" s="33"/>
    </row>
    <row r="1251" spans="3:14" x14ac:dyDescent="0.3">
      <c r="C1251" s="54"/>
      <c r="N1251" s="33"/>
    </row>
    <row r="1252" spans="3:14" x14ac:dyDescent="0.3">
      <c r="C1252" s="54"/>
      <c r="N1252" s="33"/>
    </row>
    <row r="1253" spans="3:14" x14ac:dyDescent="0.3">
      <c r="C1253" s="54"/>
      <c r="N1253" s="33"/>
    </row>
    <row r="1254" spans="3:14" x14ac:dyDescent="0.3">
      <c r="C1254" s="54"/>
      <c r="N1254" s="33"/>
    </row>
    <row r="1255" spans="3:14" x14ac:dyDescent="0.3">
      <c r="C1255" s="54"/>
      <c r="N1255" s="33"/>
    </row>
    <row r="1256" spans="3:14" x14ac:dyDescent="0.3">
      <c r="C1256" s="54"/>
      <c r="N1256" s="33"/>
    </row>
    <row r="1257" spans="3:14" x14ac:dyDescent="0.3">
      <c r="C1257" s="54"/>
      <c r="N1257" s="33"/>
    </row>
    <row r="1258" spans="3:14" x14ac:dyDescent="0.3">
      <c r="C1258" s="54"/>
      <c r="N1258" s="33"/>
    </row>
    <row r="1259" spans="3:14" x14ac:dyDescent="0.3">
      <c r="C1259" s="54"/>
      <c r="N1259" s="33"/>
    </row>
    <row r="1260" spans="3:14" x14ac:dyDescent="0.3">
      <c r="C1260" s="54"/>
      <c r="N1260" s="33"/>
    </row>
    <row r="1261" spans="3:14" x14ac:dyDescent="0.3">
      <c r="C1261" s="54"/>
      <c r="N1261" s="33"/>
    </row>
    <row r="1262" spans="3:14" x14ac:dyDescent="0.3">
      <c r="C1262" s="54"/>
      <c r="N1262" s="33"/>
    </row>
    <row r="1263" spans="3:14" x14ac:dyDescent="0.3">
      <c r="C1263" s="54"/>
      <c r="N1263" s="33"/>
    </row>
    <row r="1264" spans="3:14" x14ac:dyDescent="0.3">
      <c r="C1264" s="54"/>
      <c r="N1264" s="33"/>
    </row>
    <row r="1265" spans="3:14" x14ac:dyDescent="0.3">
      <c r="C1265" s="54"/>
      <c r="N1265" s="33"/>
    </row>
    <row r="1266" spans="3:14" x14ac:dyDescent="0.3">
      <c r="C1266" s="54"/>
      <c r="N1266" s="33"/>
    </row>
    <row r="1267" spans="3:14" x14ac:dyDescent="0.3">
      <c r="C1267" s="54"/>
      <c r="N1267" s="33"/>
    </row>
    <row r="1268" spans="3:14" x14ac:dyDescent="0.3">
      <c r="C1268" s="54"/>
      <c r="N1268" s="33"/>
    </row>
    <row r="1269" spans="3:14" x14ac:dyDescent="0.3">
      <c r="C1269" s="54"/>
      <c r="N1269" s="33"/>
    </row>
    <row r="1270" spans="3:14" x14ac:dyDescent="0.3">
      <c r="C1270" s="54"/>
      <c r="N1270" s="33"/>
    </row>
    <row r="1271" spans="3:14" x14ac:dyDescent="0.3">
      <c r="C1271" s="54"/>
      <c r="N1271" s="33"/>
    </row>
    <row r="1272" spans="3:14" x14ac:dyDescent="0.3">
      <c r="C1272" s="54"/>
      <c r="N1272" s="33"/>
    </row>
    <row r="1273" spans="3:14" x14ac:dyDescent="0.3">
      <c r="C1273" s="54"/>
      <c r="N1273" s="33"/>
    </row>
    <row r="1274" spans="3:14" x14ac:dyDescent="0.3">
      <c r="C1274" s="54"/>
      <c r="N1274" s="33"/>
    </row>
    <row r="1275" spans="3:14" x14ac:dyDescent="0.3">
      <c r="C1275" s="54"/>
      <c r="N1275" s="33"/>
    </row>
    <row r="1276" spans="3:14" x14ac:dyDescent="0.3">
      <c r="C1276" s="54"/>
      <c r="N1276" s="33"/>
    </row>
    <row r="1277" spans="3:14" x14ac:dyDescent="0.3">
      <c r="C1277" s="54"/>
      <c r="N1277" s="33"/>
    </row>
    <row r="1278" spans="3:14" x14ac:dyDescent="0.3">
      <c r="C1278" s="54"/>
      <c r="N1278" s="33"/>
    </row>
    <row r="1279" spans="3:14" x14ac:dyDescent="0.3">
      <c r="C1279" s="54"/>
      <c r="N1279" s="33"/>
    </row>
    <row r="1280" spans="3:14" x14ac:dyDescent="0.3">
      <c r="C1280" s="54"/>
      <c r="N1280" s="33"/>
    </row>
    <row r="1281" spans="3:14" x14ac:dyDescent="0.3">
      <c r="C1281" s="54"/>
      <c r="N1281" s="33"/>
    </row>
    <row r="1282" spans="3:14" x14ac:dyDescent="0.3">
      <c r="C1282" s="54"/>
      <c r="N1282" s="33"/>
    </row>
    <row r="1283" spans="3:14" x14ac:dyDescent="0.3">
      <c r="C1283" s="54"/>
      <c r="N1283" s="33"/>
    </row>
    <row r="1284" spans="3:14" x14ac:dyDescent="0.3">
      <c r="C1284" s="54"/>
      <c r="N1284" s="33"/>
    </row>
    <row r="1285" spans="3:14" x14ac:dyDescent="0.3">
      <c r="C1285" s="54"/>
      <c r="N1285" s="33"/>
    </row>
    <row r="1286" spans="3:14" x14ac:dyDescent="0.3">
      <c r="C1286" s="54"/>
      <c r="N1286" s="33"/>
    </row>
    <row r="1287" spans="3:14" x14ac:dyDescent="0.3">
      <c r="C1287" s="54"/>
      <c r="N1287" s="33"/>
    </row>
    <row r="1288" spans="3:14" x14ac:dyDescent="0.3">
      <c r="C1288" s="54"/>
      <c r="N1288" s="33"/>
    </row>
    <row r="1289" spans="3:14" x14ac:dyDescent="0.3">
      <c r="C1289" s="54"/>
      <c r="N1289" s="33"/>
    </row>
    <row r="1290" spans="3:14" x14ac:dyDescent="0.3">
      <c r="C1290" s="54"/>
      <c r="N1290" s="33"/>
    </row>
    <row r="1291" spans="3:14" x14ac:dyDescent="0.3">
      <c r="C1291" s="54"/>
      <c r="N1291" s="33"/>
    </row>
    <row r="1292" spans="3:14" x14ac:dyDescent="0.3">
      <c r="C1292" s="54"/>
      <c r="N1292" s="33"/>
    </row>
    <row r="1293" spans="3:14" x14ac:dyDescent="0.3">
      <c r="C1293" s="54"/>
      <c r="N1293" s="33"/>
    </row>
    <row r="1294" spans="3:14" x14ac:dyDescent="0.3">
      <c r="C1294" s="54"/>
      <c r="N1294" s="33"/>
    </row>
    <row r="1295" spans="3:14" x14ac:dyDescent="0.3">
      <c r="C1295" s="54"/>
      <c r="N1295" s="33"/>
    </row>
    <row r="1296" spans="3:14" x14ac:dyDescent="0.3">
      <c r="C1296" s="54"/>
      <c r="N1296" s="33"/>
    </row>
    <row r="1297" spans="3:14" x14ac:dyDescent="0.3">
      <c r="C1297" s="54"/>
      <c r="N1297" s="33"/>
    </row>
    <row r="1298" spans="3:14" x14ac:dyDescent="0.3">
      <c r="C1298" s="54"/>
      <c r="N1298" s="33"/>
    </row>
    <row r="1299" spans="3:14" x14ac:dyDescent="0.3">
      <c r="C1299" s="54"/>
      <c r="N1299" s="33"/>
    </row>
    <row r="1300" spans="3:14" x14ac:dyDescent="0.3">
      <c r="C1300" s="54"/>
      <c r="N1300" s="33"/>
    </row>
    <row r="1301" spans="3:14" x14ac:dyDescent="0.3">
      <c r="C1301" s="54"/>
      <c r="N1301" s="33"/>
    </row>
    <row r="1302" spans="3:14" x14ac:dyDescent="0.3">
      <c r="C1302" s="54"/>
      <c r="N1302" s="33"/>
    </row>
    <row r="1303" spans="3:14" x14ac:dyDescent="0.3">
      <c r="C1303" s="54"/>
      <c r="N1303" s="33"/>
    </row>
    <row r="1304" spans="3:14" x14ac:dyDescent="0.3">
      <c r="C1304" s="54"/>
      <c r="N1304" s="33"/>
    </row>
    <row r="1305" spans="3:14" x14ac:dyDescent="0.3">
      <c r="C1305" s="54"/>
      <c r="N1305" s="33"/>
    </row>
    <row r="1306" spans="3:14" x14ac:dyDescent="0.3">
      <c r="C1306" s="54"/>
      <c r="N1306" s="33"/>
    </row>
    <row r="1307" spans="3:14" x14ac:dyDescent="0.3">
      <c r="C1307" s="54"/>
      <c r="N1307" s="33"/>
    </row>
    <row r="1308" spans="3:14" x14ac:dyDescent="0.3">
      <c r="C1308" s="54"/>
      <c r="N1308" s="33"/>
    </row>
    <row r="1309" spans="3:14" x14ac:dyDescent="0.3">
      <c r="C1309" s="54"/>
      <c r="N1309" s="33"/>
    </row>
    <row r="1310" spans="3:14" x14ac:dyDescent="0.3">
      <c r="C1310" s="54"/>
      <c r="N1310" s="33"/>
    </row>
    <row r="1311" spans="3:14" x14ac:dyDescent="0.3">
      <c r="C1311" s="54"/>
      <c r="N1311" s="33"/>
    </row>
    <row r="1312" spans="3:14" x14ac:dyDescent="0.3">
      <c r="C1312" s="54"/>
      <c r="N1312" s="33"/>
    </row>
    <row r="1313" spans="3:14" x14ac:dyDescent="0.3">
      <c r="C1313" s="54"/>
      <c r="N1313" s="33"/>
    </row>
    <row r="1314" spans="3:14" x14ac:dyDescent="0.3">
      <c r="C1314" s="54"/>
      <c r="N1314" s="33"/>
    </row>
    <row r="1315" spans="3:14" x14ac:dyDescent="0.3">
      <c r="C1315" s="54"/>
      <c r="N1315" s="33"/>
    </row>
    <row r="1316" spans="3:14" x14ac:dyDescent="0.3">
      <c r="C1316" s="54"/>
      <c r="N1316" s="33"/>
    </row>
    <row r="1317" spans="3:14" x14ac:dyDescent="0.3">
      <c r="C1317" s="54"/>
      <c r="N1317" s="33"/>
    </row>
    <row r="1318" spans="3:14" x14ac:dyDescent="0.3">
      <c r="C1318" s="54"/>
      <c r="N1318" s="33"/>
    </row>
    <row r="1319" spans="3:14" x14ac:dyDescent="0.3">
      <c r="C1319" s="54"/>
      <c r="N1319" s="33"/>
    </row>
    <row r="1320" spans="3:14" x14ac:dyDescent="0.3">
      <c r="C1320" s="54"/>
      <c r="N1320" s="33"/>
    </row>
    <row r="1321" spans="3:14" x14ac:dyDescent="0.3">
      <c r="C1321" s="54"/>
      <c r="N1321" s="33"/>
    </row>
    <row r="1322" spans="3:14" x14ac:dyDescent="0.3">
      <c r="C1322" s="54"/>
      <c r="N1322" s="33"/>
    </row>
    <row r="1323" spans="3:14" x14ac:dyDescent="0.3">
      <c r="C1323" s="54"/>
      <c r="N1323" s="33"/>
    </row>
    <row r="1324" spans="3:14" x14ac:dyDescent="0.3">
      <c r="C1324" s="54"/>
      <c r="N1324" s="33"/>
    </row>
    <row r="1325" spans="3:14" x14ac:dyDescent="0.3">
      <c r="C1325" s="54"/>
      <c r="N1325" s="33"/>
    </row>
    <row r="1326" spans="3:14" x14ac:dyDescent="0.3">
      <c r="C1326" s="54"/>
      <c r="N1326" s="33"/>
    </row>
    <row r="1327" spans="3:14" x14ac:dyDescent="0.3">
      <c r="C1327" s="54"/>
      <c r="N1327" s="33"/>
    </row>
    <row r="1328" spans="3:14" x14ac:dyDescent="0.3">
      <c r="C1328" s="54"/>
      <c r="N1328" s="33"/>
    </row>
    <row r="1329" spans="3:14" x14ac:dyDescent="0.3">
      <c r="C1329" s="54"/>
      <c r="N1329" s="33"/>
    </row>
    <row r="1330" spans="3:14" x14ac:dyDescent="0.3">
      <c r="C1330" s="54"/>
      <c r="N1330" s="33"/>
    </row>
    <row r="1331" spans="3:14" x14ac:dyDescent="0.3">
      <c r="C1331" s="54"/>
      <c r="N1331" s="33"/>
    </row>
    <row r="1332" spans="3:14" x14ac:dyDescent="0.3">
      <c r="C1332" s="54"/>
      <c r="N1332" s="33"/>
    </row>
    <row r="1333" spans="3:14" x14ac:dyDescent="0.3">
      <c r="C1333" s="54"/>
      <c r="N1333" s="33"/>
    </row>
    <row r="1334" spans="3:14" x14ac:dyDescent="0.3">
      <c r="C1334" s="54"/>
      <c r="N1334" s="33"/>
    </row>
    <row r="1335" spans="3:14" x14ac:dyDescent="0.3">
      <c r="C1335" s="54"/>
      <c r="N1335" s="33"/>
    </row>
    <row r="1336" spans="3:14" x14ac:dyDescent="0.3">
      <c r="C1336" s="54"/>
      <c r="N1336" s="33"/>
    </row>
    <row r="1337" spans="3:14" x14ac:dyDescent="0.3">
      <c r="C1337" s="54"/>
      <c r="N1337" s="33"/>
    </row>
    <row r="1338" spans="3:14" x14ac:dyDescent="0.3">
      <c r="C1338" s="54"/>
      <c r="N1338" s="33"/>
    </row>
    <row r="1339" spans="3:14" x14ac:dyDescent="0.3">
      <c r="C1339" s="54"/>
      <c r="N1339" s="33"/>
    </row>
    <row r="1340" spans="3:14" x14ac:dyDescent="0.3">
      <c r="C1340" s="54"/>
      <c r="N1340" s="33"/>
    </row>
    <row r="1341" spans="3:14" x14ac:dyDescent="0.3">
      <c r="C1341" s="54"/>
      <c r="N1341" s="33"/>
    </row>
    <row r="1342" spans="3:14" x14ac:dyDescent="0.3">
      <c r="C1342" s="54"/>
      <c r="N1342" s="33"/>
    </row>
    <row r="1343" spans="3:14" x14ac:dyDescent="0.3">
      <c r="C1343" s="54"/>
      <c r="N1343" s="33"/>
    </row>
    <row r="1344" spans="3:14" x14ac:dyDescent="0.3">
      <c r="C1344" s="54"/>
      <c r="N1344" s="33"/>
    </row>
    <row r="1345" spans="3:14" x14ac:dyDescent="0.3">
      <c r="C1345" s="54"/>
      <c r="N1345" s="33"/>
    </row>
    <row r="1346" spans="3:14" x14ac:dyDescent="0.3">
      <c r="C1346" s="54"/>
      <c r="N1346" s="33"/>
    </row>
    <row r="1347" spans="3:14" x14ac:dyDescent="0.3">
      <c r="C1347" s="54"/>
      <c r="N1347" s="33"/>
    </row>
    <row r="1348" spans="3:14" x14ac:dyDescent="0.3">
      <c r="C1348" s="54"/>
      <c r="N1348" s="33"/>
    </row>
    <row r="1349" spans="3:14" x14ac:dyDescent="0.3">
      <c r="C1349" s="54"/>
      <c r="N1349" s="33"/>
    </row>
    <row r="1350" spans="3:14" x14ac:dyDescent="0.3">
      <c r="C1350" s="54"/>
      <c r="N1350" s="33"/>
    </row>
    <row r="1351" spans="3:14" x14ac:dyDescent="0.3">
      <c r="C1351" s="54"/>
      <c r="N1351" s="33"/>
    </row>
    <row r="1352" spans="3:14" x14ac:dyDescent="0.3">
      <c r="C1352" s="54"/>
      <c r="N1352" s="33"/>
    </row>
    <row r="1353" spans="3:14" x14ac:dyDescent="0.3">
      <c r="C1353" s="54"/>
      <c r="N1353" s="33"/>
    </row>
    <row r="1354" spans="3:14" x14ac:dyDescent="0.3">
      <c r="C1354" s="54"/>
      <c r="N1354" s="33"/>
    </row>
    <row r="1355" spans="3:14" x14ac:dyDescent="0.3">
      <c r="C1355" s="54"/>
      <c r="N1355" s="33"/>
    </row>
    <row r="1356" spans="3:14" x14ac:dyDescent="0.3">
      <c r="C1356" s="54"/>
      <c r="N1356" s="33"/>
    </row>
    <row r="1357" spans="3:14" x14ac:dyDescent="0.3">
      <c r="C1357" s="54"/>
      <c r="N1357" s="33"/>
    </row>
    <row r="1358" spans="3:14" x14ac:dyDescent="0.3">
      <c r="C1358" s="54"/>
      <c r="N1358" s="33"/>
    </row>
    <row r="1359" spans="3:14" x14ac:dyDescent="0.3">
      <c r="C1359" s="54"/>
      <c r="N1359" s="33"/>
    </row>
    <row r="1360" spans="3:14" x14ac:dyDescent="0.3">
      <c r="C1360" s="54"/>
      <c r="N1360" s="33"/>
    </row>
    <row r="1361" spans="3:14" x14ac:dyDescent="0.3">
      <c r="C1361" s="54"/>
      <c r="N1361" s="33"/>
    </row>
    <row r="1362" spans="3:14" x14ac:dyDescent="0.3">
      <c r="C1362" s="54"/>
      <c r="N1362" s="33"/>
    </row>
    <row r="1363" spans="3:14" x14ac:dyDescent="0.3">
      <c r="C1363" s="54"/>
      <c r="N1363" s="33"/>
    </row>
    <row r="1364" spans="3:14" x14ac:dyDescent="0.3">
      <c r="C1364" s="54"/>
      <c r="N1364" s="33"/>
    </row>
    <row r="1365" spans="3:14" x14ac:dyDescent="0.3">
      <c r="C1365" s="54"/>
      <c r="N1365" s="33"/>
    </row>
    <row r="1366" spans="3:14" x14ac:dyDescent="0.3">
      <c r="C1366" s="54"/>
      <c r="N1366" s="33"/>
    </row>
    <row r="1367" spans="3:14" x14ac:dyDescent="0.3">
      <c r="C1367" s="54"/>
      <c r="N1367" s="33"/>
    </row>
    <row r="1368" spans="3:14" x14ac:dyDescent="0.3">
      <c r="C1368" s="54"/>
      <c r="N1368" s="33"/>
    </row>
    <row r="1369" spans="3:14" x14ac:dyDescent="0.3">
      <c r="C1369" s="54"/>
      <c r="N1369" s="33"/>
    </row>
    <row r="1370" spans="3:14" x14ac:dyDescent="0.3">
      <c r="C1370" s="54"/>
      <c r="N1370" s="33"/>
    </row>
    <row r="1371" spans="3:14" x14ac:dyDescent="0.3">
      <c r="C1371" s="54"/>
      <c r="N1371" s="33"/>
    </row>
    <row r="1372" spans="3:14" x14ac:dyDescent="0.3">
      <c r="C1372" s="54"/>
      <c r="N1372" s="33"/>
    </row>
    <row r="1373" spans="3:14" x14ac:dyDescent="0.3">
      <c r="C1373" s="54"/>
      <c r="N1373" s="33"/>
    </row>
    <row r="1374" spans="3:14" x14ac:dyDescent="0.3">
      <c r="C1374" s="54"/>
      <c r="N1374" s="33"/>
    </row>
    <row r="1375" spans="3:14" x14ac:dyDescent="0.3">
      <c r="C1375" s="54"/>
      <c r="N1375" s="33"/>
    </row>
    <row r="1376" spans="3:14" x14ac:dyDescent="0.3">
      <c r="C1376" s="54"/>
      <c r="N1376" s="33"/>
    </row>
    <row r="1377" spans="3:14" x14ac:dyDescent="0.3">
      <c r="C1377" s="54"/>
      <c r="N1377" s="33"/>
    </row>
    <row r="1378" spans="3:14" x14ac:dyDescent="0.3">
      <c r="C1378" s="54"/>
      <c r="N1378" s="33"/>
    </row>
    <row r="1379" spans="3:14" x14ac:dyDescent="0.3">
      <c r="C1379" s="54"/>
      <c r="N1379" s="33"/>
    </row>
    <row r="1380" spans="3:14" x14ac:dyDescent="0.3">
      <c r="C1380" s="54"/>
      <c r="N1380" s="33"/>
    </row>
    <row r="1381" spans="3:14" x14ac:dyDescent="0.3">
      <c r="C1381" s="54"/>
      <c r="N1381" s="33"/>
    </row>
    <row r="1382" spans="3:14" x14ac:dyDescent="0.3">
      <c r="C1382" s="54"/>
      <c r="N1382" s="33"/>
    </row>
    <row r="1383" spans="3:14" x14ac:dyDescent="0.3">
      <c r="C1383" s="54"/>
      <c r="N1383" s="33"/>
    </row>
    <row r="1384" spans="3:14" x14ac:dyDescent="0.3">
      <c r="C1384" s="54"/>
      <c r="N1384" s="33"/>
    </row>
    <row r="1385" spans="3:14" x14ac:dyDescent="0.3">
      <c r="C1385" s="54"/>
      <c r="N1385" s="33"/>
    </row>
    <row r="1386" spans="3:14" x14ac:dyDescent="0.3">
      <c r="C1386" s="54"/>
      <c r="N1386" s="33"/>
    </row>
    <row r="1387" spans="3:14" x14ac:dyDescent="0.3">
      <c r="C1387" s="54"/>
      <c r="N1387" s="33"/>
    </row>
    <row r="1388" spans="3:14" x14ac:dyDescent="0.3">
      <c r="C1388" s="54"/>
      <c r="N1388" s="33"/>
    </row>
    <row r="1389" spans="3:14" x14ac:dyDescent="0.3">
      <c r="C1389" s="54"/>
      <c r="N1389" s="33"/>
    </row>
    <row r="1390" spans="3:14" x14ac:dyDescent="0.3">
      <c r="C1390" s="54"/>
      <c r="N1390" s="33"/>
    </row>
    <row r="1391" spans="3:14" x14ac:dyDescent="0.3">
      <c r="C1391" s="54"/>
      <c r="N1391" s="33"/>
    </row>
    <row r="1392" spans="3:14" x14ac:dyDescent="0.3">
      <c r="C1392" s="54"/>
      <c r="N1392" s="33"/>
    </row>
    <row r="1393" spans="3:14" x14ac:dyDescent="0.3">
      <c r="C1393" s="54"/>
      <c r="N1393" s="33"/>
    </row>
    <row r="1394" spans="3:14" x14ac:dyDescent="0.3">
      <c r="C1394" s="54"/>
      <c r="N1394" s="33"/>
    </row>
    <row r="1395" spans="3:14" x14ac:dyDescent="0.3">
      <c r="C1395" s="54"/>
      <c r="N1395" s="33"/>
    </row>
    <row r="1396" spans="3:14" x14ac:dyDescent="0.3">
      <c r="C1396" s="54"/>
      <c r="N1396" s="33"/>
    </row>
    <row r="1397" spans="3:14" x14ac:dyDescent="0.3">
      <c r="C1397" s="54"/>
      <c r="N1397" s="33"/>
    </row>
    <row r="1398" spans="3:14" x14ac:dyDescent="0.3">
      <c r="C1398" s="54"/>
      <c r="N1398" s="33"/>
    </row>
    <row r="1399" spans="3:14" x14ac:dyDescent="0.3">
      <c r="C1399" s="54"/>
      <c r="N1399" s="33"/>
    </row>
    <row r="1400" spans="3:14" x14ac:dyDescent="0.3">
      <c r="C1400" s="54"/>
      <c r="N1400" s="33"/>
    </row>
    <row r="1401" spans="3:14" x14ac:dyDescent="0.3">
      <c r="C1401" s="54"/>
      <c r="N1401" s="33"/>
    </row>
    <row r="1402" spans="3:14" x14ac:dyDescent="0.3">
      <c r="C1402" s="54"/>
      <c r="N1402" s="33"/>
    </row>
    <row r="1403" spans="3:14" x14ac:dyDescent="0.3">
      <c r="C1403" s="54"/>
      <c r="N1403" s="33"/>
    </row>
    <row r="1404" spans="3:14" x14ac:dyDescent="0.3">
      <c r="C1404" s="54"/>
      <c r="N1404" s="33"/>
    </row>
    <row r="1405" spans="3:14" x14ac:dyDescent="0.3">
      <c r="C1405" s="54"/>
      <c r="N1405" s="33"/>
    </row>
    <row r="1406" spans="3:14" x14ac:dyDescent="0.3">
      <c r="C1406" s="54"/>
      <c r="N1406" s="33"/>
    </row>
    <row r="1407" spans="3:14" x14ac:dyDescent="0.3">
      <c r="C1407" s="54"/>
      <c r="N1407" s="33"/>
    </row>
    <row r="1408" spans="3:14" x14ac:dyDescent="0.3">
      <c r="C1408" s="54"/>
      <c r="N1408" s="33"/>
    </row>
    <row r="1409" spans="3:14" x14ac:dyDescent="0.3">
      <c r="C1409" s="54"/>
      <c r="N1409" s="33"/>
    </row>
    <row r="1410" spans="3:14" x14ac:dyDescent="0.3">
      <c r="C1410" s="54"/>
      <c r="N1410" s="33"/>
    </row>
    <row r="1411" spans="3:14" x14ac:dyDescent="0.3">
      <c r="C1411" s="54"/>
      <c r="N1411" s="33"/>
    </row>
    <row r="1412" spans="3:14" x14ac:dyDescent="0.3">
      <c r="C1412" s="54"/>
      <c r="N1412" s="33"/>
    </row>
    <row r="1413" spans="3:14" x14ac:dyDescent="0.3">
      <c r="C1413" s="54"/>
      <c r="N1413" s="33"/>
    </row>
    <row r="1414" spans="3:14" x14ac:dyDescent="0.3">
      <c r="C1414" s="54"/>
      <c r="N1414" s="33"/>
    </row>
    <row r="1415" spans="3:14" x14ac:dyDescent="0.3">
      <c r="C1415" s="54"/>
      <c r="N1415" s="33"/>
    </row>
    <row r="1416" spans="3:14" x14ac:dyDescent="0.3">
      <c r="C1416" s="54"/>
      <c r="N1416" s="33"/>
    </row>
    <row r="1417" spans="3:14" x14ac:dyDescent="0.3">
      <c r="C1417" s="54"/>
      <c r="N1417" s="33"/>
    </row>
    <row r="1418" spans="3:14" x14ac:dyDescent="0.3">
      <c r="C1418" s="54"/>
      <c r="N1418" s="33"/>
    </row>
    <row r="1419" spans="3:14" x14ac:dyDescent="0.3">
      <c r="C1419" s="54"/>
      <c r="N1419" s="33"/>
    </row>
    <row r="1420" spans="3:14" x14ac:dyDescent="0.3">
      <c r="C1420" s="54"/>
      <c r="N1420" s="33"/>
    </row>
    <row r="1421" spans="3:14" x14ac:dyDescent="0.3">
      <c r="C1421" s="54"/>
      <c r="N1421" s="33"/>
    </row>
    <row r="1422" spans="3:14" x14ac:dyDescent="0.3">
      <c r="C1422" s="54"/>
      <c r="N1422" s="33"/>
    </row>
    <row r="1423" spans="3:14" x14ac:dyDescent="0.3">
      <c r="C1423" s="54"/>
      <c r="N1423" s="33"/>
    </row>
    <row r="1424" spans="3:14" x14ac:dyDescent="0.3">
      <c r="C1424" s="54"/>
      <c r="N1424" s="33"/>
    </row>
    <row r="1425" spans="3:14" x14ac:dyDescent="0.3">
      <c r="C1425" s="54"/>
      <c r="N1425" s="33"/>
    </row>
    <row r="1426" spans="3:14" x14ac:dyDescent="0.3">
      <c r="C1426" s="54"/>
      <c r="N1426" s="33"/>
    </row>
    <row r="1427" spans="3:14" x14ac:dyDescent="0.3">
      <c r="C1427" s="54"/>
      <c r="N1427" s="33"/>
    </row>
    <row r="1428" spans="3:14" x14ac:dyDescent="0.3">
      <c r="C1428" s="54"/>
      <c r="N1428" s="33"/>
    </row>
    <row r="1429" spans="3:14" x14ac:dyDescent="0.3">
      <c r="C1429" s="54"/>
      <c r="N1429" s="33"/>
    </row>
    <row r="1430" spans="3:14" x14ac:dyDescent="0.3">
      <c r="C1430" s="54"/>
      <c r="N1430" s="33"/>
    </row>
    <row r="1431" spans="3:14" x14ac:dyDescent="0.3">
      <c r="C1431" s="54"/>
      <c r="N1431" s="33"/>
    </row>
    <row r="1432" spans="3:14" x14ac:dyDescent="0.3">
      <c r="C1432" s="54"/>
      <c r="N1432" s="33"/>
    </row>
    <row r="1433" spans="3:14" x14ac:dyDescent="0.3">
      <c r="C1433" s="54"/>
      <c r="N1433" s="33"/>
    </row>
    <row r="1434" spans="3:14" x14ac:dyDescent="0.3">
      <c r="C1434" s="54"/>
      <c r="N1434" s="33"/>
    </row>
    <row r="1435" spans="3:14" x14ac:dyDescent="0.3">
      <c r="C1435" s="54"/>
      <c r="N1435" s="33"/>
    </row>
    <row r="1436" spans="3:14" x14ac:dyDescent="0.3">
      <c r="C1436" s="54"/>
      <c r="N1436" s="33"/>
    </row>
    <row r="1437" spans="3:14" x14ac:dyDescent="0.3">
      <c r="C1437" s="54"/>
      <c r="N1437" s="33"/>
    </row>
    <row r="1438" spans="3:14" x14ac:dyDescent="0.3">
      <c r="C1438" s="54"/>
      <c r="N1438" s="33"/>
    </row>
    <row r="1439" spans="3:14" x14ac:dyDescent="0.3">
      <c r="C1439" s="54"/>
      <c r="N1439" s="33"/>
    </row>
    <row r="1440" spans="3:14" x14ac:dyDescent="0.3">
      <c r="C1440" s="54"/>
      <c r="N1440" s="33"/>
    </row>
    <row r="1441" spans="3:14" x14ac:dyDescent="0.3">
      <c r="C1441" s="54"/>
      <c r="N1441" s="33"/>
    </row>
    <row r="1442" spans="3:14" x14ac:dyDescent="0.3">
      <c r="C1442" s="54"/>
      <c r="N1442" s="33"/>
    </row>
    <row r="1443" spans="3:14" x14ac:dyDescent="0.3">
      <c r="C1443" s="54"/>
      <c r="N1443" s="33"/>
    </row>
    <row r="1444" spans="3:14" x14ac:dyDescent="0.3">
      <c r="C1444" s="54"/>
      <c r="N1444" s="33"/>
    </row>
    <row r="1445" spans="3:14" x14ac:dyDescent="0.3">
      <c r="C1445" s="54"/>
      <c r="N1445" s="33"/>
    </row>
    <row r="1446" spans="3:14" x14ac:dyDescent="0.3">
      <c r="C1446" s="54"/>
      <c r="N1446" s="33"/>
    </row>
    <row r="1447" spans="3:14" x14ac:dyDescent="0.3">
      <c r="C1447" s="54"/>
      <c r="N1447" s="33"/>
    </row>
    <row r="1448" spans="3:14" x14ac:dyDescent="0.3">
      <c r="C1448" s="54"/>
      <c r="N1448" s="33"/>
    </row>
    <row r="1449" spans="3:14" x14ac:dyDescent="0.3">
      <c r="C1449" s="54"/>
      <c r="N1449" s="33"/>
    </row>
    <row r="1450" spans="3:14" x14ac:dyDescent="0.3">
      <c r="C1450" s="54"/>
      <c r="N1450" s="33"/>
    </row>
    <row r="1451" spans="3:14" x14ac:dyDescent="0.3">
      <c r="C1451" s="54"/>
      <c r="N1451" s="33"/>
    </row>
    <row r="1452" spans="3:14" x14ac:dyDescent="0.3">
      <c r="C1452" s="54"/>
      <c r="N1452" s="33"/>
    </row>
    <row r="1453" spans="3:14" x14ac:dyDescent="0.3">
      <c r="C1453" s="54"/>
      <c r="N1453" s="33"/>
    </row>
    <row r="1454" spans="3:14" x14ac:dyDescent="0.3">
      <c r="C1454" s="54"/>
      <c r="N1454" s="33"/>
    </row>
    <row r="1455" spans="3:14" x14ac:dyDescent="0.3">
      <c r="C1455" s="54"/>
      <c r="N1455" s="33"/>
    </row>
    <row r="1456" spans="3:14" x14ac:dyDescent="0.3">
      <c r="C1456" s="54"/>
      <c r="N1456" s="33"/>
    </row>
    <row r="1457" spans="3:14" x14ac:dyDescent="0.3">
      <c r="C1457" s="54"/>
      <c r="N1457" s="33"/>
    </row>
    <row r="1458" spans="3:14" x14ac:dyDescent="0.3">
      <c r="C1458" s="54"/>
      <c r="N1458" s="33"/>
    </row>
    <row r="1459" spans="3:14" x14ac:dyDescent="0.3">
      <c r="C1459" s="54"/>
      <c r="N1459" s="33"/>
    </row>
    <row r="1460" spans="3:14" x14ac:dyDescent="0.3">
      <c r="C1460" s="54"/>
      <c r="N1460" s="33"/>
    </row>
    <row r="1461" spans="3:14" x14ac:dyDescent="0.3">
      <c r="C1461" s="54"/>
      <c r="N1461" s="33"/>
    </row>
    <row r="1462" spans="3:14" x14ac:dyDescent="0.3">
      <c r="C1462" s="54"/>
      <c r="N1462" s="33"/>
    </row>
    <row r="1463" spans="3:14" x14ac:dyDescent="0.3">
      <c r="C1463" s="54"/>
      <c r="N1463" s="33"/>
    </row>
    <row r="1464" spans="3:14" x14ac:dyDescent="0.3">
      <c r="C1464" s="54"/>
      <c r="N1464" s="33"/>
    </row>
    <row r="1465" spans="3:14" x14ac:dyDescent="0.3">
      <c r="C1465" s="54"/>
      <c r="N1465" s="33"/>
    </row>
    <row r="1466" spans="3:14" x14ac:dyDescent="0.3">
      <c r="C1466" s="54"/>
      <c r="N1466" s="33"/>
    </row>
    <row r="1467" spans="3:14" x14ac:dyDescent="0.3">
      <c r="C1467" s="54"/>
      <c r="N1467" s="33"/>
    </row>
    <row r="1468" spans="3:14" x14ac:dyDescent="0.3">
      <c r="C1468" s="54"/>
      <c r="N1468" s="33"/>
    </row>
    <row r="1469" spans="3:14" x14ac:dyDescent="0.3">
      <c r="C1469" s="54"/>
      <c r="N1469" s="33"/>
    </row>
    <row r="1470" spans="3:14" x14ac:dyDescent="0.3">
      <c r="C1470" s="54"/>
      <c r="N1470" s="33"/>
    </row>
    <row r="1471" spans="3:14" x14ac:dyDescent="0.3">
      <c r="C1471" s="54"/>
      <c r="N1471" s="33"/>
    </row>
    <row r="1472" spans="3:14" x14ac:dyDescent="0.3">
      <c r="C1472" s="54"/>
      <c r="N1472" s="33"/>
    </row>
    <row r="1473" spans="3:14" x14ac:dyDescent="0.3">
      <c r="C1473" s="54"/>
      <c r="N1473" s="33"/>
    </row>
    <row r="1474" spans="3:14" x14ac:dyDescent="0.3">
      <c r="C1474" s="54"/>
      <c r="N1474" s="33"/>
    </row>
    <row r="1475" spans="3:14" x14ac:dyDescent="0.3">
      <c r="C1475" s="54"/>
      <c r="N1475" s="33"/>
    </row>
    <row r="1476" spans="3:14" x14ac:dyDescent="0.3">
      <c r="C1476" s="54"/>
      <c r="N1476" s="33"/>
    </row>
    <row r="1477" spans="3:14" x14ac:dyDescent="0.3">
      <c r="C1477" s="54"/>
      <c r="N1477" s="33"/>
    </row>
    <row r="1478" spans="3:14" x14ac:dyDescent="0.3">
      <c r="C1478" s="54"/>
      <c r="N1478" s="33"/>
    </row>
    <row r="1479" spans="3:14" x14ac:dyDescent="0.3">
      <c r="C1479" s="54"/>
      <c r="N1479" s="33"/>
    </row>
    <row r="1480" spans="3:14" x14ac:dyDescent="0.3">
      <c r="C1480" s="54"/>
      <c r="N1480" s="33"/>
    </row>
    <row r="1481" spans="3:14" x14ac:dyDescent="0.3">
      <c r="C1481" s="54"/>
      <c r="N1481" s="33"/>
    </row>
    <row r="1482" spans="3:14" x14ac:dyDescent="0.3">
      <c r="C1482" s="54"/>
      <c r="N1482" s="33"/>
    </row>
    <row r="1483" spans="3:14" x14ac:dyDescent="0.3">
      <c r="C1483" s="54"/>
      <c r="N1483" s="33"/>
    </row>
    <row r="1484" spans="3:14" x14ac:dyDescent="0.3">
      <c r="C1484" s="54"/>
      <c r="N1484" s="33"/>
    </row>
    <row r="1485" spans="3:14" x14ac:dyDescent="0.3">
      <c r="C1485" s="54"/>
      <c r="N1485" s="33"/>
    </row>
    <row r="1486" spans="3:14" x14ac:dyDescent="0.3">
      <c r="C1486" s="54"/>
      <c r="N1486" s="33"/>
    </row>
    <row r="1487" spans="3:14" x14ac:dyDescent="0.3">
      <c r="C1487" s="54"/>
      <c r="N1487" s="33"/>
    </row>
    <row r="1488" spans="3:14" x14ac:dyDescent="0.3">
      <c r="C1488" s="54"/>
      <c r="N1488" s="33"/>
    </row>
    <row r="1489" spans="3:14" x14ac:dyDescent="0.3">
      <c r="C1489" s="54"/>
      <c r="N1489" s="33"/>
    </row>
    <row r="1490" spans="3:14" x14ac:dyDescent="0.3">
      <c r="C1490" s="54"/>
      <c r="N1490" s="33"/>
    </row>
    <row r="1491" spans="3:14" x14ac:dyDescent="0.3">
      <c r="C1491" s="54"/>
      <c r="N1491" s="33"/>
    </row>
    <row r="1492" spans="3:14" x14ac:dyDescent="0.3">
      <c r="C1492" s="54"/>
      <c r="N1492" s="33"/>
    </row>
    <row r="1493" spans="3:14" x14ac:dyDescent="0.3">
      <c r="C1493" s="54"/>
      <c r="N1493" s="33"/>
    </row>
    <row r="1494" spans="3:14" x14ac:dyDescent="0.3">
      <c r="C1494" s="54"/>
      <c r="N1494" s="33"/>
    </row>
    <row r="1495" spans="3:14" x14ac:dyDescent="0.3">
      <c r="C1495" s="54"/>
      <c r="N1495" s="33"/>
    </row>
    <row r="1496" spans="3:14" x14ac:dyDescent="0.3">
      <c r="C1496" s="54"/>
      <c r="N1496" s="33"/>
    </row>
    <row r="1497" spans="3:14" x14ac:dyDescent="0.3">
      <c r="C1497" s="54"/>
      <c r="N1497" s="33"/>
    </row>
    <row r="1498" spans="3:14" x14ac:dyDescent="0.3">
      <c r="C1498" s="54"/>
      <c r="N1498" s="33"/>
    </row>
    <row r="1499" spans="3:14" x14ac:dyDescent="0.3">
      <c r="C1499" s="54"/>
      <c r="N1499" s="33"/>
    </row>
    <row r="1500" spans="3:14" x14ac:dyDescent="0.3">
      <c r="C1500" s="54"/>
      <c r="N1500" s="33"/>
    </row>
    <row r="1501" spans="3:14" x14ac:dyDescent="0.3">
      <c r="C1501" s="54"/>
      <c r="N1501" s="33"/>
    </row>
    <row r="1502" spans="3:14" x14ac:dyDescent="0.3">
      <c r="C1502" s="54"/>
      <c r="N1502" s="33"/>
    </row>
    <row r="1503" spans="3:14" x14ac:dyDescent="0.3">
      <c r="C1503" s="54"/>
      <c r="N1503" s="33"/>
    </row>
    <row r="1504" spans="3:14" x14ac:dyDescent="0.3">
      <c r="C1504" s="54"/>
      <c r="N1504" s="33"/>
    </row>
    <row r="1505" spans="3:14" x14ac:dyDescent="0.3">
      <c r="C1505" s="54"/>
      <c r="N1505" s="33"/>
    </row>
    <row r="1506" spans="3:14" x14ac:dyDescent="0.3">
      <c r="C1506" s="54"/>
      <c r="N1506" s="33"/>
    </row>
    <row r="1507" spans="3:14" x14ac:dyDescent="0.3">
      <c r="C1507" s="54"/>
      <c r="N1507" s="33"/>
    </row>
    <row r="1508" spans="3:14" x14ac:dyDescent="0.3">
      <c r="C1508" s="54"/>
      <c r="N1508" s="33"/>
    </row>
    <row r="1509" spans="3:14" x14ac:dyDescent="0.3">
      <c r="C1509" s="54"/>
      <c r="N1509" s="33"/>
    </row>
    <row r="1510" spans="3:14" x14ac:dyDescent="0.3">
      <c r="C1510" s="54"/>
      <c r="N1510" s="33"/>
    </row>
    <row r="1511" spans="3:14" x14ac:dyDescent="0.3">
      <c r="C1511" s="54"/>
      <c r="N1511" s="33"/>
    </row>
    <row r="1512" spans="3:14" x14ac:dyDescent="0.3">
      <c r="C1512" s="54"/>
      <c r="N1512" s="33"/>
    </row>
    <row r="1513" spans="3:14" x14ac:dyDescent="0.3">
      <c r="C1513" s="54"/>
      <c r="N1513" s="33"/>
    </row>
    <row r="1514" spans="3:14" x14ac:dyDescent="0.3">
      <c r="C1514" s="54"/>
      <c r="N1514" s="33"/>
    </row>
    <row r="1515" spans="3:14" x14ac:dyDescent="0.3">
      <c r="C1515" s="54"/>
      <c r="N1515" s="33"/>
    </row>
    <row r="1516" spans="3:14" x14ac:dyDescent="0.3">
      <c r="C1516" s="54"/>
      <c r="N1516" s="33"/>
    </row>
    <row r="1517" spans="3:14" x14ac:dyDescent="0.3">
      <c r="C1517" s="54"/>
      <c r="N1517" s="33"/>
    </row>
    <row r="1518" spans="3:14" x14ac:dyDescent="0.3">
      <c r="C1518" s="54"/>
      <c r="N1518" s="33"/>
    </row>
    <row r="1519" spans="3:14" x14ac:dyDescent="0.3">
      <c r="C1519" s="54"/>
      <c r="N1519" s="33"/>
    </row>
    <row r="1520" spans="3:14" x14ac:dyDescent="0.3">
      <c r="C1520" s="54"/>
      <c r="N1520" s="33"/>
    </row>
    <row r="1521" spans="3:14" x14ac:dyDescent="0.3">
      <c r="C1521" s="54"/>
      <c r="N1521" s="33"/>
    </row>
    <row r="1522" spans="3:14" x14ac:dyDescent="0.3">
      <c r="C1522" s="54"/>
      <c r="N1522" s="33"/>
    </row>
    <row r="1523" spans="3:14" x14ac:dyDescent="0.3">
      <c r="C1523" s="54"/>
      <c r="N1523" s="33"/>
    </row>
    <row r="1524" spans="3:14" x14ac:dyDescent="0.3">
      <c r="C1524" s="54"/>
      <c r="N1524" s="33"/>
    </row>
    <row r="1525" spans="3:14" x14ac:dyDescent="0.3">
      <c r="C1525" s="54"/>
      <c r="N1525" s="33"/>
    </row>
    <row r="1526" spans="3:14" x14ac:dyDescent="0.3">
      <c r="C1526" s="54"/>
      <c r="N1526" s="33"/>
    </row>
    <row r="1527" spans="3:14" x14ac:dyDescent="0.3">
      <c r="C1527" s="54"/>
      <c r="N1527" s="33"/>
    </row>
    <row r="1528" spans="3:14" x14ac:dyDescent="0.3">
      <c r="C1528" s="54"/>
      <c r="N1528" s="33"/>
    </row>
    <row r="1529" spans="3:14" x14ac:dyDescent="0.3">
      <c r="C1529" s="54"/>
      <c r="N1529" s="33"/>
    </row>
    <row r="1530" spans="3:14" x14ac:dyDescent="0.3">
      <c r="C1530" s="54"/>
      <c r="N1530" s="33"/>
    </row>
    <row r="1531" spans="3:14" x14ac:dyDescent="0.3">
      <c r="C1531" s="54"/>
      <c r="N1531" s="33"/>
    </row>
    <row r="1532" spans="3:14" x14ac:dyDescent="0.3">
      <c r="C1532" s="54"/>
      <c r="N1532" s="33"/>
    </row>
    <row r="1533" spans="3:14" x14ac:dyDescent="0.3">
      <c r="C1533" s="54"/>
      <c r="N1533" s="33"/>
    </row>
    <row r="1534" spans="3:14" x14ac:dyDescent="0.3">
      <c r="C1534" s="54"/>
      <c r="N1534" s="33"/>
    </row>
    <row r="1535" spans="3:14" x14ac:dyDescent="0.3">
      <c r="C1535" s="54"/>
      <c r="N1535" s="33"/>
    </row>
    <row r="1536" spans="3:14" x14ac:dyDescent="0.3">
      <c r="C1536" s="54"/>
      <c r="N1536" s="33"/>
    </row>
    <row r="1537" spans="3:14" x14ac:dyDescent="0.3">
      <c r="C1537" s="54"/>
      <c r="N1537" s="33"/>
    </row>
    <row r="1538" spans="3:14" x14ac:dyDescent="0.3">
      <c r="C1538" s="54"/>
      <c r="N1538" s="33"/>
    </row>
    <row r="1539" spans="3:14" x14ac:dyDescent="0.3">
      <c r="C1539" s="54"/>
      <c r="N1539" s="33"/>
    </row>
    <row r="1540" spans="3:14" x14ac:dyDescent="0.3">
      <c r="C1540" s="54"/>
      <c r="N1540" s="33"/>
    </row>
    <row r="1541" spans="3:14" x14ac:dyDescent="0.3">
      <c r="C1541" s="54"/>
      <c r="N1541" s="33"/>
    </row>
    <row r="1542" spans="3:14" x14ac:dyDescent="0.3">
      <c r="C1542" s="54"/>
      <c r="N1542" s="33"/>
    </row>
    <row r="1543" spans="3:14" x14ac:dyDescent="0.3">
      <c r="C1543" s="54"/>
      <c r="N1543" s="33"/>
    </row>
    <row r="1544" spans="3:14" x14ac:dyDescent="0.3">
      <c r="C1544" s="54"/>
      <c r="N1544" s="33"/>
    </row>
    <row r="1545" spans="3:14" x14ac:dyDescent="0.3">
      <c r="C1545" s="54"/>
      <c r="N1545" s="33"/>
    </row>
    <row r="1546" spans="3:14" x14ac:dyDescent="0.3">
      <c r="C1546" s="54"/>
      <c r="N1546" s="33"/>
    </row>
    <row r="1547" spans="3:14" x14ac:dyDescent="0.3">
      <c r="C1547" s="54"/>
      <c r="N1547" s="33"/>
    </row>
    <row r="1548" spans="3:14" x14ac:dyDescent="0.3">
      <c r="C1548" s="54"/>
      <c r="N1548" s="33"/>
    </row>
    <row r="1549" spans="3:14" x14ac:dyDescent="0.3">
      <c r="C1549" s="54"/>
      <c r="N1549" s="33"/>
    </row>
    <row r="1550" spans="3:14" x14ac:dyDescent="0.3">
      <c r="C1550" s="54"/>
      <c r="N1550" s="33"/>
    </row>
    <row r="1551" spans="3:14" x14ac:dyDescent="0.3">
      <c r="C1551" s="54"/>
      <c r="N1551" s="33"/>
    </row>
    <row r="1552" spans="3:14" x14ac:dyDescent="0.3">
      <c r="C1552" s="54"/>
      <c r="N1552" s="33"/>
    </row>
    <row r="1553" spans="3:14" x14ac:dyDescent="0.3">
      <c r="C1553" s="54"/>
      <c r="N1553" s="33"/>
    </row>
    <row r="1554" spans="3:14" x14ac:dyDescent="0.3">
      <c r="C1554" s="54"/>
      <c r="N1554" s="33"/>
    </row>
    <row r="1555" spans="3:14" x14ac:dyDescent="0.3">
      <c r="C1555" s="54"/>
      <c r="N1555" s="33"/>
    </row>
    <row r="1556" spans="3:14" x14ac:dyDescent="0.3">
      <c r="C1556" s="54"/>
      <c r="N1556" s="33"/>
    </row>
    <row r="1557" spans="3:14" x14ac:dyDescent="0.3">
      <c r="C1557" s="54"/>
      <c r="N1557" s="33"/>
    </row>
    <row r="1558" spans="3:14" x14ac:dyDescent="0.3">
      <c r="C1558" s="54"/>
      <c r="N1558" s="33"/>
    </row>
    <row r="1559" spans="3:14" x14ac:dyDescent="0.3">
      <c r="C1559" s="54"/>
      <c r="N1559" s="33"/>
    </row>
    <row r="1560" spans="3:14" x14ac:dyDescent="0.3">
      <c r="C1560" s="54"/>
      <c r="N1560" s="33"/>
    </row>
    <row r="1561" spans="3:14" x14ac:dyDescent="0.3">
      <c r="C1561" s="54"/>
      <c r="N1561" s="33"/>
    </row>
    <row r="1562" spans="3:14" x14ac:dyDescent="0.3">
      <c r="C1562" s="54"/>
      <c r="N1562" s="33"/>
    </row>
    <row r="1563" spans="3:14" x14ac:dyDescent="0.3">
      <c r="C1563" s="54"/>
      <c r="N1563" s="33"/>
    </row>
    <row r="1564" spans="3:14" x14ac:dyDescent="0.3">
      <c r="C1564" s="54"/>
      <c r="N1564" s="33"/>
    </row>
    <row r="1565" spans="3:14" x14ac:dyDescent="0.3">
      <c r="C1565" s="54"/>
      <c r="N1565" s="33"/>
    </row>
    <row r="1566" spans="3:14" x14ac:dyDescent="0.3">
      <c r="C1566" s="54"/>
      <c r="N1566" s="33"/>
    </row>
    <row r="1567" spans="3:14" x14ac:dyDescent="0.3">
      <c r="C1567" s="54"/>
      <c r="N1567" s="33"/>
    </row>
    <row r="1568" spans="3:14" x14ac:dyDescent="0.3">
      <c r="C1568" s="54"/>
      <c r="N1568" s="33"/>
    </row>
    <row r="1569" spans="3:14" x14ac:dyDescent="0.3">
      <c r="C1569" s="54"/>
      <c r="N1569" s="33"/>
    </row>
    <row r="1570" spans="3:14" x14ac:dyDescent="0.3">
      <c r="C1570" s="54"/>
      <c r="N1570" s="33"/>
    </row>
    <row r="1571" spans="3:14" x14ac:dyDescent="0.3">
      <c r="C1571" s="54"/>
      <c r="N1571" s="33"/>
    </row>
    <row r="1572" spans="3:14" x14ac:dyDescent="0.3">
      <c r="C1572" s="54"/>
      <c r="N1572" s="33"/>
    </row>
    <row r="1573" spans="3:14" x14ac:dyDescent="0.3">
      <c r="C1573" s="54"/>
      <c r="N1573" s="33"/>
    </row>
    <row r="1574" spans="3:14" x14ac:dyDescent="0.3">
      <c r="C1574" s="54"/>
      <c r="N1574" s="33"/>
    </row>
    <row r="1575" spans="3:14" x14ac:dyDescent="0.3">
      <c r="C1575" s="54"/>
      <c r="N1575" s="33"/>
    </row>
    <row r="1576" spans="3:14" x14ac:dyDescent="0.3">
      <c r="C1576" s="54"/>
      <c r="N1576" s="33"/>
    </row>
    <row r="1577" spans="3:14" x14ac:dyDescent="0.3">
      <c r="C1577" s="54"/>
      <c r="N1577" s="33"/>
    </row>
    <row r="1578" spans="3:14" x14ac:dyDescent="0.3">
      <c r="C1578" s="54"/>
      <c r="N1578" s="33"/>
    </row>
    <row r="1579" spans="3:14" x14ac:dyDescent="0.3">
      <c r="C1579" s="54"/>
      <c r="N1579" s="33"/>
    </row>
    <row r="1580" spans="3:14" x14ac:dyDescent="0.3">
      <c r="C1580" s="54"/>
      <c r="N1580" s="33"/>
    </row>
    <row r="1581" spans="3:14" x14ac:dyDescent="0.3">
      <c r="C1581" s="54"/>
      <c r="N1581" s="33"/>
    </row>
    <row r="1582" spans="3:14" x14ac:dyDescent="0.3">
      <c r="C1582" s="54"/>
      <c r="N1582" s="33"/>
    </row>
    <row r="1583" spans="3:14" x14ac:dyDescent="0.3">
      <c r="C1583" s="54"/>
      <c r="N1583" s="33"/>
    </row>
    <row r="1584" spans="3:14" x14ac:dyDescent="0.3">
      <c r="C1584" s="54"/>
      <c r="N1584" s="33"/>
    </row>
    <row r="1585" spans="3:14" x14ac:dyDescent="0.3">
      <c r="C1585" s="54"/>
      <c r="N1585" s="33"/>
    </row>
    <row r="1586" spans="3:14" x14ac:dyDescent="0.3">
      <c r="C1586" s="54"/>
      <c r="N1586" s="33"/>
    </row>
    <row r="1587" spans="3:14" x14ac:dyDescent="0.3">
      <c r="C1587" s="54"/>
      <c r="N1587" s="33"/>
    </row>
    <row r="1588" spans="3:14" x14ac:dyDescent="0.3">
      <c r="C1588" s="54"/>
      <c r="N1588" s="33"/>
    </row>
    <row r="1589" spans="3:14" x14ac:dyDescent="0.3">
      <c r="C1589" s="54"/>
      <c r="N1589" s="33"/>
    </row>
    <row r="1590" spans="3:14" x14ac:dyDescent="0.3">
      <c r="C1590" s="54"/>
      <c r="N1590" s="33"/>
    </row>
    <row r="1591" spans="3:14" x14ac:dyDescent="0.3">
      <c r="C1591" s="54"/>
      <c r="N1591" s="33"/>
    </row>
    <row r="1592" spans="3:14" x14ac:dyDescent="0.3">
      <c r="C1592" s="54"/>
      <c r="N1592" s="33"/>
    </row>
    <row r="1593" spans="3:14" x14ac:dyDescent="0.3">
      <c r="C1593" s="54"/>
      <c r="N1593" s="33"/>
    </row>
    <row r="1594" spans="3:14" x14ac:dyDescent="0.3">
      <c r="C1594" s="54"/>
      <c r="N1594" s="33"/>
    </row>
    <row r="1595" spans="3:14" x14ac:dyDescent="0.3">
      <c r="C1595" s="54"/>
      <c r="N1595" s="33"/>
    </row>
    <row r="1596" spans="3:14" x14ac:dyDescent="0.3">
      <c r="C1596" s="54"/>
      <c r="N1596" s="33"/>
    </row>
    <row r="1597" spans="3:14" x14ac:dyDescent="0.3">
      <c r="C1597" s="54"/>
      <c r="N1597" s="33"/>
    </row>
    <row r="1598" spans="3:14" x14ac:dyDescent="0.3">
      <c r="C1598" s="54"/>
      <c r="N1598" s="33"/>
    </row>
    <row r="1599" spans="3:14" x14ac:dyDescent="0.3">
      <c r="C1599" s="54"/>
      <c r="N1599" s="33"/>
    </row>
    <row r="1600" spans="3:14" x14ac:dyDescent="0.3">
      <c r="C1600" s="54"/>
      <c r="N1600" s="33"/>
    </row>
    <row r="1601" spans="3:14" x14ac:dyDescent="0.3">
      <c r="C1601" s="54"/>
      <c r="N1601" s="33"/>
    </row>
    <row r="1602" spans="3:14" x14ac:dyDescent="0.3">
      <c r="C1602" s="54"/>
      <c r="N1602" s="33"/>
    </row>
    <row r="1603" spans="3:14" x14ac:dyDescent="0.3">
      <c r="C1603" s="54"/>
      <c r="N1603" s="33"/>
    </row>
    <row r="1604" spans="3:14" x14ac:dyDescent="0.3">
      <c r="C1604" s="54"/>
      <c r="N1604" s="33"/>
    </row>
    <row r="1605" spans="3:14" x14ac:dyDescent="0.3">
      <c r="C1605" s="54"/>
      <c r="N1605" s="33"/>
    </row>
    <row r="1606" spans="3:14" x14ac:dyDescent="0.3">
      <c r="C1606" s="54"/>
      <c r="N1606" s="33"/>
    </row>
    <row r="1607" spans="3:14" x14ac:dyDescent="0.3">
      <c r="C1607" s="54"/>
      <c r="N1607" s="33"/>
    </row>
    <row r="1608" spans="3:14" x14ac:dyDescent="0.3">
      <c r="C1608" s="54"/>
      <c r="N1608" s="33"/>
    </row>
    <row r="1609" spans="3:14" x14ac:dyDescent="0.3">
      <c r="C1609" s="54"/>
      <c r="N1609" s="33"/>
    </row>
    <row r="1610" spans="3:14" x14ac:dyDescent="0.3">
      <c r="C1610" s="54"/>
      <c r="N1610" s="33"/>
    </row>
    <row r="1611" spans="3:14" x14ac:dyDescent="0.3">
      <c r="C1611" s="54"/>
      <c r="N1611" s="33"/>
    </row>
    <row r="1612" spans="3:14" x14ac:dyDescent="0.3">
      <c r="C1612" s="54"/>
      <c r="N1612" s="33"/>
    </row>
    <row r="1613" spans="3:14" x14ac:dyDescent="0.3">
      <c r="C1613" s="54"/>
      <c r="N1613" s="33"/>
    </row>
    <row r="1614" spans="3:14" x14ac:dyDescent="0.3">
      <c r="C1614" s="54"/>
      <c r="N1614" s="33"/>
    </row>
    <row r="1615" spans="3:14" x14ac:dyDescent="0.3">
      <c r="C1615" s="54"/>
      <c r="N1615" s="33"/>
    </row>
    <row r="1616" spans="3:14" x14ac:dyDescent="0.3">
      <c r="C1616" s="54"/>
      <c r="N1616" s="33"/>
    </row>
    <row r="1617" spans="3:14" x14ac:dyDescent="0.3">
      <c r="C1617" s="54"/>
      <c r="N1617" s="33"/>
    </row>
    <row r="1618" spans="3:14" x14ac:dyDescent="0.3">
      <c r="C1618" s="54"/>
      <c r="N1618" s="33"/>
    </row>
    <row r="1619" spans="3:14" x14ac:dyDescent="0.3">
      <c r="C1619" s="54"/>
      <c r="N1619" s="33"/>
    </row>
    <row r="1620" spans="3:14" x14ac:dyDescent="0.3">
      <c r="C1620" s="54"/>
      <c r="N1620" s="33"/>
    </row>
    <row r="1621" spans="3:14" x14ac:dyDescent="0.3">
      <c r="C1621" s="54"/>
      <c r="N1621" s="33"/>
    </row>
    <row r="1622" spans="3:14" x14ac:dyDescent="0.3">
      <c r="C1622" s="54"/>
      <c r="N1622" s="33"/>
    </row>
    <row r="1623" spans="3:14" x14ac:dyDescent="0.3">
      <c r="C1623" s="54"/>
      <c r="N1623" s="33"/>
    </row>
    <row r="1624" spans="3:14" x14ac:dyDescent="0.3">
      <c r="C1624" s="54"/>
      <c r="N1624" s="33"/>
    </row>
    <row r="1625" spans="3:14" x14ac:dyDescent="0.3">
      <c r="C1625" s="54"/>
      <c r="N1625" s="33"/>
    </row>
    <row r="1626" spans="3:14" x14ac:dyDescent="0.3">
      <c r="C1626" s="54"/>
      <c r="N1626" s="33"/>
    </row>
    <row r="1627" spans="3:14" x14ac:dyDescent="0.3">
      <c r="C1627" s="54"/>
      <c r="N1627" s="33"/>
    </row>
    <row r="1628" spans="3:14" x14ac:dyDescent="0.3">
      <c r="C1628" s="54"/>
      <c r="N1628" s="33"/>
    </row>
    <row r="1629" spans="3:14" x14ac:dyDescent="0.3">
      <c r="C1629" s="54"/>
      <c r="N1629" s="33"/>
    </row>
    <row r="1630" spans="3:14" x14ac:dyDescent="0.3">
      <c r="C1630" s="54"/>
      <c r="N1630" s="33"/>
    </row>
    <row r="1631" spans="3:14" x14ac:dyDescent="0.3">
      <c r="C1631" s="54"/>
      <c r="N1631" s="33"/>
    </row>
    <row r="1632" spans="3:14" x14ac:dyDescent="0.3">
      <c r="C1632" s="54"/>
      <c r="N1632" s="33"/>
    </row>
    <row r="1633" spans="3:14" x14ac:dyDescent="0.3">
      <c r="C1633" s="54"/>
      <c r="N1633" s="33"/>
    </row>
    <row r="1634" spans="3:14" x14ac:dyDescent="0.3">
      <c r="C1634" s="54"/>
      <c r="N1634" s="33"/>
    </row>
    <row r="1635" spans="3:14" x14ac:dyDescent="0.3">
      <c r="C1635" s="54"/>
      <c r="N1635" s="33"/>
    </row>
    <row r="1636" spans="3:14" x14ac:dyDescent="0.3">
      <c r="C1636" s="54"/>
      <c r="N1636" s="33"/>
    </row>
    <row r="1637" spans="3:14" x14ac:dyDescent="0.3">
      <c r="C1637" s="54"/>
      <c r="N1637" s="33"/>
    </row>
    <row r="1638" spans="3:14" x14ac:dyDescent="0.3">
      <c r="C1638" s="54"/>
      <c r="N1638" s="33"/>
    </row>
    <row r="1639" spans="3:14" x14ac:dyDescent="0.3">
      <c r="C1639" s="54"/>
      <c r="N1639" s="33"/>
    </row>
    <row r="1640" spans="3:14" x14ac:dyDescent="0.3">
      <c r="C1640" s="54"/>
      <c r="N1640" s="33"/>
    </row>
    <row r="1641" spans="3:14" x14ac:dyDescent="0.3">
      <c r="C1641" s="54"/>
      <c r="N1641" s="33"/>
    </row>
    <row r="1642" spans="3:14" x14ac:dyDescent="0.3">
      <c r="C1642" s="54"/>
      <c r="N1642" s="33"/>
    </row>
    <row r="1643" spans="3:14" x14ac:dyDescent="0.3">
      <c r="C1643" s="54"/>
      <c r="N1643" s="33"/>
    </row>
    <row r="1644" spans="3:14" x14ac:dyDescent="0.3">
      <c r="C1644" s="54"/>
      <c r="N1644" s="33"/>
    </row>
    <row r="1645" spans="3:14" x14ac:dyDescent="0.3">
      <c r="C1645" s="54"/>
      <c r="N1645" s="33"/>
    </row>
    <row r="1646" spans="3:14" x14ac:dyDescent="0.3">
      <c r="C1646" s="54"/>
      <c r="N1646" s="33"/>
    </row>
    <row r="1647" spans="3:14" x14ac:dyDescent="0.3">
      <c r="C1647" s="54"/>
      <c r="N1647" s="33"/>
    </row>
    <row r="1648" spans="3:14" x14ac:dyDescent="0.3">
      <c r="C1648" s="54"/>
      <c r="N1648" s="33"/>
    </row>
    <row r="1649" spans="3:14" x14ac:dyDescent="0.3">
      <c r="C1649" s="54"/>
      <c r="N1649" s="33"/>
    </row>
    <row r="1650" spans="3:14" x14ac:dyDescent="0.3">
      <c r="C1650" s="54"/>
      <c r="N1650" s="33"/>
    </row>
    <row r="1651" spans="3:14" x14ac:dyDescent="0.3">
      <c r="C1651" s="54"/>
      <c r="N1651" s="33"/>
    </row>
    <row r="1652" spans="3:14" x14ac:dyDescent="0.3">
      <c r="C1652" s="54"/>
      <c r="N1652" s="33"/>
    </row>
    <row r="1653" spans="3:14" x14ac:dyDescent="0.3">
      <c r="C1653" s="54"/>
      <c r="N1653" s="33"/>
    </row>
    <row r="1654" spans="3:14" x14ac:dyDescent="0.3">
      <c r="C1654" s="54"/>
      <c r="N1654" s="33"/>
    </row>
    <row r="1655" spans="3:14" x14ac:dyDescent="0.3">
      <c r="C1655" s="54"/>
      <c r="N1655" s="33"/>
    </row>
    <row r="1656" spans="3:14" x14ac:dyDescent="0.3">
      <c r="C1656" s="54"/>
      <c r="N1656" s="33"/>
    </row>
    <row r="1657" spans="3:14" x14ac:dyDescent="0.3">
      <c r="C1657" s="54"/>
      <c r="N1657" s="33"/>
    </row>
    <row r="1658" spans="3:14" x14ac:dyDescent="0.3">
      <c r="C1658" s="54"/>
      <c r="N1658" s="33"/>
    </row>
    <row r="1659" spans="3:14" x14ac:dyDescent="0.3">
      <c r="C1659" s="54"/>
      <c r="N1659" s="33"/>
    </row>
    <row r="1660" spans="3:14" x14ac:dyDescent="0.3">
      <c r="C1660" s="54"/>
      <c r="N1660" s="33"/>
    </row>
    <row r="1661" spans="3:14" x14ac:dyDescent="0.3">
      <c r="C1661" s="54"/>
      <c r="N1661" s="33"/>
    </row>
    <row r="1662" spans="3:14" x14ac:dyDescent="0.3">
      <c r="C1662" s="54"/>
      <c r="N1662" s="33"/>
    </row>
    <row r="1663" spans="3:14" x14ac:dyDescent="0.3">
      <c r="C1663" s="54"/>
      <c r="N1663" s="33"/>
    </row>
    <row r="1664" spans="3:14" x14ac:dyDescent="0.3">
      <c r="C1664" s="54"/>
      <c r="N1664" s="33"/>
    </row>
    <row r="1665" spans="3:14" x14ac:dyDescent="0.3">
      <c r="C1665" s="54"/>
      <c r="N1665" s="33"/>
    </row>
    <row r="1666" spans="3:14" x14ac:dyDescent="0.3">
      <c r="C1666" s="54"/>
      <c r="N1666" s="33"/>
    </row>
    <row r="1667" spans="3:14" x14ac:dyDescent="0.3">
      <c r="C1667" s="54"/>
      <c r="N1667" s="33"/>
    </row>
    <row r="1668" spans="3:14" x14ac:dyDescent="0.3">
      <c r="C1668" s="54"/>
      <c r="N1668" s="33"/>
    </row>
    <row r="1669" spans="3:14" x14ac:dyDescent="0.3">
      <c r="C1669" s="54"/>
      <c r="N1669" s="33"/>
    </row>
    <row r="1670" spans="3:14" x14ac:dyDescent="0.3">
      <c r="C1670" s="54"/>
      <c r="N1670" s="33"/>
    </row>
    <row r="1671" spans="3:14" x14ac:dyDescent="0.3">
      <c r="C1671" s="54"/>
      <c r="N1671" s="33"/>
    </row>
    <row r="1672" spans="3:14" x14ac:dyDescent="0.3">
      <c r="C1672" s="54"/>
      <c r="N1672" s="33"/>
    </row>
    <row r="1673" spans="3:14" x14ac:dyDescent="0.3">
      <c r="C1673" s="54"/>
      <c r="N1673" s="33"/>
    </row>
    <row r="1674" spans="3:14" x14ac:dyDescent="0.3">
      <c r="C1674" s="54"/>
      <c r="N1674" s="33"/>
    </row>
    <row r="1675" spans="3:14" x14ac:dyDescent="0.3">
      <c r="C1675" s="54"/>
      <c r="N1675" s="33"/>
    </row>
    <row r="1676" spans="3:14" x14ac:dyDescent="0.3">
      <c r="C1676" s="54"/>
      <c r="N1676" s="33"/>
    </row>
    <row r="1677" spans="3:14" x14ac:dyDescent="0.3">
      <c r="C1677" s="54"/>
      <c r="N1677" s="33"/>
    </row>
    <row r="1678" spans="3:14" x14ac:dyDescent="0.3">
      <c r="C1678" s="54"/>
      <c r="N1678" s="33"/>
    </row>
    <row r="1679" spans="3:14" x14ac:dyDescent="0.3">
      <c r="C1679" s="54"/>
      <c r="N1679" s="33"/>
    </row>
    <row r="1680" spans="3:14" x14ac:dyDescent="0.3">
      <c r="C1680" s="54"/>
      <c r="N1680" s="33"/>
    </row>
    <row r="1681" spans="3:14" x14ac:dyDescent="0.3">
      <c r="C1681" s="54"/>
      <c r="N1681" s="33"/>
    </row>
    <row r="1682" spans="3:14" x14ac:dyDescent="0.3">
      <c r="C1682" s="54"/>
      <c r="N1682" s="33"/>
    </row>
    <row r="1683" spans="3:14" x14ac:dyDescent="0.3">
      <c r="C1683" s="54"/>
      <c r="N1683" s="33"/>
    </row>
    <row r="1684" spans="3:14" x14ac:dyDescent="0.3">
      <c r="C1684" s="54"/>
      <c r="N1684" s="33"/>
    </row>
    <row r="1685" spans="3:14" x14ac:dyDescent="0.3">
      <c r="C1685" s="54"/>
      <c r="N1685" s="33"/>
    </row>
    <row r="1686" spans="3:14" x14ac:dyDescent="0.3">
      <c r="C1686" s="54"/>
      <c r="N1686" s="33"/>
    </row>
    <row r="1687" spans="3:14" x14ac:dyDescent="0.3">
      <c r="C1687" s="54"/>
      <c r="N1687" s="33"/>
    </row>
    <row r="1688" spans="3:14" x14ac:dyDescent="0.3">
      <c r="C1688" s="54"/>
      <c r="N1688" s="33"/>
    </row>
    <row r="1689" spans="3:14" x14ac:dyDescent="0.3">
      <c r="C1689" s="54"/>
      <c r="N1689" s="33"/>
    </row>
    <row r="1690" spans="3:14" x14ac:dyDescent="0.3">
      <c r="C1690" s="54"/>
      <c r="N1690" s="33"/>
    </row>
    <row r="1691" spans="3:14" x14ac:dyDescent="0.3">
      <c r="C1691" s="54"/>
      <c r="N1691" s="33"/>
    </row>
    <row r="1692" spans="3:14" x14ac:dyDescent="0.3">
      <c r="C1692" s="54"/>
      <c r="N1692" s="33"/>
    </row>
    <row r="1693" spans="3:14" x14ac:dyDescent="0.3">
      <c r="C1693" s="54"/>
      <c r="N1693" s="33"/>
    </row>
    <row r="1694" spans="3:14" x14ac:dyDescent="0.3">
      <c r="C1694" s="54"/>
      <c r="N1694" s="33"/>
    </row>
    <row r="1695" spans="3:14" x14ac:dyDescent="0.3">
      <c r="C1695" s="54"/>
      <c r="N1695" s="33"/>
    </row>
    <row r="1696" spans="3:14" x14ac:dyDescent="0.3">
      <c r="C1696" s="54"/>
      <c r="N1696" s="33"/>
    </row>
    <row r="1697" spans="3:14" x14ac:dyDescent="0.3">
      <c r="C1697" s="54"/>
      <c r="N1697" s="33"/>
    </row>
    <row r="1698" spans="3:14" x14ac:dyDescent="0.3">
      <c r="C1698" s="54"/>
      <c r="N1698" s="33"/>
    </row>
    <row r="1699" spans="3:14" x14ac:dyDescent="0.3">
      <c r="C1699" s="54"/>
      <c r="N1699" s="33"/>
    </row>
    <row r="1700" spans="3:14" x14ac:dyDescent="0.3">
      <c r="C1700" s="54"/>
      <c r="N1700" s="33"/>
    </row>
    <row r="1701" spans="3:14" x14ac:dyDescent="0.3">
      <c r="C1701" s="54"/>
      <c r="N1701" s="33"/>
    </row>
    <row r="1702" spans="3:14" x14ac:dyDescent="0.3">
      <c r="C1702" s="54"/>
      <c r="N1702" s="33"/>
    </row>
    <row r="1703" spans="3:14" x14ac:dyDescent="0.3">
      <c r="C1703" s="54"/>
      <c r="N1703" s="33"/>
    </row>
    <row r="1704" spans="3:14" x14ac:dyDescent="0.3">
      <c r="C1704" s="54"/>
      <c r="N1704" s="33"/>
    </row>
    <row r="1705" spans="3:14" x14ac:dyDescent="0.3">
      <c r="C1705" s="54"/>
      <c r="N1705" s="33"/>
    </row>
    <row r="1706" spans="3:14" x14ac:dyDescent="0.3">
      <c r="C1706" s="54"/>
      <c r="N1706" s="33"/>
    </row>
    <row r="1707" spans="3:14" x14ac:dyDescent="0.3">
      <c r="C1707" s="54"/>
      <c r="N1707" s="33"/>
    </row>
    <row r="1708" spans="3:14" x14ac:dyDescent="0.3">
      <c r="C1708" s="54"/>
      <c r="N1708" s="33"/>
    </row>
    <row r="1709" spans="3:14" x14ac:dyDescent="0.3">
      <c r="C1709" s="54"/>
      <c r="N1709" s="33"/>
    </row>
    <row r="1710" spans="3:14" x14ac:dyDescent="0.3">
      <c r="C1710" s="54"/>
      <c r="N1710" s="33"/>
    </row>
    <row r="1711" spans="3:14" x14ac:dyDescent="0.3">
      <c r="C1711" s="54"/>
      <c r="N1711" s="33"/>
    </row>
    <row r="1712" spans="3:14" x14ac:dyDescent="0.3">
      <c r="C1712" s="54"/>
      <c r="N1712" s="33"/>
    </row>
    <row r="1713" spans="3:14" x14ac:dyDescent="0.3">
      <c r="C1713" s="54"/>
      <c r="N1713" s="33"/>
    </row>
    <row r="1714" spans="3:14" x14ac:dyDescent="0.3">
      <c r="C1714" s="54"/>
      <c r="N1714" s="33"/>
    </row>
    <row r="1715" spans="3:14" x14ac:dyDescent="0.3">
      <c r="C1715" s="54"/>
      <c r="N1715" s="33"/>
    </row>
    <row r="1716" spans="3:14" x14ac:dyDescent="0.3">
      <c r="C1716" s="54"/>
      <c r="N1716" s="33"/>
    </row>
    <row r="1717" spans="3:14" x14ac:dyDescent="0.3">
      <c r="C1717" s="54"/>
      <c r="N1717" s="33"/>
    </row>
    <row r="1718" spans="3:14" x14ac:dyDescent="0.3">
      <c r="C1718" s="54"/>
      <c r="N1718" s="33"/>
    </row>
    <row r="1719" spans="3:14" x14ac:dyDescent="0.3">
      <c r="C1719" s="54"/>
      <c r="N1719" s="33"/>
    </row>
    <row r="1720" spans="3:14" x14ac:dyDescent="0.3">
      <c r="C1720" s="54"/>
      <c r="N1720" s="33"/>
    </row>
    <row r="1721" spans="3:14" x14ac:dyDescent="0.3">
      <c r="C1721" s="54"/>
      <c r="N1721" s="33"/>
    </row>
    <row r="1722" spans="3:14" x14ac:dyDescent="0.3">
      <c r="C1722" s="54"/>
      <c r="N1722" s="33"/>
    </row>
    <row r="1723" spans="3:14" x14ac:dyDescent="0.3">
      <c r="C1723" s="54"/>
      <c r="N1723" s="33"/>
    </row>
    <row r="1724" spans="3:14" x14ac:dyDescent="0.3">
      <c r="C1724" s="54"/>
      <c r="N1724" s="33"/>
    </row>
    <row r="1725" spans="3:14" x14ac:dyDescent="0.3">
      <c r="C1725" s="54"/>
      <c r="N1725" s="33"/>
    </row>
    <row r="1726" spans="3:14" x14ac:dyDescent="0.3">
      <c r="C1726" s="54"/>
      <c r="N1726" s="33"/>
    </row>
    <row r="1727" spans="3:14" x14ac:dyDescent="0.3">
      <c r="C1727" s="54"/>
      <c r="N1727" s="33"/>
    </row>
    <row r="1728" spans="3:14" x14ac:dyDescent="0.3">
      <c r="C1728" s="54"/>
      <c r="N1728" s="33"/>
    </row>
    <row r="1729" spans="3:14" x14ac:dyDescent="0.3">
      <c r="C1729" s="54"/>
      <c r="N1729" s="33"/>
    </row>
    <row r="1730" spans="3:14" x14ac:dyDescent="0.3">
      <c r="C1730" s="54"/>
      <c r="N1730" s="33"/>
    </row>
    <row r="1731" spans="3:14" x14ac:dyDescent="0.3">
      <c r="C1731" s="54"/>
      <c r="N1731" s="33"/>
    </row>
    <row r="1732" spans="3:14" x14ac:dyDescent="0.3">
      <c r="C1732" s="54"/>
      <c r="N1732" s="33"/>
    </row>
    <row r="1733" spans="3:14" x14ac:dyDescent="0.3">
      <c r="C1733" s="54"/>
      <c r="N1733" s="33"/>
    </row>
    <row r="1734" spans="3:14" x14ac:dyDescent="0.3">
      <c r="C1734" s="54"/>
      <c r="N1734" s="33"/>
    </row>
    <row r="1735" spans="3:14" x14ac:dyDescent="0.3">
      <c r="C1735" s="54"/>
      <c r="N1735" s="33"/>
    </row>
    <row r="1736" spans="3:14" x14ac:dyDescent="0.3">
      <c r="C1736" s="54"/>
      <c r="N1736" s="33"/>
    </row>
    <row r="1737" spans="3:14" x14ac:dyDescent="0.3">
      <c r="C1737" s="54"/>
      <c r="N1737" s="33"/>
    </row>
    <row r="1738" spans="3:14" x14ac:dyDescent="0.3">
      <c r="C1738" s="54"/>
      <c r="N1738" s="33"/>
    </row>
    <row r="1739" spans="3:14" x14ac:dyDescent="0.3">
      <c r="C1739" s="54"/>
      <c r="N1739" s="33"/>
    </row>
    <row r="1740" spans="3:14" x14ac:dyDescent="0.3">
      <c r="C1740" s="54"/>
      <c r="N1740" s="33"/>
    </row>
    <row r="1741" spans="3:14" x14ac:dyDescent="0.3">
      <c r="C1741" s="54"/>
      <c r="N1741" s="33"/>
    </row>
    <row r="1742" spans="3:14" x14ac:dyDescent="0.3">
      <c r="C1742" s="54"/>
      <c r="N1742" s="33"/>
    </row>
    <row r="1743" spans="3:14" x14ac:dyDescent="0.3">
      <c r="C1743" s="54"/>
      <c r="N1743" s="33"/>
    </row>
    <row r="1744" spans="3:14" x14ac:dyDescent="0.3">
      <c r="C1744" s="54"/>
      <c r="N1744" s="33"/>
    </row>
    <row r="1745" spans="3:14" x14ac:dyDescent="0.3">
      <c r="C1745" s="54"/>
      <c r="N1745" s="33"/>
    </row>
    <row r="1746" spans="3:14" x14ac:dyDescent="0.3">
      <c r="C1746" s="54"/>
      <c r="N1746" s="33"/>
    </row>
    <row r="1747" spans="3:14" x14ac:dyDescent="0.3">
      <c r="C1747" s="54"/>
      <c r="N1747" s="33"/>
    </row>
    <row r="1748" spans="3:14" x14ac:dyDescent="0.3">
      <c r="C1748" s="54"/>
      <c r="N1748" s="33"/>
    </row>
    <row r="1749" spans="3:14" x14ac:dyDescent="0.3">
      <c r="C1749" s="54"/>
      <c r="N1749" s="33"/>
    </row>
    <row r="1750" spans="3:14" x14ac:dyDescent="0.3">
      <c r="C1750" s="54"/>
      <c r="N1750" s="33"/>
    </row>
    <row r="1751" spans="3:14" x14ac:dyDescent="0.3">
      <c r="C1751" s="54"/>
      <c r="N1751" s="33"/>
    </row>
    <row r="1752" spans="3:14" x14ac:dyDescent="0.3">
      <c r="C1752" s="54"/>
      <c r="N1752" s="33"/>
    </row>
    <row r="1753" spans="3:14" x14ac:dyDescent="0.3">
      <c r="C1753" s="54"/>
      <c r="N1753" s="33"/>
    </row>
    <row r="1754" spans="3:14" x14ac:dyDescent="0.3">
      <c r="C1754" s="54"/>
      <c r="N1754" s="33"/>
    </row>
    <row r="1755" spans="3:14" x14ac:dyDescent="0.3">
      <c r="C1755" s="54"/>
      <c r="N1755" s="33"/>
    </row>
    <row r="1756" spans="3:14" x14ac:dyDescent="0.3">
      <c r="C1756" s="54"/>
      <c r="N1756" s="33"/>
    </row>
    <row r="1757" spans="3:14" x14ac:dyDescent="0.3">
      <c r="C1757" s="54"/>
      <c r="N1757" s="33"/>
    </row>
    <row r="1758" spans="3:14" x14ac:dyDescent="0.3">
      <c r="C1758" s="54"/>
      <c r="N1758" s="33"/>
    </row>
    <row r="1759" spans="3:14" x14ac:dyDescent="0.3">
      <c r="C1759" s="54"/>
      <c r="N1759" s="33"/>
    </row>
    <row r="1760" spans="3:14" x14ac:dyDescent="0.3">
      <c r="C1760" s="54"/>
      <c r="N1760" s="33"/>
    </row>
    <row r="1761" spans="3:14" x14ac:dyDescent="0.3">
      <c r="C1761" s="54"/>
      <c r="N1761" s="33"/>
    </row>
    <row r="1762" spans="3:14" x14ac:dyDescent="0.3">
      <c r="C1762" s="54"/>
      <c r="N1762" s="33"/>
    </row>
    <row r="1763" spans="3:14" x14ac:dyDescent="0.3">
      <c r="C1763" s="54"/>
      <c r="N1763" s="33"/>
    </row>
    <row r="1764" spans="3:14" x14ac:dyDescent="0.3">
      <c r="C1764" s="54"/>
      <c r="N1764" s="33"/>
    </row>
    <row r="1765" spans="3:14" x14ac:dyDescent="0.3">
      <c r="C1765" s="54"/>
      <c r="N1765" s="33"/>
    </row>
    <row r="1766" spans="3:14" x14ac:dyDescent="0.3">
      <c r="C1766" s="54"/>
      <c r="N1766" s="33"/>
    </row>
    <row r="1767" spans="3:14" x14ac:dyDescent="0.3">
      <c r="C1767" s="54"/>
      <c r="N1767" s="33"/>
    </row>
    <row r="1768" spans="3:14" x14ac:dyDescent="0.3">
      <c r="C1768" s="54"/>
      <c r="N1768" s="33"/>
    </row>
    <row r="1769" spans="3:14" x14ac:dyDescent="0.3">
      <c r="C1769" s="54"/>
      <c r="N1769" s="33"/>
    </row>
    <row r="1770" spans="3:14" x14ac:dyDescent="0.3">
      <c r="C1770" s="54"/>
      <c r="N1770" s="33"/>
    </row>
    <row r="1771" spans="3:14" x14ac:dyDescent="0.3">
      <c r="C1771" s="54"/>
      <c r="N1771" s="33"/>
    </row>
    <row r="1772" spans="3:14" x14ac:dyDescent="0.3">
      <c r="C1772" s="54"/>
      <c r="N1772" s="33"/>
    </row>
    <row r="1773" spans="3:14" x14ac:dyDescent="0.3">
      <c r="C1773" s="54"/>
      <c r="N1773" s="33"/>
    </row>
    <row r="1774" spans="3:14" x14ac:dyDescent="0.3">
      <c r="C1774" s="54"/>
      <c r="N1774" s="33"/>
    </row>
    <row r="1775" spans="3:14" x14ac:dyDescent="0.3">
      <c r="C1775" s="54"/>
      <c r="N1775" s="33"/>
    </row>
    <row r="1776" spans="3:14" x14ac:dyDescent="0.3">
      <c r="C1776" s="54"/>
      <c r="N1776" s="33"/>
    </row>
    <row r="1777" spans="3:14" x14ac:dyDescent="0.3">
      <c r="C1777" s="54"/>
      <c r="N1777" s="33"/>
    </row>
    <row r="1778" spans="3:14" x14ac:dyDescent="0.3">
      <c r="C1778" s="54"/>
      <c r="N1778" s="33"/>
    </row>
    <row r="1779" spans="3:14" x14ac:dyDescent="0.3">
      <c r="C1779" s="54"/>
      <c r="N1779" s="33"/>
    </row>
    <row r="1780" spans="3:14" x14ac:dyDescent="0.3">
      <c r="C1780" s="54"/>
      <c r="N1780" s="33"/>
    </row>
    <row r="1781" spans="3:14" x14ac:dyDescent="0.3">
      <c r="C1781" s="54"/>
      <c r="N1781" s="33"/>
    </row>
    <row r="1782" spans="3:14" x14ac:dyDescent="0.3">
      <c r="C1782" s="54"/>
      <c r="N1782" s="33"/>
    </row>
    <row r="1783" spans="3:14" x14ac:dyDescent="0.3">
      <c r="C1783" s="54"/>
      <c r="N1783" s="33"/>
    </row>
    <row r="1784" spans="3:14" x14ac:dyDescent="0.3">
      <c r="C1784" s="54"/>
      <c r="N1784" s="33"/>
    </row>
    <row r="1785" spans="3:14" x14ac:dyDescent="0.3">
      <c r="C1785" s="54"/>
      <c r="N1785" s="33"/>
    </row>
    <row r="1786" spans="3:14" x14ac:dyDescent="0.3">
      <c r="C1786" s="54"/>
      <c r="N1786" s="33"/>
    </row>
    <row r="1787" spans="3:14" x14ac:dyDescent="0.3">
      <c r="C1787" s="54"/>
      <c r="N1787" s="33"/>
    </row>
    <row r="1788" spans="3:14" x14ac:dyDescent="0.3">
      <c r="C1788" s="54"/>
      <c r="N1788" s="33"/>
    </row>
    <row r="1789" spans="3:14" x14ac:dyDescent="0.3">
      <c r="C1789" s="54"/>
      <c r="N1789" s="33"/>
    </row>
    <row r="1790" spans="3:14" x14ac:dyDescent="0.3">
      <c r="C1790" s="54"/>
      <c r="N1790" s="33"/>
    </row>
    <row r="1791" spans="3:14" x14ac:dyDescent="0.3">
      <c r="C1791" s="54"/>
      <c r="N1791" s="33"/>
    </row>
    <row r="1792" spans="3:14" x14ac:dyDescent="0.3">
      <c r="C1792" s="54"/>
      <c r="N1792" s="33"/>
    </row>
    <row r="1793" spans="3:14" x14ac:dyDescent="0.3">
      <c r="C1793" s="54"/>
      <c r="N1793" s="33"/>
    </row>
    <row r="1794" spans="3:14" x14ac:dyDescent="0.3">
      <c r="C1794" s="54"/>
      <c r="N1794" s="33"/>
    </row>
    <row r="1795" spans="3:14" x14ac:dyDescent="0.3">
      <c r="C1795" s="54"/>
      <c r="N1795" s="33"/>
    </row>
    <row r="1796" spans="3:14" x14ac:dyDescent="0.3">
      <c r="C1796" s="54"/>
      <c r="N1796" s="33"/>
    </row>
    <row r="1797" spans="3:14" x14ac:dyDescent="0.3">
      <c r="C1797" s="54"/>
      <c r="N1797" s="33"/>
    </row>
    <row r="1798" spans="3:14" x14ac:dyDescent="0.3">
      <c r="C1798" s="54"/>
      <c r="N1798" s="33"/>
    </row>
    <row r="1799" spans="3:14" x14ac:dyDescent="0.3">
      <c r="C1799" s="54"/>
      <c r="N1799" s="33"/>
    </row>
    <row r="1800" spans="3:14" x14ac:dyDescent="0.3">
      <c r="C1800" s="54"/>
      <c r="N1800" s="33"/>
    </row>
    <row r="1801" spans="3:14" x14ac:dyDescent="0.3">
      <c r="C1801" s="54"/>
      <c r="N1801" s="33"/>
    </row>
    <row r="1802" spans="3:14" x14ac:dyDescent="0.3">
      <c r="C1802" s="54"/>
      <c r="N1802" s="33"/>
    </row>
    <row r="1803" spans="3:14" x14ac:dyDescent="0.3">
      <c r="C1803" s="54"/>
      <c r="N1803" s="33"/>
    </row>
    <row r="1804" spans="3:14" x14ac:dyDescent="0.3">
      <c r="C1804" s="54"/>
      <c r="N1804" s="33"/>
    </row>
    <row r="1805" spans="3:14" x14ac:dyDescent="0.3">
      <c r="C1805" s="54"/>
      <c r="N1805" s="33"/>
    </row>
    <row r="1806" spans="3:14" x14ac:dyDescent="0.3">
      <c r="C1806" s="54"/>
      <c r="N1806" s="33"/>
    </row>
    <row r="1807" spans="3:14" x14ac:dyDescent="0.3">
      <c r="C1807" s="54"/>
      <c r="N1807" s="33"/>
    </row>
    <row r="1808" spans="3:14" x14ac:dyDescent="0.3">
      <c r="C1808" s="54"/>
      <c r="N1808" s="33"/>
    </row>
    <row r="1809" spans="3:14" x14ac:dyDescent="0.3">
      <c r="C1809" s="54"/>
      <c r="N1809" s="33"/>
    </row>
    <row r="1810" spans="3:14" x14ac:dyDescent="0.3">
      <c r="C1810" s="54"/>
      <c r="N1810" s="33"/>
    </row>
    <row r="1811" spans="3:14" x14ac:dyDescent="0.3">
      <c r="C1811" s="54"/>
      <c r="N1811" s="33"/>
    </row>
    <row r="1812" spans="3:14" x14ac:dyDescent="0.3">
      <c r="C1812" s="54"/>
      <c r="N1812" s="33"/>
    </row>
    <row r="1813" spans="3:14" x14ac:dyDescent="0.3">
      <c r="C1813" s="54"/>
      <c r="N1813" s="33"/>
    </row>
    <row r="1814" spans="3:14" x14ac:dyDescent="0.3">
      <c r="C1814" s="54"/>
      <c r="N1814" s="33"/>
    </row>
    <row r="1815" spans="3:14" x14ac:dyDescent="0.3">
      <c r="C1815" s="54"/>
      <c r="N1815" s="33"/>
    </row>
    <row r="1816" spans="3:14" x14ac:dyDescent="0.3">
      <c r="C1816" s="54"/>
      <c r="N1816" s="33"/>
    </row>
    <row r="1817" spans="3:14" x14ac:dyDescent="0.3">
      <c r="C1817" s="54"/>
      <c r="N1817" s="33"/>
    </row>
    <row r="1818" spans="3:14" x14ac:dyDescent="0.3">
      <c r="C1818" s="54"/>
      <c r="N1818" s="33"/>
    </row>
    <row r="1819" spans="3:14" x14ac:dyDescent="0.3">
      <c r="C1819" s="54"/>
      <c r="N1819" s="33"/>
    </row>
    <row r="1820" spans="3:14" x14ac:dyDescent="0.3">
      <c r="C1820" s="54"/>
      <c r="N1820" s="33"/>
    </row>
    <row r="1821" spans="3:14" x14ac:dyDescent="0.3">
      <c r="C1821" s="54"/>
      <c r="N1821" s="33"/>
    </row>
    <row r="1822" spans="3:14" x14ac:dyDescent="0.3">
      <c r="C1822" s="54"/>
      <c r="N1822" s="33"/>
    </row>
    <row r="1823" spans="3:14" x14ac:dyDescent="0.3">
      <c r="C1823" s="54"/>
      <c r="N1823" s="33"/>
    </row>
    <row r="1824" spans="3:14" x14ac:dyDescent="0.3">
      <c r="C1824" s="54"/>
      <c r="N1824" s="33"/>
    </row>
    <row r="1825" spans="3:14" x14ac:dyDescent="0.3">
      <c r="C1825" s="54"/>
      <c r="N1825" s="33"/>
    </row>
    <row r="1826" spans="3:14" x14ac:dyDescent="0.3">
      <c r="C1826" s="54"/>
      <c r="N1826" s="33"/>
    </row>
    <row r="1827" spans="3:14" x14ac:dyDescent="0.3">
      <c r="C1827" s="54"/>
      <c r="N1827" s="33"/>
    </row>
    <row r="1828" spans="3:14" x14ac:dyDescent="0.3">
      <c r="C1828" s="54"/>
      <c r="N1828" s="33"/>
    </row>
    <row r="1829" spans="3:14" x14ac:dyDescent="0.3">
      <c r="C1829" s="54"/>
      <c r="N1829" s="33"/>
    </row>
    <row r="1830" spans="3:14" x14ac:dyDescent="0.3">
      <c r="C1830" s="54"/>
      <c r="N1830" s="33"/>
    </row>
    <row r="1831" spans="3:14" x14ac:dyDescent="0.3">
      <c r="C1831" s="54"/>
      <c r="N1831" s="33"/>
    </row>
    <row r="1832" spans="3:14" x14ac:dyDescent="0.3">
      <c r="C1832" s="54"/>
      <c r="N1832" s="33"/>
    </row>
    <row r="1833" spans="3:14" x14ac:dyDescent="0.3">
      <c r="C1833" s="54"/>
      <c r="N1833" s="33"/>
    </row>
    <row r="1834" spans="3:14" x14ac:dyDescent="0.3">
      <c r="C1834" s="54"/>
      <c r="N1834" s="33"/>
    </row>
    <row r="1835" spans="3:14" x14ac:dyDescent="0.3">
      <c r="C1835" s="54"/>
      <c r="N1835" s="33"/>
    </row>
    <row r="1836" spans="3:14" x14ac:dyDescent="0.3">
      <c r="C1836" s="54"/>
      <c r="N1836" s="33"/>
    </row>
    <row r="1837" spans="3:14" x14ac:dyDescent="0.3">
      <c r="C1837" s="54"/>
      <c r="N1837" s="33"/>
    </row>
    <row r="1838" spans="3:14" x14ac:dyDescent="0.3">
      <c r="C1838" s="54"/>
      <c r="N1838" s="33"/>
    </row>
    <row r="1839" spans="3:14" x14ac:dyDescent="0.3">
      <c r="C1839" s="54"/>
      <c r="N1839" s="33"/>
    </row>
    <row r="1840" spans="3:14" x14ac:dyDescent="0.3">
      <c r="C1840" s="54"/>
      <c r="N1840" s="33"/>
    </row>
    <row r="1841" spans="3:14" x14ac:dyDescent="0.3">
      <c r="C1841" s="54"/>
      <c r="N1841" s="33"/>
    </row>
    <row r="1842" spans="3:14" x14ac:dyDescent="0.3">
      <c r="C1842" s="54"/>
      <c r="N1842" s="33"/>
    </row>
    <row r="1843" spans="3:14" x14ac:dyDescent="0.3">
      <c r="C1843" s="54"/>
      <c r="N1843" s="33"/>
    </row>
    <row r="1844" spans="3:14" x14ac:dyDescent="0.3">
      <c r="C1844" s="54"/>
      <c r="N1844" s="33"/>
    </row>
    <row r="1845" spans="3:14" x14ac:dyDescent="0.3">
      <c r="C1845" s="54"/>
      <c r="N1845" s="33"/>
    </row>
    <row r="1846" spans="3:14" x14ac:dyDescent="0.3">
      <c r="C1846" s="54"/>
      <c r="N1846" s="33"/>
    </row>
    <row r="1847" spans="3:14" x14ac:dyDescent="0.3">
      <c r="C1847" s="54"/>
      <c r="N1847" s="33"/>
    </row>
    <row r="1848" spans="3:14" x14ac:dyDescent="0.3">
      <c r="C1848" s="54"/>
      <c r="N1848" s="33"/>
    </row>
    <row r="1849" spans="3:14" x14ac:dyDescent="0.3">
      <c r="C1849" s="54"/>
      <c r="N1849" s="33"/>
    </row>
    <row r="1850" spans="3:14" x14ac:dyDescent="0.3">
      <c r="C1850" s="54"/>
      <c r="N1850" s="33"/>
    </row>
    <row r="1851" spans="3:14" x14ac:dyDescent="0.3">
      <c r="C1851" s="54"/>
      <c r="N1851" s="33"/>
    </row>
    <row r="1852" spans="3:14" x14ac:dyDescent="0.3">
      <c r="C1852" s="54"/>
      <c r="N1852" s="33"/>
    </row>
    <row r="1853" spans="3:14" x14ac:dyDescent="0.3">
      <c r="C1853" s="54"/>
      <c r="N1853" s="33"/>
    </row>
    <row r="1854" spans="3:14" x14ac:dyDescent="0.3">
      <c r="C1854" s="54"/>
      <c r="N1854" s="33"/>
    </row>
    <row r="1855" spans="3:14" x14ac:dyDescent="0.3">
      <c r="C1855" s="54"/>
      <c r="N1855" s="33"/>
    </row>
    <row r="1856" spans="3:14" x14ac:dyDescent="0.3">
      <c r="C1856" s="54"/>
      <c r="N1856" s="33"/>
    </row>
    <row r="1857" spans="3:14" x14ac:dyDescent="0.3">
      <c r="C1857" s="54"/>
      <c r="N1857" s="33"/>
    </row>
    <row r="1858" spans="3:14" x14ac:dyDescent="0.3">
      <c r="C1858" s="54"/>
      <c r="N1858" s="33"/>
    </row>
    <row r="1859" spans="3:14" x14ac:dyDescent="0.3">
      <c r="C1859" s="54"/>
      <c r="N1859" s="33"/>
    </row>
    <row r="1860" spans="3:14" x14ac:dyDescent="0.3">
      <c r="C1860" s="54"/>
      <c r="N1860" s="33"/>
    </row>
    <row r="1861" spans="3:14" x14ac:dyDescent="0.3">
      <c r="C1861" s="54"/>
      <c r="N1861" s="33"/>
    </row>
    <row r="1862" spans="3:14" x14ac:dyDescent="0.3">
      <c r="C1862" s="54"/>
      <c r="N1862" s="33"/>
    </row>
    <row r="1863" spans="3:14" x14ac:dyDescent="0.3">
      <c r="C1863" s="54"/>
      <c r="N1863" s="33"/>
    </row>
    <row r="1864" spans="3:14" x14ac:dyDescent="0.3">
      <c r="C1864" s="54"/>
      <c r="N1864" s="33"/>
    </row>
    <row r="1865" spans="3:14" x14ac:dyDescent="0.3">
      <c r="C1865" s="54"/>
      <c r="N1865" s="33"/>
    </row>
    <row r="1866" spans="3:14" x14ac:dyDescent="0.3">
      <c r="C1866" s="54"/>
      <c r="N1866" s="33"/>
    </row>
    <row r="1867" spans="3:14" x14ac:dyDescent="0.3">
      <c r="C1867" s="54"/>
      <c r="N1867" s="33"/>
    </row>
    <row r="1868" spans="3:14" x14ac:dyDescent="0.3">
      <c r="C1868" s="54"/>
      <c r="N1868" s="33"/>
    </row>
    <row r="1869" spans="3:14" x14ac:dyDescent="0.3">
      <c r="C1869" s="54"/>
      <c r="N1869" s="33"/>
    </row>
    <row r="1870" spans="3:14" x14ac:dyDescent="0.3">
      <c r="C1870" s="54"/>
      <c r="N1870" s="33"/>
    </row>
    <row r="1871" spans="3:14" x14ac:dyDescent="0.3">
      <c r="C1871" s="54"/>
      <c r="N1871" s="33"/>
    </row>
    <row r="1872" spans="3:14" x14ac:dyDescent="0.3">
      <c r="C1872" s="54"/>
      <c r="N1872" s="33"/>
    </row>
    <row r="1873" spans="3:14" x14ac:dyDescent="0.3">
      <c r="C1873" s="54"/>
      <c r="N1873" s="33"/>
    </row>
    <row r="1874" spans="3:14" x14ac:dyDescent="0.3">
      <c r="C1874" s="54"/>
      <c r="N1874" s="33"/>
    </row>
    <row r="1875" spans="3:14" x14ac:dyDescent="0.3">
      <c r="C1875" s="54"/>
      <c r="N1875" s="33"/>
    </row>
    <row r="1876" spans="3:14" x14ac:dyDescent="0.3">
      <c r="C1876" s="54"/>
      <c r="N1876" s="33"/>
    </row>
    <row r="1877" spans="3:14" x14ac:dyDescent="0.3">
      <c r="C1877" s="54"/>
      <c r="N1877" s="33"/>
    </row>
    <row r="1878" spans="3:14" x14ac:dyDescent="0.3">
      <c r="C1878" s="54"/>
      <c r="N1878" s="33"/>
    </row>
    <row r="1879" spans="3:14" x14ac:dyDescent="0.3">
      <c r="C1879" s="54"/>
      <c r="N1879" s="33"/>
    </row>
    <row r="1880" spans="3:14" x14ac:dyDescent="0.3">
      <c r="C1880" s="54"/>
      <c r="N1880" s="33"/>
    </row>
    <row r="1881" spans="3:14" x14ac:dyDescent="0.3">
      <c r="C1881" s="54"/>
      <c r="N1881" s="33"/>
    </row>
    <row r="1882" spans="3:14" x14ac:dyDescent="0.3">
      <c r="C1882" s="54"/>
      <c r="N1882" s="33"/>
    </row>
    <row r="1883" spans="3:14" x14ac:dyDescent="0.3">
      <c r="C1883" s="54"/>
      <c r="N1883" s="33"/>
    </row>
    <row r="1884" spans="3:14" x14ac:dyDescent="0.3">
      <c r="C1884" s="54"/>
      <c r="N1884" s="33"/>
    </row>
    <row r="1885" spans="3:14" x14ac:dyDescent="0.3">
      <c r="C1885" s="54"/>
      <c r="N1885" s="33"/>
    </row>
    <row r="1886" spans="3:14" x14ac:dyDescent="0.3">
      <c r="C1886" s="54"/>
      <c r="N1886" s="33"/>
    </row>
    <row r="1887" spans="3:14" x14ac:dyDescent="0.3">
      <c r="C1887" s="54"/>
      <c r="N1887" s="33"/>
    </row>
    <row r="1888" spans="3:14" x14ac:dyDescent="0.3">
      <c r="C1888" s="54"/>
      <c r="N1888" s="33"/>
    </row>
    <row r="1889" spans="3:14" x14ac:dyDescent="0.3">
      <c r="C1889" s="54"/>
      <c r="N1889" s="33"/>
    </row>
    <row r="1890" spans="3:14" x14ac:dyDescent="0.3">
      <c r="C1890" s="54"/>
      <c r="N1890" s="33"/>
    </row>
    <row r="1891" spans="3:14" x14ac:dyDescent="0.3">
      <c r="C1891" s="54"/>
      <c r="N1891" s="33"/>
    </row>
    <row r="1892" spans="3:14" x14ac:dyDescent="0.3">
      <c r="C1892" s="54"/>
      <c r="N1892" s="33"/>
    </row>
    <row r="1893" spans="3:14" x14ac:dyDescent="0.3">
      <c r="C1893" s="54"/>
      <c r="N1893" s="33"/>
    </row>
    <row r="1894" spans="3:14" x14ac:dyDescent="0.3">
      <c r="C1894" s="54"/>
      <c r="N1894" s="33"/>
    </row>
    <row r="1895" spans="3:14" x14ac:dyDescent="0.3">
      <c r="C1895" s="54"/>
      <c r="N1895" s="33"/>
    </row>
    <row r="1896" spans="3:14" x14ac:dyDescent="0.3">
      <c r="C1896" s="54"/>
      <c r="N1896" s="33"/>
    </row>
    <row r="1897" spans="3:14" x14ac:dyDescent="0.3">
      <c r="C1897" s="54"/>
      <c r="N1897" s="33"/>
    </row>
    <row r="1898" spans="3:14" x14ac:dyDescent="0.3">
      <c r="C1898" s="54"/>
      <c r="N1898" s="33"/>
    </row>
    <row r="1899" spans="3:14" x14ac:dyDescent="0.3">
      <c r="C1899" s="54"/>
      <c r="N1899" s="33"/>
    </row>
    <row r="1900" spans="3:14" x14ac:dyDescent="0.3">
      <c r="C1900" s="54"/>
      <c r="N1900" s="33"/>
    </row>
    <row r="1901" spans="3:14" x14ac:dyDescent="0.3">
      <c r="C1901" s="54"/>
      <c r="N1901" s="33"/>
    </row>
    <row r="1902" spans="3:14" x14ac:dyDescent="0.3">
      <c r="C1902" s="54"/>
      <c r="N1902" s="33"/>
    </row>
    <row r="1903" spans="3:14" x14ac:dyDescent="0.3">
      <c r="C1903" s="54"/>
      <c r="N1903" s="33"/>
    </row>
    <row r="1904" spans="3:14" x14ac:dyDescent="0.3">
      <c r="C1904" s="54"/>
      <c r="N1904" s="33"/>
    </row>
    <row r="1905" spans="3:14" x14ac:dyDescent="0.3">
      <c r="C1905" s="54"/>
      <c r="N1905" s="33"/>
    </row>
    <row r="1906" spans="3:14" x14ac:dyDescent="0.3">
      <c r="C1906" s="54"/>
      <c r="N1906" s="33"/>
    </row>
    <row r="1907" spans="3:14" x14ac:dyDescent="0.3">
      <c r="C1907" s="54"/>
      <c r="N1907" s="33"/>
    </row>
    <row r="1908" spans="3:14" x14ac:dyDescent="0.3">
      <c r="C1908" s="54"/>
      <c r="N1908" s="33"/>
    </row>
    <row r="1909" spans="3:14" x14ac:dyDescent="0.3">
      <c r="C1909" s="54"/>
      <c r="N1909" s="33"/>
    </row>
    <row r="1910" spans="3:14" x14ac:dyDescent="0.3">
      <c r="C1910" s="54"/>
      <c r="N1910" s="33"/>
    </row>
    <row r="1911" spans="3:14" x14ac:dyDescent="0.3">
      <c r="C1911" s="54"/>
      <c r="N1911" s="33"/>
    </row>
    <row r="1912" spans="3:14" x14ac:dyDescent="0.3">
      <c r="C1912" s="54"/>
      <c r="N1912" s="33"/>
    </row>
    <row r="1913" spans="3:14" x14ac:dyDescent="0.3">
      <c r="C1913" s="54"/>
      <c r="N1913" s="33"/>
    </row>
    <row r="1914" spans="3:14" x14ac:dyDescent="0.3">
      <c r="C1914" s="54"/>
      <c r="N1914" s="33"/>
    </row>
    <row r="1915" spans="3:14" x14ac:dyDescent="0.3">
      <c r="C1915" s="54"/>
      <c r="N1915" s="33"/>
    </row>
    <row r="1916" spans="3:14" x14ac:dyDescent="0.3">
      <c r="C1916" s="54"/>
      <c r="N1916" s="33"/>
    </row>
    <row r="1917" spans="3:14" x14ac:dyDescent="0.3">
      <c r="C1917" s="54"/>
      <c r="N1917" s="33"/>
    </row>
    <row r="1918" spans="3:14" x14ac:dyDescent="0.3">
      <c r="C1918" s="54"/>
      <c r="N1918" s="33"/>
    </row>
    <row r="1919" spans="3:14" x14ac:dyDescent="0.3">
      <c r="C1919" s="54"/>
      <c r="N1919" s="33"/>
    </row>
    <row r="1920" spans="3:14" x14ac:dyDescent="0.3">
      <c r="C1920" s="54"/>
      <c r="N1920" s="33"/>
    </row>
    <row r="1921" spans="3:14" x14ac:dyDescent="0.3">
      <c r="C1921" s="54"/>
      <c r="N1921" s="33"/>
    </row>
    <row r="1922" spans="3:14" x14ac:dyDescent="0.3">
      <c r="C1922" s="54"/>
      <c r="N1922" s="33"/>
    </row>
    <row r="1923" spans="3:14" x14ac:dyDescent="0.3">
      <c r="C1923" s="54"/>
      <c r="N1923" s="33"/>
    </row>
    <row r="1924" spans="3:14" x14ac:dyDescent="0.3">
      <c r="C1924" s="54"/>
      <c r="N1924" s="33"/>
    </row>
    <row r="1925" spans="3:14" x14ac:dyDescent="0.3">
      <c r="C1925" s="54"/>
      <c r="N1925" s="33"/>
    </row>
    <row r="1926" spans="3:14" x14ac:dyDescent="0.3">
      <c r="C1926" s="54"/>
      <c r="N1926" s="33"/>
    </row>
    <row r="1927" spans="3:14" x14ac:dyDescent="0.3">
      <c r="C1927" s="54"/>
      <c r="N1927" s="33"/>
    </row>
    <row r="1928" spans="3:14" x14ac:dyDescent="0.3">
      <c r="C1928" s="54"/>
      <c r="N1928" s="33"/>
    </row>
    <row r="1929" spans="3:14" x14ac:dyDescent="0.3">
      <c r="C1929" s="54"/>
      <c r="N1929" s="33"/>
    </row>
    <row r="1930" spans="3:14" x14ac:dyDescent="0.3">
      <c r="C1930" s="54"/>
      <c r="N1930" s="33"/>
    </row>
    <row r="1931" spans="3:14" x14ac:dyDescent="0.3">
      <c r="C1931" s="54"/>
      <c r="N1931" s="33"/>
    </row>
    <row r="1932" spans="3:14" x14ac:dyDescent="0.3">
      <c r="C1932" s="54"/>
      <c r="N1932" s="33"/>
    </row>
    <row r="1933" spans="3:14" x14ac:dyDescent="0.3">
      <c r="C1933" s="54"/>
      <c r="N1933" s="33"/>
    </row>
    <row r="1934" spans="3:14" x14ac:dyDescent="0.3">
      <c r="C1934" s="54"/>
      <c r="N1934" s="33"/>
    </row>
    <row r="1935" spans="3:14" x14ac:dyDescent="0.3">
      <c r="C1935" s="54"/>
      <c r="N1935" s="33"/>
    </row>
    <row r="1936" spans="3:14" x14ac:dyDescent="0.3">
      <c r="C1936" s="54"/>
      <c r="N1936" s="33"/>
    </row>
    <row r="1937" spans="3:14" x14ac:dyDescent="0.3">
      <c r="C1937" s="54"/>
      <c r="N1937" s="33"/>
    </row>
    <row r="1938" spans="3:14" x14ac:dyDescent="0.3">
      <c r="C1938" s="54"/>
      <c r="N1938" s="33"/>
    </row>
    <row r="1939" spans="3:14" x14ac:dyDescent="0.3">
      <c r="C1939" s="54"/>
      <c r="N1939" s="33"/>
    </row>
    <row r="1940" spans="3:14" x14ac:dyDescent="0.3">
      <c r="C1940" s="54"/>
      <c r="N1940" s="33"/>
    </row>
    <row r="1941" spans="3:14" x14ac:dyDescent="0.3">
      <c r="C1941" s="54"/>
      <c r="N1941" s="33"/>
    </row>
    <row r="1942" spans="3:14" x14ac:dyDescent="0.3">
      <c r="C1942" s="54"/>
      <c r="N1942" s="33"/>
    </row>
    <row r="1943" spans="3:14" x14ac:dyDescent="0.3">
      <c r="C1943" s="54"/>
      <c r="N1943" s="33"/>
    </row>
    <row r="1944" spans="3:14" x14ac:dyDescent="0.3">
      <c r="C1944" s="54"/>
      <c r="N1944" s="33"/>
    </row>
    <row r="1945" spans="3:14" x14ac:dyDescent="0.3">
      <c r="C1945" s="54"/>
      <c r="N1945" s="33"/>
    </row>
    <row r="1946" spans="3:14" x14ac:dyDescent="0.3">
      <c r="C1946" s="54"/>
      <c r="N1946" s="33"/>
    </row>
    <row r="1947" spans="3:14" x14ac:dyDescent="0.3">
      <c r="C1947" s="54"/>
      <c r="N1947" s="33"/>
    </row>
    <row r="1948" spans="3:14" x14ac:dyDescent="0.3">
      <c r="C1948" s="54"/>
      <c r="N1948" s="33"/>
    </row>
    <row r="1949" spans="3:14" x14ac:dyDescent="0.3">
      <c r="C1949" s="54"/>
      <c r="N1949" s="33"/>
    </row>
    <row r="1950" spans="3:14" x14ac:dyDescent="0.3">
      <c r="C1950" s="54"/>
      <c r="N1950" s="33"/>
    </row>
    <row r="1951" spans="3:14" x14ac:dyDescent="0.3">
      <c r="C1951" s="54"/>
      <c r="N1951" s="33"/>
    </row>
    <row r="1952" spans="3:14" x14ac:dyDescent="0.3">
      <c r="C1952" s="54"/>
      <c r="N1952" s="33"/>
    </row>
    <row r="1953" spans="3:14" x14ac:dyDescent="0.3">
      <c r="C1953" s="54"/>
      <c r="N1953" s="33"/>
    </row>
    <row r="1954" spans="3:14" x14ac:dyDescent="0.3">
      <c r="C1954" s="54"/>
      <c r="N1954" s="33"/>
    </row>
    <row r="1955" spans="3:14" x14ac:dyDescent="0.3">
      <c r="C1955" s="54"/>
      <c r="N1955" s="33"/>
    </row>
    <row r="1956" spans="3:14" x14ac:dyDescent="0.3">
      <c r="C1956" s="54"/>
      <c r="N1956" s="33"/>
    </row>
    <row r="1957" spans="3:14" x14ac:dyDescent="0.3">
      <c r="C1957" s="54"/>
      <c r="N1957" s="33"/>
    </row>
    <row r="1958" spans="3:14" x14ac:dyDescent="0.3">
      <c r="C1958" s="54"/>
      <c r="N1958" s="33"/>
    </row>
    <row r="1959" spans="3:14" x14ac:dyDescent="0.3">
      <c r="C1959" s="54"/>
      <c r="N1959" s="33"/>
    </row>
    <row r="1960" spans="3:14" x14ac:dyDescent="0.3">
      <c r="C1960" s="54"/>
      <c r="N1960" s="33"/>
    </row>
    <row r="1961" spans="3:14" x14ac:dyDescent="0.3">
      <c r="C1961" s="54"/>
      <c r="N1961" s="33"/>
    </row>
    <row r="1962" spans="3:14" x14ac:dyDescent="0.3">
      <c r="C1962" s="54"/>
      <c r="N1962" s="33"/>
    </row>
    <row r="1963" spans="3:14" x14ac:dyDescent="0.3">
      <c r="C1963" s="54"/>
      <c r="N1963" s="33"/>
    </row>
    <row r="1964" spans="3:14" x14ac:dyDescent="0.3">
      <c r="C1964" s="54"/>
      <c r="N1964" s="33"/>
    </row>
    <row r="1965" spans="3:14" x14ac:dyDescent="0.3">
      <c r="C1965" s="54"/>
      <c r="N1965" s="33"/>
    </row>
    <row r="1966" spans="3:14" x14ac:dyDescent="0.3">
      <c r="C1966" s="54"/>
      <c r="N1966" s="33"/>
    </row>
    <row r="1967" spans="3:14" x14ac:dyDescent="0.3">
      <c r="C1967" s="54"/>
      <c r="N1967" s="33"/>
    </row>
    <row r="1968" spans="3:14" x14ac:dyDescent="0.3">
      <c r="C1968" s="54"/>
      <c r="N1968" s="33"/>
    </row>
    <row r="1969" spans="3:14" x14ac:dyDescent="0.3">
      <c r="C1969" s="54"/>
      <c r="N1969" s="33"/>
    </row>
    <row r="1970" spans="3:14" x14ac:dyDescent="0.3">
      <c r="C1970" s="54"/>
      <c r="N1970" s="33"/>
    </row>
    <row r="1971" spans="3:14" x14ac:dyDescent="0.3">
      <c r="C1971" s="54"/>
      <c r="N1971" s="33"/>
    </row>
    <row r="1972" spans="3:14" x14ac:dyDescent="0.3">
      <c r="C1972" s="54"/>
      <c r="N1972" s="33"/>
    </row>
    <row r="1973" spans="3:14" x14ac:dyDescent="0.3">
      <c r="C1973" s="54"/>
      <c r="N1973" s="33"/>
    </row>
    <row r="1974" spans="3:14" x14ac:dyDescent="0.3">
      <c r="C1974" s="54"/>
      <c r="N1974" s="33"/>
    </row>
    <row r="1975" spans="3:14" x14ac:dyDescent="0.3">
      <c r="C1975" s="54"/>
      <c r="N1975" s="33"/>
    </row>
    <row r="1976" spans="3:14" x14ac:dyDescent="0.3">
      <c r="C1976" s="54"/>
      <c r="N1976" s="33"/>
    </row>
    <row r="1977" spans="3:14" x14ac:dyDescent="0.3">
      <c r="C1977" s="54"/>
      <c r="N1977" s="33"/>
    </row>
    <row r="1978" spans="3:14" x14ac:dyDescent="0.3">
      <c r="C1978" s="54"/>
      <c r="N1978" s="33"/>
    </row>
    <row r="1979" spans="3:14" x14ac:dyDescent="0.3">
      <c r="C1979" s="54"/>
      <c r="N1979" s="33"/>
    </row>
    <row r="1980" spans="3:14" x14ac:dyDescent="0.3">
      <c r="C1980" s="54"/>
      <c r="N1980" s="33"/>
    </row>
    <row r="1981" spans="3:14" x14ac:dyDescent="0.3">
      <c r="C1981" s="54"/>
      <c r="N1981" s="33"/>
    </row>
    <row r="1982" spans="3:14" x14ac:dyDescent="0.3">
      <c r="C1982" s="54"/>
      <c r="N1982" s="33"/>
    </row>
    <row r="1983" spans="3:14" x14ac:dyDescent="0.3">
      <c r="C1983" s="54"/>
      <c r="N1983" s="33"/>
    </row>
    <row r="1984" spans="3:14" x14ac:dyDescent="0.3">
      <c r="C1984" s="54"/>
      <c r="N1984" s="33"/>
    </row>
    <row r="1985" spans="3:14" x14ac:dyDescent="0.3">
      <c r="C1985" s="54"/>
      <c r="N1985" s="33"/>
    </row>
    <row r="1986" spans="3:14" x14ac:dyDescent="0.3">
      <c r="C1986" s="54"/>
      <c r="N1986" s="33"/>
    </row>
    <row r="1987" spans="3:14" x14ac:dyDescent="0.3">
      <c r="C1987" s="54"/>
      <c r="N1987" s="33"/>
    </row>
    <row r="1988" spans="3:14" x14ac:dyDescent="0.3">
      <c r="C1988" s="54"/>
      <c r="N1988" s="33"/>
    </row>
    <row r="1989" spans="3:14" x14ac:dyDescent="0.3">
      <c r="C1989" s="54"/>
      <c r="N1989" s="33"/>
    </row>
    <row r="1990" spans="3:14" x14ac:dyDescent="0.3">
      <c r="C1990" s="54"/>
      <c r="N1990" s="33"/>
    </row>
    <row r="1991" spans="3:14" x14ac:dyDescent="0.3">
      <c r="C1991" s="54"/>
      <c r="N1991" s="33"/>
    </row>
    <row r="1992" spans="3:14" x14ac:dyDescent="0.3">
      <c r="C1992" s="54"/>
      <c r="N1992" s="33"/>
    </row>
    <row r="1993" spans="3:14" x14ac:dyDescent="0.3">
      <c r="C1993" s="54"/>
      <c r="N1993" s="33"/>
    </row>
    <row r="1994" spans="3:14" x14ac:dyDescent="0.3">
      <c r="C1994" s="54"/>
      <c r="N1994" s="33"/>
    </row>
    <row r="1995" spans="3:14" x14ac:dyDescent="0.3">
      <c r="C1995" s="54"/>
      <c r="N1995" s="33"/>
    </row>
    <row r="1996" spans="3:14" x14ac:dyDescent="0.3">
      <c r="C1996" s="54"/>
      <c r="N1996" s="33"/>
    </row>
    <row r="1997" spans="3:14" x14ac:dyDescent="0.3">
      <c r="C1997" s="54"/>
      <c r="N1997" s="33"/>
    </row>
    <row r="1998" spans="3:14" x14ac:dyDescent="0.3">
      <c r="C1998" s="54"/>
      <c r="N1998" s="33"/>
    </row>
    <row r="1999" spans="3:14" x14ac:dyDescent="0.3">
      <c r="C1999" s="54"/>
      <c r="N1999" s="33"/>
    </row>
    <row r="2000" spans="3:14" x14ac:dyDescent="0.3">
      <c r="C2000" s="54"/>
      <c r="N2000" s="33"/>
    </row>
    <row r="2001" spans="3:14" x14ac:dyDescent="0.3">
      <c r="C2001" s="54"/>
      <c r="N2001" s="33"/>
    </row>
    <row r="2002" spans="3:14" x14ac:dyDescent="0.3">
      <c r="C2002" s="54"/>
      <c r="N2002" s="33"/>
    </row>
    <row r="2003" spans="3:14" x14ac:dyDescent="0.3">
      <c r="C2003" s="54"/>
      <c r="N2003" s="33"/>
    </row>
    <row r="2004" spans="3:14" x14ac:dyDescent="0.3">
      <c r="C2004" s="54"/>
      <c r="N2004" s="33"/>
    </row>
    <row r="2005" spans="3:14" x14ac:dyDescent="0.3">
      <c r="C2005" s="54"/>
      <c r="N2005" s="33"/>
    </row>
    <row r="2006" spans="3:14" x14ac:dyDescent="0.3">
      <c r="C2006" s="54"/>
      <c r="N2006" s="33"/>
    </row>
    <row r="2007" spans="3:14" x14ac:dyDescent="0.3">
      <c r="C2007" s="54"/>
      <c r="N2007" s="33"/>
    </row>
    <row r="2008" spans="3:14" x14ac:dyDescent="0.3">
      <c r="C2008" s="54"/>
      <c r="N2008" s="33"/>
    </row>
    <row r="2009" spans="3:14" x14ac:dyDescent="0.3">
      <c r="C2009" s="54"/>
      <c r="N2009" s="33"/>
    </row>
    <row r="2010" spans="3:14" x14ac:dyDescent="0.3">
      <c r="C2010" s="54"/>
      <c r="N2010" s="33"/>
    </row>
    <row r="2011" spans="3:14" x14ac:dyDescent="0.3">
      <c r="C2011" s="54"/>
      <c r="N2011" s="33"/>
    </row>
    <row r="2012" spans="3:14" x14ac:dyDescent="0.3">
      <c r="C2012" s="54"/>
      <c r="N2012" s="33"/>
    </row>
    <row r="2013" spans="3:14" x14ac:dyDescent="0.3">
      <c r="C2013" s="54"/>
      <c r="N2013" s="33"/>
    </row>
    <row r="2014" spans="3:14" x14ac:dyDescent="0.3">
      <c r="C2014" s="54"/>
      <c r="N2014" s="33"/>
    </row>
    <row r="2015" spans="3:14" x14ac:dyDescent="0.3">
      <c r="C2015" s="54"/>
      <c r="N2015" s="33"/>
    </row>
    <row r="2016" spans="3:14" x14ac:dyDescent="0.3">
      <c r="C2016" s="54"/>
      <c r="N2016" s="33"/>
    </row>
    <row r="2017" spans="3:14" x14ac:dyDescent="0.3">
      <c r="C2017" s="54"/>
      <c r="N2017" s="33"/>
    </row>
    <row r="2018" spans="3:14" x14ac:dyDescent="0.3">
      <c r="C2018" s="54"/>
      <c r="N2018" s="33"/>
    </row>
    <row r="2019" spans="3:14" x14ac:dyDescent="0.3">
      <c r="C2019" s="54"/>
      <c r="N2019" s="33"/>
    </row>
    <row r="2020" spans="3:14" x14ac:dyDescent="0.3">
      <c r="C2020" s="54"/>
      <c r="N2020" s="33"/>
    </row>
    <row r="2021" spans="3:14" x14ac:dyDescent="0.3">
      <c r="C2021" s="54"/>
      <c r="N2021" s="33"/>
    </row>
    <row r="2022" spans="3:14" x14ac:dyDescent="0.3">
      <c r="C2022" s="54"/>
      <c r="N2022" s="33"/>
    </row>
    <row r="2023" spans="3:14" x14ac:dyDescent="0.3">
      <c r="C2023" s="54"/>
      <c r="N2023" s="33"/>
    </row>
    <row r="2024" spans="3:14" x14ac:dyDescent="0.3">
      <c r="C2024" s="54"/>
      <c r="N2024" s="33"/>
    </row>
    <row r="2025" spans="3:14" x14ac:dyDescent="0.3">
      <c r="C2025" s="54"/>
      <c r="N2025" s="33"/>
    </row>
    <row r="2026" spans="3:14" x14ac:dyDescent="0.3">
      <c r="C2026" s="54"/>
      <c r="N2026" s="33"/>
    </row>
    <row r="2027" spans="3:14" x14ac:dyDescent="0.3">
      <c r="C2027" s="54"/>
      <c r="N2027" s="33"/>
    </row>
    <row r="2028" spans="3:14" x14ac:dyDescent="0.3">
      <c r="C2028" s="54"/>
      <c r="N2028" s="33"/>
    </row>
    <row r="2029" spans="3:14" x14ac:dyDescent="0.3">
      <c r="C2029" s="54"/>
      <c r="N2029" s="33"/>
    </row>
    <row r="2030" spans="3:14" x14ac:dyDescent="0.3">
      <c r="C2030" s="54"/>
      <c r="N2030" s="33"/>
    </row>
    <row r="2031" spans="3:14" x14ac:dyDescent="0.3">
      <c r="C2031" s="54"/>
      <c r="N2031" s="33"/>
    </row>
    <row r="2032" spans="3:14" x14ac:dyDescent="0.3">
      <c r="C2032" s="54"/>
      <c r="N2032" s="33"/>
    </row>
    <row r="2033" spans="3:14" x14ac:dyDescent="0.3">
      <c r="C2033" s="54"/>
      <c r="N2033" s="33"/>
    </row>
    <row r="2034" spans="3:14" x14ac:dyDescent="0.3">
      <c r="C2034" s="54"/>
      <c r="N2034" s="33"/>
    </row>
    <row r="2035" spans="3:14" x14ac:dyDescent="0.3">
      <c r="C2035" s="54"/>
      <c r="N2035" s="33"/>
    </row>
    <row r="2036" spans="3:14" x14ac:dyDescent="0.3">
      <c r="C2036" s="54"/>
      <c r="N2036" s="33"/>
    </row>
    <row r="2037" spans="3:14" x14ac:dyDescent="0.3">
      <c r="C2037" s="54"/>
      <c r="N2037" s="33"/>
    </row>
    <row r="2038" spans="3:14" x14ac:dyDescent="0.3">
      <c r="C2038" s="54"/>
      <c r="N2038" s="33"/>
    </row>
    <row r="2039" spans="3:14" x14ac:dyDescent="0.3">
      <c r="C2039" s="54"/>
      <c r="N2039" s="33"/>
    </row>
    <row r="2040" spans="3:14" x14ac:dyDescent="0.3">
      <c r="C2040" s="54"/>
      <c r="N2040" s="33"/>
    </row>
    <row r="2041" spans="3:14" x14ac:dyDescent="0.3">
      <c r="C2041" s="54"/>
      <c r="N2041" s="33"/>
    </row>
    <row r="2042" spans="3:14" x14ac:dyDescent="0.3">
      <c r="C2042" s="54"/>
      <c r="N2042" s="33"/>
    </row>
    <row r="2043" spans="3:14" x14ac:dyDescent="0.3">
      <c r="C2043" s="54"/>
      <c r="N2043" s="33"/>
    </row>
    <row r="2044" spans="3:14" x14ac:dyDescent="0.3">
      <c r="C2044" s="54"/>
      <c r="N2044" s="33"/>
    </row>
    <row r="2045" spans="3:14" x14ac:dyDescent="0.3">
      <c r="C2045" s="54"/>
      <c r="N2045" s="33"/>
    </row>
    <row r="2046" spans="3:14" x14ac:dyDescent="0.3">
      <c r="C2046" s="54"/>
      <c r="N2046" s="33"/>
    </row>
    <row r="2047" spans="3:14" x14ac:dyDescent="0.3">
      <c r="C2047" s="54"/>
      <c r="N2047" s="33"/>
    </row>
    <row r="2048" spans="3:14" x14ac:dyDescent="0.3">
      <c r="C2048" s="54"/>
      <c r="N2048" s="33"/>
    </row>
    <row r="2049" spans="3:14" x14ac:dyDescent="0.3">
      <c r="C2049" s="54"/>
      <c r="N2049" s="33"/>
    </row>
    <row r="2050" spans="3:14" x14ac:dyDescent="0.3">
      <c r="C2050" s="54"/>
      <c r="N2050" s="33"/>
    </row>
    <row r="2051" spans="3:14" x14ac:dyDescent="0.3">
      <c r="C2051" s="54"/>
      <c r="N2051" s="33"/>
    </row>
    <row r="2052" spans="3:14" x14ac:dyDescent="0.3">
      <c r="C2052" s="54"/>
      <c r="N2052" s="33"/>
    </row>
    <row r="2053" spans="3:14" x14ac:dyDescent="0.3">
      <c r="C2053" s="54"/>
      <c r="N2053" s="33"/>
    </row>
    <row r="2054" spans="3:14" x14ac:dyDescent="0.3">
      <c r="C2054" s="54"/>
      <c r="N2054" s="33"/>
    </row>
    <row r="2055" spans="3:14" x14ac:dyDescent="0.3">
      <c r="C2055" s="54"/>
      <c r="N2055" s="33"/>
    </row>
    <row r="2056" spans="3:14" x14ac:dyDescent="0.3">
      <c r="C2056" s="54"/>
      <c r="N2056" s="33"/>
    </row>
    <row r="2057" spans="3:14" x14ac:dyDescent="0.3">
      <c r="C2057" s="54"/>
      <c r="N2057" s="33"/>
    </row>
    <row r="2058" spans="3:14" x14ac:dyDescent="0.3">
      <c r="C2058" s="54"/>
      <c r="N2058" s="33"/>
    </row>
    <row r="2059" spans="3:14" x14ac:dyDescent="0.3">
      <c r="C2059" s="54"/>
      <c r="N2059" s="33"/>
    </row>
    <row r="2060" spans="3:14" x14ac:dyDescent="0.3">
      <c r="C2060" s="54"/>
      <c r="N2060" s="33"/>
    </row>
    <row r="2061" spans="3:14" x14ac:dyDescent="0.3">
      <c r="C2061" s="54"/>
      <c r="N2061" s="33"/>
    </row>
    <row r="2062" spans="3:14" x14ac:dyDescent="0.3">
      <c r="C2062" s="54"/>
      <c r="N2062" s="33"/>
    </row>
    <row r="2063" spans="3:14" x14ac:dyDescent="0.3">
      <c r="C2063" s="54"/>
      <c r="N2063" s="33"/>
    </row>
    <row r="2064" spans="3:14" x14ac:dyDescent="0.3">
      <c r="C2064" s="54"/>
      <c r="N2064" s="33"/>
    </row>
    <row r="2065" spans="3:14" x14ac:dyDescent="0.3">
      <c r="C2065" s="54"/>
      <c r="N2065" s="33"/>
    </row>
    <row r="2066" spans="3:14" x14ac:dyDescent="0.3">
      <c r="C2066" s="54"/>
      <c r="N2066" s="33"/>
    </row>
    <row r="2067" spans="3:14" x14ac:dyDescent="0.3">
      <c r="C2067" s="54"/>
      <c r="N2067" s="33"/>
    </row>
    <row r="2068" spans="3:14" x14ac:dyDescent="0.3">
      <c r="C2068" s="54"/>
      <c r="N2068" s="33"/>
    </row>
    <row r="2069" spans="3:14" x14ac:dyDescent="0.3">
      <c r="C2069" s="54"/>
      <c r="N2069" s="33"/>
    </row>
    <row r="2070" spans="3:14" x14ac:dyDescent="0.3">
      <c r="C2070" s="54"/>
      <c r="N2070" s="33"/>
    </row>
    <row r="2071" spans="3:14" x14ac:dyDescent="0.3">
      <c r="C2071" s="54"/>
      <c r="N2071" s="33"/>
    </row>
    <row r="2072" spans="3:14" x14ac:dyDescent="0.3">
      <c r="C2072" s="54"/>
      <c r="N2072" s="33"/>
    </row>
    <row r="2073" spans="3:14" x14ac:dyDescent="0.3">
      <c r="C2073" s="54"/>
      <c r="N2073" s="33"/>
    </row>
    <row r="2074" spans="3:14" x14ac:dyDescent="0.3">
      <c r="C2074" s="54"/>
      <c r="N2074" s="33"/>
    </row>
    <row r="2075" spans="3:14" x14ac:dyDescent="0.3">
      <c r="C2075" s="54"/>
      <c r="N2075" s="33"/>
    </row>
    <row r="2076" spans="3:14" x14ac:dyDescent="0.3">
      <c r="C2076" s="54"/>
      <c r="N2076" s="33"/>
    </row>
    <row r="2077" spans="3:14" x14ac:dyDescent="0.3">
      <c r="C2077" s="54"/>
      <c r="N2077" s="33"/>
    </row>
    <row r="2078" spans="3:14" x14ac:dyDescent="0.3">
      <c r="C2078" s="54"/>
      <c r="N2078" s="33"/>
    </row>
    <row r="2079" spans="3:14" x14ac:dyDescent="0.3">
      <c r="C2079" s="54"/>
      <c r="N2079" s="33"/>
    </row>
    <row r="2080" spans="3:14" x14ac:dyDescent="0.3">
      <c r="C2080" s="54"/>
      <c r="N2080" s="33"/>
    </row>
    <row r="2081" spans="3:14" x14ac:dyDescent="0.3">
      <c r="C2081" s="54"/>
      <c r="N2081" s="33"/>
    </row>
    <row r="2082" spans="3:14" x14ac:dyDescent="0.3">
      <c r="C2082" s="54"/>
      <c r="N2082" s="33"/>
    </row>
    <row r="2083" spans="3:14" x14ac:dyDescent="0.3">
      <c r="C2083" s="54"/>
      <c r="N2083" s="33"/>
    </row>
    <row r="2084" spans="3:14" x14ac:dyDescent="0.3">
      <c r="C2084" s="54"/>
      <c r="N2084" s="33"/>
    </row>
    <row r="2085" spans="3:14" x14ac:dyDescent="0.3">
      <c r="C2085" s="54"/>
      <c r="N2085" s="33"/>
    </row>
    <row r="2086" spans="3:14" x14ac:dyDescent="0.3">
      <c r="C2086" s="54"/>
      <c r="N2086" s="33"/>
    </row>
    <row r="2087" spans="3:14" x14ac:dyDescent="0.3">
      <c r="C2087" s="54"/>
      <c r="N2087" s="33"/>
    </row>
    <row r="2088" spans="3:14" x14ac:dyDescent="0.3">
      <c r="C2088" s="54"/>
      <c r="N2088" s="33"/>
    </row>
    <row r="2089" spans="3:14" x14ac:dyDescent="0.3">
      <c r="C2089" s="54"/>
      <c r="N2089" s="33"/>
    </row>
    <row r="2090" spans="3:14" x14ac:dyDescent="0.3">
      <c r="C2090" s="54"/>
      <c r="N2090" s="33"/>
    </row>
    <row r="2091" spans="3:14" x14ac:dyDescent="0.3">
      <c r="C2091" s="54"/>
      <c r="N2091" s="33"/>
    </row>
    <row r="2092" spans="3:14" x14ac:dyDescent="0.3">
      <c r="C2092" s="54"/>
      <c r="N2092" s="33"/>
    </row>
    <row r="2093" spans="3:14" x14ac:dyDescent="0.3">
      <c r="C2093" s="54"/>
      <c r="N2093" s="33"/>
    </row>
    <row r="2094" spans="3:14" x14ac:dyDescent="0.3">
      <c r="C2094" s="54"/>
      <c r="N2094" s="33"/>
    </row>
    <row r="2095" spans="3:14" x14ac:dyDescent="0.3">
      <c r="C2095" s="54"/>
      <c r="N2095" s="33"/>
    </row>
    <row r="2096" spans="3:14" x14ac:dyDescent="0.3">
      <c r="C2096" s="54"/>
      <c r="N2096" s="33"/>
    </row>
    <row r="2097" spans="3:14" x14ac:dyDescent="0.3">
      <c r="C2097" s="54"/>
      <c r="N2097" s="33"/>
    </row>
    <row r="2098" spans="3:14" x14ac:dyDescent="0.3">
      <c r="C2098" s="54"/>
      <c r="N2098" s="33"/>
    </row>
    <row r="2099" spans="3:14" x14ac:dyDescent="0.3">
      <c r="C2099" s="54"/>
      <c r="N2099" s="33"/>
    </row>
    <row r="2100" spans="3:14" x14ac:dyDescent="0.3">
      <c r="C2100" s="54"/>
      <c r="N2100" s="33"/>
    </row>
    <row r="2101" spans="3:14" x14ac:dyDescent="0.3">
      <c r="C2101" s="54"/>
      <c r="N2101" s="33"/>
    </row>
    <row r="2102" spans="3:14" x14ac:dyDescent="0.3">
      <c r="C2102" s="54"/>
      <c r="N2102" s="33"/>
    </row>
    <row r="2103" spans="3:14" x14ac:dyDescent="0.3">
      <c r="C2103" s="54"/>
      <c r="N2103" s="33"/>
    </row>
    <row r="2104" spans="3:14" x14ac:dyDescent="0.3">
      <c r="C2104" s="54"/>
      <c r="N2104" s="33"/>
    </row>
    <row r="2105" spans="3:14" x14ac:dyDescent="0.3">
      <c r="C2105" s="54"/>
      <c r="N2105" s="33"/>
    </row>
    <row r="2106" spans="3:14" x14ac:dyDescent="0.3">
      <c r="C2106" s="54"/>
      <c r="N2106" s="33"/>
    </row>
    <row r="2107" spans="3:14" x14ac:dyDescent="0.3">
      <c r="C2107" s="54"/>
      <c r="N2107" s="33"/>
    </row>
    <row r="2108" spans="3:14" x14ac:dyDescent="0.3">
      <c r="C2108" s="54"/>
      <c r="N2108" s="33"/>
    </row>
    <row r="2109" spans="3:14" x14ac:dyDescent="0.3">
      <c r="C2109" s="54"/>
      <c r="N2109" s="33"/>
    </row>
    <row r="2110" spans="3:14" x14ac:dyDescent="0.3">
      <c r="C2110" s="54"/>
      <c r="N2110" s="33"/>
    </row>
    <row r="2111" spans="3:14" x14ac:dyDescent="0.3">
      <c r="C2111" s="54"/>
      <c r="N2111" s="33"/>
    </row>
    <row r="2112" spans="3:14" x14ac:dyDescent="0.3">
      <c r="C2112" s="54"/>
      <c r="N2112" s="33"/>
    </row>
    <row r="2113" spans="3:14" x14ac:dyDescent="0.3">
      <c r="C2113" s="54"/>
      <c r="N2113" s="33"/>
    </row>
    <row r="2114" spans="3:14" x14ac:dyDescent="0.3">
      <c r="C2114" s="54"/>
      <c r="N2114" s="33"/>
    </row>
    <row r="2115" spans="3:14" x14ac:dyDescent="0.3">
      <c r="C2115" s="54"/>
      <c r="N2115" s="33"/>
    </row>
    <row r="2116" spans="3:14" x14ac:dyDescent="0.3">
      <c r="C2116" s="54"/>
      <c r="N2116" s="33"/>
    </row>
    <row r="2117" spans="3:14" x14ac:dyDescent="0.3">
      <c r="C2117" s="54"/>
      <c r="N2117" s="33"/>
    </row>
    <row r="2118" spans="3:14" x14ac:dyDescent="0.3">
      <c r="C2118" s="54"/>
      <c r="N2118" s="33"/>
    </row>
    <row r="2119" spans="3:14" x14ac:dyDescent="0.3">
      <c r="C2119" s="54"/>
      <c r="N2119" s="33"/>
    </row>
    <row r="2120" spans="3:14" x14ac:dyDescent="0.3">
      <c r="C2120" s="54"/>
      <c r="N2120" s="33"/>
    </row>
    <row r="2121" spans="3:14" x14ac:dyDescent="0.3">
      <c r="C2121" s="54"/>
      <c r="N2121" s="33"/>
    </row>
    <row r="2122" spans="3:14" x14ac:dyDescent="0.3">
      <c r="C2122" s="54"/>
      <c r="N2122" s="33"/>
    </row>
    <row r="2123" spans="3:14" x14ac:dyDescent="0.3">
      <c r="C2123" s="54"/>
      <c r="N2123" s="33"/>
    </row>
    <row r="2124" spans="3:14" x14ac:dyDescent="0.3">
      <c r="C2124" s="54"/>
      <c r="N2124" s="33"/>
    </row>
    <row r="2125" spans="3:14" x14ac:dyDescent="0.3">
      <c r="C2125" s="54"/>
      <c r="N2125" s="33"/>
    </row>
    <row r="2126" spans="3:14" x14ac:dyDescent="0.3">
      <c r="C2126" s="54"/>
      <c r="N2126" s="33"/>
    </row>
    <row r="2127" spans="3:14" x14ac:dyDescent="0.3">
      <c r="C2127" s="54"/>
      <c r="N2127" s="33"/>
    </row>
    <row r="2128" spans="3:14" x14ac:dyDescent="0.3">
      <c r="C2128" s="54"/>
      <c r="N2128" s="33"/>
    </row>
    <row r="2129" spans="3:14" x14ac:dyDescent="0.3">
      <c r="C2129" s="54"/>
      <c r="N2129" s="33"/>
    </row>
    <row r="2130" spans="3:14" x14ac:dyDescent="0.3">
      <c r="C2130" s="54"/>
      <c r="N2130" s="33"/>
    </row>
    <row r="2131" spans="3:14" x14ac:dyDescent="0.3">
      <c r="C2131" s="54"/>
      <c r="N2131" s="33"/>
    </row>
    <row r="2132" spans="3:14" x14ac:dyDescent="0.3">
      <c r="C2132" s="54"/>
      <c r="N2132" s="33"/>
    </row>
    <row r="2133" spans="3:14" x14ac:dyDescent="0.3">
      <c r="C2133" s="54"/>
      <c r="N2133" s="33"/>
    </row>
    <row r="2134" spans="3:14" x14ac:dyDescent="0.3">
      <c r="C2134" s="54"/>
      <c r="N2134" s="33"/>
    </row>
    <row r="2135" spans="3:14" x14ac:dyDescent="0.3">
      <c r="C2135" s="54"/>
      <c r="N2135" s="33"/>
    </row>
    <row r="2136" spans="3:14" x14ac:dyDescent="0.3">
      <c r="C2136" s="54"/>
      <c r="N2136" s="33"/>
    </row>
    <row r="2137" spans="3:14" x14ac:dyDescent="0.3">
      <c r="C2137" s="54"/>
      <c r="N2137" s="33"/>
    </row>
    <row r="2138" spans="3:14" x14ac:dyDescent="0.3">
      <c r="C2138" s="54"/>
      <c r="N2138" s="33"/>
    </row>
    <row r="2139" spans="3:14" x14ac:dyDescent="0.3">
      <c r="C2139" s="54"/>
      <c r="N2139" s="33"/>
    </row>
    <row r="2140" spans="3:14" x14ac:dyDescent="0.3">
      <c r="C2140" s="54"/>
      <c r="N2140" s="33"/>
    </row>
    <row r="2141" spans="3:14" x14ac:dyDescent="0.3">
      <c r="C2141" s="54"/>
      <c r="N2141" s="33"/>
    </row>
    <row r="2142" spans="3:14" x14ac:dyDescent="0.3">
      <c r="C2142" s="54"/>
      <c r="N2142" s="33"/>
    </row>
    <row r="2143" spans="3:14" x14ac:dyDescent="0.3">
      <c r="C2143" s="54"/>
      <c r="N2143" s="33"/>
    </row>
    <row r="2144" spans="3:14" x14ac:dyDescent="0.3">
      <c r="C2144" s="54"/>
      <c r="N2144" s="33"/>
    </row>
    <row r="2145" spans="3:14" x14ac:dyDescent="0.3">
      <c r="C2145" s="54"/>
      <c r="N2145" s="33"/>
    </row>
    <row r="2146" spans="3:14" x14ac:dyDescent="0.3">
      <c r="C2146" s="54"/>
      <c r="N2146" s="33"/>
    </row>
    <row r="2147" spans="3:14" x14ac:dyDescent="0.3">
      <c r="C2147" s="54"/>
      <c r="N2147" s="33"/>
    </row>
    <row r="2148" spans="3:14" x14ac:dyDescent="0.3">
      <c r="C2148" s="54"/>
      <c r="N2148" s="33"/>
    </row>
    <row r="2149" spans="3:14" x14ac:dyDescent="0.3">
      <c r="C2149" s="54"/>
      <c r="N2149" s="33"/>
    </row>
    <row r="2150" spans="3:14" x14ac:dyDescent="0.3">
      <c r="C2150" s="54"/>
      <c r="N2150" s="33"/>
    </row>
    <row r="2151" spans="3:14" x14ac:dyDescent="0.3">
      <c r="C2151" s="54"/>
      <c r="N2151" s="33"/>
    </row>
    <row r="2152" spans="3:14" x14ac:dyDescent="0.3">
      <c r="C2152" s="54"/>
      <c r="N2152" s="33"/>
    </row>
    <row r="2153" spans="3:14" x14ac:dyDescent="0.3">
      <c r="C2153" s="54"/>
      <c r="N2153" s="33"/>
    </row>
    <row r="2154" spans="3:14" x14ac:dyDescent="0.3">
      <c r="C2154" s="54"/>
      <c r="N2154" s="33"/>
    </row>
    <row r="2155" spans="3:14" x14ac:dyDescent="0.3">
      <c r="C2155" s="54"/>
      <c r="N2155" s="33"/>
    </row>
    <row r="2156" spans="3:14" x14ac:dyDescent="0.3">
      <c r="C2156" s="54"/>
      <c r="N2156" s="33"/>
    </row>
    <row r="2157" spans="3:14" x14ac:dyDescent="0.3">
      <c r="C2157" s="54"/>
      <c r="N2157" s="33"/>
    </row>
    <row r="2158" spans="3:14" x14ac:dyDescent="0.3">
      <c r="C2158" s="54"/>
      <c r="N2158" s="33"/>
    </row>
    <row r="2159" spans="3:14" x14ac:dyDescent="0.3">
      <c r="C2159" s="54"/>
      <c r="N2159" s="33"/>
    </row>
    <row r="2160" spans="3:14" x14ac:dyDescent="0.3">
      <c r="C2160" s="54"/>
      <c r="N2160" s="33"/>
    </row>
    <row r="2161" spans="3:14" x14ac:dyDescent="0.3">
      <c r="C2161" s="54"/>
      <c r="N2161" s="33"/>
    </row>
    <row r="2162" spans="3:14" x14ac:dyDescent="0.3">
      <c r="C2162" s="54"/>
      <c r="N2162" s="33"/>
    </row>
    <row r="2163" spans="3:14" x14ac:dyDescent="0.3">
      <c r="C2163" s="54"/>
      <c r="N2163" s="33"/>
    </row>
    <row r="2164" spans="3:14" x14ac:dyDescent="0.3">
      <c r="C2164" s="54"/>
      <c r="N2164" s="33"/>
    </row>
    <row r="2165" spans="3:14" x14ac:dyDescent="0.3">
      <c r="C2165" s="54"/>
      <c r="N2165" s="33"/>
    </row>
    <row r="2166" spans="3:14" x14ac:dyDescent="0.3">
      <c r="C2166" s="54"/>
      <c r="N2166" s="33"/>
    </row>
    <row r="2167" spans="3:14" x14ac:dyDescent="0.3">
      <c r="C2167" s="54"/>
      <c r="N2167" s="33"/>
    </row>
    <row r="2168" spans="3:14" x14ac:dyDescent="0.3">
      <c r="C2168" s="54"/>
      <c r="N2168" s="33"/>
    </row>
    <row r="2169" spans="3:14" x14ac:dyDescent="0.3">
      <c r="C2169" s="54"/>
      <c r="N2169" s="33"/>
    </row>
    <row r="2170" spans="3:14" x14ac:dyDescent="0.3">
      <c r="C2170" s="54"/>
      <c r="N2170" s="33"/>
    </row>
    <row r="2171" spans="3:14" x14ac:dyDescent="0.3">
      <c r="C2171" s="54"/>
      <c r="N2171" s="33"/>
    </row>
    <row r="2172" spans="3:14" x14ac:dyDescent="0.3">
      <c r="C2172" s="54"/>
      <c r="N2172" s="33"/>
    </row>
    <row r="2173" spans="3:14" x14ac:dyDescent="0.3">
      <c r="C2173" s="54"/>
      <c r="N2173" s="33"/>
    </row>
    <row r="2174" spans="3:14" x14ac:dyDescent="0.3">
      <c r="C2174" s="54"/>
      <c r="N2174" s="33"/>
    </row>
    <row r="2175" spans="3:14" x14ac:dyDescent="0.3">
      <c r="C2175" s="54"/>
      <c r="N2175" s="33"/>
    </row>
    <row r="2176" spans="3:14" x14ac:dyDescent="0.3">
      <c r="C2176" s="54"/>
      <c r="N2176" s="33"/>
    </row>
    <row r="2177" spans="3:14" x14ac:dyDescent="0.3">
      <c r="C2177" s="54"/>
      <c r="N2177" s="33"/>
    </row>
    <row r="2178" spans="3:14" x14ac:dyDescent="0.3">
      <c r="C2178" s="54"/>
      <c r="N2178" s="33"/>
    </row>
    <row r="2179" spans="3:14" x14ac:dyDescent="0.3">
      <c r="C2179" s="54"/>
      <c r="N2179" s="33"/>
    </row>
    <row r="2180" spans="3:14" x14ac:dyDescent="0.3">
      <c r="C2180" s="54"/>
      <c r="N2180" s="33"/>
    </row>
    <row r="2181" spans="3:14" x14ac:dyDescent="0.3">
      <c r="C2181" s="54"/>
      <c r="N2181" s="33"/>
    </row>
    <row r="2182" spans="3:14" x14ac:dyDescent="0.3">
      <c r="C2182" s="54"/>
      <c r="N2182" s="33"/>
    </row>
    <row r="2183" spans="3:14" x14ac:dyDescent="0.3">
      <c r="C2183" s="54"/>
      <c r="N2183" s="33"/>
    </row>
    <row r="2184" spans="3:14" x14ac:dyDescent="0.3">
      <c r="C2184" s="54"/>
      <c r="N2184" s="33"/>
    </row>
    <row r="2185" spans="3:14" x14ac:dyDescent="0.3">
      <c r="C2185" s="54"/>
      <c r="N2185" s="33"/>
    </row>
    <row r="2186" spans="3:14" x14ac:dyDescent="0.3">
      <c r="C2186" s="54"/>
      <c r="N2186" s="33"/>
    </row>
    <row r="2187" spans="3:14" x14ac:dyDescent="0.3">
      <c r="C2187" s="54"/>
      <c r="N2187" s="33"/>
    </row>
    <row r="2188" spans="3:14" x14ac:dyDescent="0.3">
      <c r="C2188" s="54"/>
      <c r="N2188" s="33"/>
    </row>
    <row r="2189" spans="3:14" x14ac:dyDescent="0.3">
      <c r="C2189" s="54"/>
      <c r="N2189" s="33"/>
    </row>
    <row r="2190" spans="3:14" x14ac:dyDescent="0.3">
      <c r="C2190" s="54"/>
      <c r="N2190" s="33"/>
    </row>
    <row r="2191" spans="3:14" x14ac:dyDescent="0.3">
      <c r="C2191" s="54"/>
      <c r="N2191" s="33"/>
    </row>
    <row r="2192" spans="3:14" x14ac:dyDescent="0.3">
      <c r="C2192" s="54"/>
      <c r="N2192" s="33"/>
    </row>
    <row r="2193" spans="3:14" x14ac:dyDescent="0.3">
      <c r="C2193" s="54"/>
      <c r="N2193" s="33"/>
    </row>
    <row r="2194" spans="3:14" x14ac:dyDescent="0.3">
      <c r="C2194" s="54"/>
      <c r="N2194" s="33"/>
    </row>
    <row r="2195" spans="3:14" x14ac:dyDescent="0.3">
      <c r="C2195" s="54"/>
      <c r="N2195" s="33"/>
    </row>
    <row r="2196" spans="3:14" x14ac:dyDescent="0.3">
      <c r="C2196" s="54"/>
      <c r="N2196" s="33"/>
    </row>
    <row r="2197" spans="3:14" x14ac:dyDescent="0.3">
      <c r="C2197" s="54"/>
      <c r="N2197" s="33"/>
    </row>
    <row r="2198" spans="3:14" x14ac:dyDescent="0.3">
      <c r="C2198" s="54"/>
      <c r="N2198" s="33"/>
    </row>
    <row r="2199" spans="3:14" x14ac:dyDescent="0.3">
      <c r="C2199" s="54"/>
      <c r="N2199" s="33"/>
    </row>
    <row r="2200" spans="3:14" x14ac:dyDescent="0.3">
      <c r="C2200" s="54"/>
      <c r="N2200" s="33"/>
    </row>
    <row r="2201" spans="3:14" x14ac:dyDescent="0.3">
      <c r="C2201" s="54"/>
      <c r="N2201" s="33"/>
    </row>
    <row r="2202" spans="3:14" x14ac:dyDescent="0.3">
      <c r="C2202" s="54"/>
      <c r="N2202" s="33"/>
    </row>
    <row r="2203" spans="3:14" x14ac:dyDescent="0.3">
      <c r="C2203" s="54"/>
      <c r="N2203" s="33"/>
    </row>
    <row r="2204" spans="3:14" x14ac:dyDescent="0.3">
      <c r="C2204" s="54"/>
      <c r="N2204" s="33"/>
    </row>
    <row r="2205" spans="3:14" x14ac:dyDescent="0.3">
      <c r="C2205" s="54"/>
      <c r="N2205" s="33"/>
    </row>
    <row r="2206" spans="3:14" x14ac:dyDescent="0.3">
      <c r="C2206" s="54"/>
      <c r="N2206" s="33"/>
    </row>
    <row r="2207" spans="3:14" x14ac:dyDescent="0.3">
      <c r="C2207" s="54"/>
      <c r="N2207" s="33"/>
    </row>
    <row r="2208" spans="3:14" x14ac:dyDescent="0.3">
      <c r="C2208" s="54"/>
      <c r="N2208" s="33"/>
    </row>
    <row r="2209" spans="3:14" x14ac:dyDescent="0.3">
      <c r="C2209" s="54"/>
      <c r="N2209" s="33"/>
    </row>
    <row r="2210" spans="3:14" x14ac:dyDescent="0.3">
      <c r="C2210" s="54"/>
      <c r="N2210" s="33"/>
    </row>
    <row r="2211" spans="3:14" x14ac:dyDescent="0.3">
      <c r="C2211" s="54"/>
      <c r="N2211" s="33"/>
    </row>
    <row r="2212" spans="3:14" x14ac:dyDescent="0.3">
      <c r="C2212" s="54"/>
      <c r="N2212" s="33"/>
    </row>
    <row r="2213" spans="3:14" x14ac:dyDescent="0.3">
      <c r="C2213" s="54"/>
      <c r="N2213" s="33"/>
    </row>
    <row r="2214" spans="3:14" x14ac:dyDescent="0.3">
      <c r="C2214" s="54"/>
      <c r="N2214" s="33"/>
    </row>
    <row r="2215" spans="3:14" x14ac:dyDescent="0.3">
      <c r="C2215" s="54"/>
      <c r="N2215" s="33"/>
    </row>
    <row r="2216" spans="3:14" x14ac:dyDescent="0.3">
      <c r="C2216" s="54"/>
      <c r="N2216" s="33"/>
    </row>
    <row r="2217" spans="3:14" x14ac:dyDescent="0.3">
      <c r="C2217" s="54"/>
      <c r="N2217" s="33"/>
    </row>
    <row r="2218" spans="3:14" x14ac:dyDescent="0.3">
      <c r="C2218" s="54"/>
      <c r="N2218" s="33"/>
    </row>
    <row r="2219" spans="3:14" x14ac:dyDescent="0.3">
      <c r="C2219" s="54"/>
      <c r="N2219" s="33"/>
    </row>
    <row r="2220" spans="3:14" x14ac:dyDescent="0.3">
      <c r="C2220" s="54"/>
      <c r="N2220" s="33"/>
    </row>
    <row r="2221" spans="3:14" x14ac:dyDescent="0.3">
      <c r="C2221" s="54"/>
      <c r="N2221" s="33"/>
    </row>
    <row r="2222" spans="3:14" x14ac:dyDescent="0.3">
      <c r="C2222" s="54"/>
      <c r="N2222" s="33"/>
    </row>
    <row r="2223" spans="3:14" x14ac:dyDescent="0.3">
      <c r="C2223" s="54"/>
      <c r="N2223" s="33"/>
    </row>
    <row r="2224" spans="3:14" x14ac:dyDescent="0.3">
      <c r="C2224" s="54"/>
      <c r="N2224" s="33"/>
    </row>
    <row r="2225" spans="3:14" x14ac:dyDescent="0.3">
      <c r="C2225" s="54"/>
      <c r="N2225" s="33"/>
    </row>
    <row r="2226" spans="3:14" x14ac:dyDescent="0.3">
      <c r="C2226" s="54"/>
      <c r="N2226" s="33"/>
    </row>
    <row r="2227" spans="3:14" x14ac:dyDescent="0.3">
      <c r="C2227" s="54"/>
      <c r="N2227" s="33"/>
    </row>
    <row r="2228" spans="3:14" x14ac:dyDescent="0.3">
      <c r="C2228" s="54"/>
      <c r="N2228" s="33"/>
    </row>
    <row r="2229" spans="3:14" x14ac:dyDescent="0.3">
      <c r="C2229" s="54"/>
      <c r="N2229" s="33"/>
    </row>
    <row r="2230" spans="3:14" x14ac:dyDescent="0.3">
      <c r="C2230" s="54"/>
      <c r="N2230" s="33"/>
    </row>
    <row r="2231" spans="3:14" x14ac:dyDescent="0.3">
      <c r="C2231" s="54"/>
      <c r="N2231" s="33"/>
    </row>
    <row r="2232" spans="3:14" x14ac:dyDescent="0.3">
      <c r="C2232" s="54"/>
      <c r="N2232" s="33"/>
    </row>
    <row r="2233" spans="3:14" x14ac:dyDescent="0.3">
      <c r="C2233" s="54"/>
      <c r="N2233" s="33"/>
    </row>
    <row r="2234" spans="3:14" x14ac:dyDescent="0.3">
      <c r="C2234" s="54"/>
      <c r="N2234" s="33"/>
    </row>
    <row r="2235" spans="3:14" x14ac:dyDescent="0.3">
      <c r="C2235" s="54"/>
      <c r="N2235" s="33"/>
    </row>
    <row r="2236" spans="3:14" x14ac:dyDescent="0.3">
      <c r="C2236" s="54"/>
      <c r="N2236" s="33"/>
    </row>
    <row r="2237" spans="3:14" x14ac:dyDescent="0.3">
      <c r="C2237" s="54"/>
      <c r="N2237" s="33"/>
    </row>
    <row r="2238" spans="3:14" x14ac:dyDescent="0.3">
      <c r="C2238" s="54"/>
      <c r="N2238" s="33"/>
    </row>
    <row r="2239" spans="3:14" x14ac:dyDescent="0.3">
      <c r="C2239" s="54"/>
      <c r="N2239" s="33"/>
    </row>
    <row r="2240" spans="3:14" x14ac:dyDescent="0.3">
      <c r="C2240" s="54"/>
      <c r="N2240" s="33"/>
    </row>
    <row r="2241" spans="3:14" x14ac:dyDescent="0.3">
      <c r="C2241" s="54"/>
      <c r="N2241" s="33"/>
    </row>
    <row r="2242" spans="3:14" x14ac:dyDescent="0.3">
      <c r="C2242" s="54"/>
      <c r="N2242" s="33"/>
    </row>
    <row r="2243" spans="3:14" x14ac:dyDescent="0.3">
      <c r="C2243" s="54"/>
      <c r="N2243" s="33"/>
    </row>
    <row r="2244" spans="3:14" x14ac:dyDescent="0.3">
      <c r="C2244" s="54"/>
      <c r="N2244" s="33"/>
    </row>
    <row r="2245" spans="3:14" x14ac:dyDescent="0.3">
      <c r="C2245" s="54"/>
      <c r="N2245" s="33"/>
    </row>
    <row r="2246" spans="3:14" x14ac:dyDescent="0.3">
      <c r="C2246" s="54"/>
      <c r="N2246" s="33"/>
    </row>
    <row r="2247" spans="3:14" x14ac:dyDescent="0.3">
      <c r="C2247" s="54"/>
      <c r="N2247" s="33"/>
    </row>
    <row r="2248" spans="3:14" x14ac:dyDescent="0.3">
      <c r="C2248" s="54"/>
      <c r="N2248" s="33"/>
    </row>
    <row r="2249" spans="3:14" x14ac:dyDescent="0.3">
      <c r="C2249" s="54"/>
      <c r="N2249" s="33"/>
    </row>
    <row r="2250" spans="3:14" x14ac:dyDescent="0.3">
      <c r="C2250" s="54"/>
      <c r="N2250" s="33"/>
    </row>
    <row r="2251" spans="3:14" x14ac:dyDescent="0.3">
      <c r="C2251" s="54"/>
      <c r="N2251" s="33"/>
    </row>
    <row r="2252" spans="3:14" x14ac:dyDescent="0.3">
      <c r="C2252" s="54"/>
      <c r="N2252" s="33"/>
    </row>
    <row r="2253" spans="3:14" x14ac:dyDescent="0.3">
      <c r="C2253" s="54"/>
      <c r="N2253" s="33"/>
    </row>
    <row r="2254" spans="3:14" x14ac:dyDescent="0.3">
      <c r="C2254" s="54"/>
      <c r="N2254" s="33"/>
    </row>
    <row r="2255" spans="3:14" x14ac:dyDescent="0.3">
      <c r="C2255" s="54"/>
      <c r="N2255" s="33"/>
    </row>
    <row r="2256" spans="3:14" x14ac:dyDescent="0.3">
      <c r="C2256" s="54"/>
      <c r="N2256" s="33"/>
    </row>
    <row r="2257" spans="3:14" x14ac:dyDescent="0.3">
      <c r="C2257" s="54"/>
      <c r="N2257" s="33"/>
    </row>
    <row r="2258" spans="3:14" x14ac:dyDescent="0.3">
      <c r="C2258" s="54"/>
      <c r="N2258" s="33"/>
    </row>
    <row r="2259" spans="3:14" x14ac:dyDescent="0.3">
      <c r="C2259" s="54"/>
      <c r="N2259" s="33"/>
    </row>
    <row r="2260" spans="3:14" x14ac:dyDescent="0.3">
      <c r="C2260" s="54"/>
      <c r="N2260" s="33"/>
    </row>
    <row r="2261" spans="3:14" x14ac:dyDescent="0.3">
      <c r="C2261" s="54"/>
      <c r="N2261" s="33"/>
    </row>
    <row r="2262" spans="3:14" x14ac:dyDescent="0.3">
      <c r="C2262" s="54"/>
      <c r="N2262" s="33"/>
    </row>
    <row r="2263" spans="3:14" x14ac:dyDescent="0.3">
      <c r="C2263" s="54"/>
      <c r="N2263" s="33"/>
    </row>
    <row r="2264" spans="3:14" x14ac:dyDescent="0.3">
      <c r="C2264" s="54"/>
      <c r="N2264" s="33"/>
    </row>
    <row r="2265" spans="3:14" x14ac:dyDescent="0.3">
      <c r="C2265" s="54"/>
      <c r="N2265" s="33"/>
    </row>
    <row r="2266" spans="3:14" x14ac:dyDescent="0.3">
      <c r="C2266" s="54"/>
      <c r="N2266" s="33"/>
    </row>
    <row r="2267" spans="3:14" x14ac:dyDescent="0.3">
      <c r="C2267" s="54"/>
      <c r="N2267" s="33"/>
    </row>
    <row r="2268" spans="3:14" x14ac:dyDescent="0.3">
      <c r="C2268" s="54"/>
      <c r="N2268" s="33"/>
    </row>
    <row r="2269" spans="3:14" x14ac:dyDescent="0.3">
      <c r="C2269" s="54"/>
      <c r="N2269" s="33"/>
    </row>
    <row r="2270" spans="3:14" x14ac:dyDescent="0.3">
      <c r="C2270" s="54"/>
      <c r="N2270" s="33"/>
    </row>
    <row r="2271" spans="3:14" x14ac:dyDescent="0.3">
      <c r="C2271" s="54"/>
      <c r="N2271" s="33"/>
    </row>
    <row r="2272" spans="3:14" x14ac:dyDescent="0.3">
      <c r="C2272" s="54"/>
      <c r="N2272" s="33"/>
    </row>
    <row r="2273" spans="3:14" x14ac:dyDescent="0.3">
      <c r="C2273" s="54"/>
      <c r="N2273" s="33"/>
    </row>
    <row r="2274" spans="3:14" x14ac:dyDescent="0.3">
      <c r="C2274" s="54"/>
      <c r="N2274" s="33"/>
    </row>
    <row r="2275" spans="3:14" x14ac:dyDescent="0.3">
      <c r="C2275" s="54"/>
      <c r="N2275" s="33"/>
    </row>
    <row r="2276" spans="3:14" x14ac:dyDescent="0.3">
      <c r="C2276" s="54"/>
      <c r="N2276" s="33"/>
    </row>
    <row r="2277" spans="3:14" x14ac:dyDescent="0.3">
      <c r="C2277" s="54"/>
      <c r="N2277" s="33"/>
    </row>
    <row r="2278" spans="3:14" x14ac:dyDescent="0.3">
      <c r="C2278" s="54"/>
      <c r="N2278" s="33"/>
    </row>
    <row r="2279" spans="3:14" x14ac:dyDescent="0.3">
      <c r="C2279" s="54"/>
      <c r="N2279" s="33"/>
    </row>
    <row r="2280" spans="3:14" x14ac:dyDescent="0.3">
      <c r="C2280" s="54"/>
      <c r="N2280" s="33"/>
    </row>
    <row r="2281" spans="3:14" x14ac:dyDescent="0.3">
      <c r="C2281" s="54"/>
      <c r="N2281" s="33"/>
    </row>
    <row r="2282" spans="3:14" x14ac:dyDescent="0.3">
      <c r="C2282" s="54"/>
      <c r="N2282" s="33"/>
    </row>
    <row r="2283" spans="3:14" x14ac:dyDescent="0.3">
      <c r="C2283" s="54"/>
      <c r="N2283" s="33"/>
    </row>
    <row r="2284" spans="3:14" x14ac:dyDescent="0.3">
      <c r="C2284" s="54"/>
      <c r="N2284" s="33"/>
    </row>
    <row r="2285" spans="3:14" x14ac:dyDescent="0.3">
      <c r="C2285" s="54"/>
      <c r="N2285" s="33"/>
    </row>
    <row r="2286" spans="3:14" x14ac:dyDescent="0.3">
      <c r="C2286" s="54"/>
      <c r="N2286" s="33"/>
    </row>
    <row r="2287" spans="3:14" x14ac:dyDescent="0.3">
      <c r="C2287" s="54"/>
      <c r="N2287" s="33"/>
    </row>
    <row r="2288" spans="3:14" x14ac:dyDescent="0.3">
      <c r="C2288" s="54"/>
      <c r="N2288" s="33"/>
    </row>
    <row r="2289" spans="3:14" x14ac:dyDescent="0.3">
      <c r="C2289" s="54"/>
      <c r="N2289" s="33"/>
    </row>
    <row r="2290" spans="3:14" x14ac:dyDescent="0.3">
      <c r="C2290" s="54"/>
      <c r="N2290" s="33"/>
    </row>
    <row r="2291" spans="3:14" x14ac:dyDescent="0.3">
      <c r="C2291" s="54"/>
      <c r="N2291" s="33"/>
    </row>
    <row r="2292" spans="3:14" x14ac:dyDescent="0.3">
      <c r="C2292" s="54"/>
      <c r="N2292" s="33"/>
    </row>
    <row r="2293" spans="3:14" x14ac:dyDescent="0.3">
      <c r="C2293" s="54"/>
      <c r="N2293" s="33"/>
    </row>
    <row r="2294" spans="3:14" x14ac:dyDescent="0.3">
      <c r="C2294" s="54"/>
      <c r="N2294" s="33"/>
    </row>
    <row r="2295" spans="3:14" x14ac:dyDescent="0.3">
      <c r="C2295" s="54"/>
      <c r="N2295" s="33"/>
    </row>
    <row r="2296" spans="3:14" x14ac:dyDescent="0.3">
      <c r="C2296" s="54"/>
      <c r="N2296" s="33"/>
    </row>
    <row r="2297" spans="3:14" x14ac:dyDescent="0.3">
      <c r="C2297" s="54"/>
      <c r="N2297" s="33"/>
    </row>
    <row r="2298" spans="3:14" x14ac:dyDescent="0.3">
      <c r="C2298" s="54"/>
      <c r="N2298" s="33"/>
    </row>
    <row r="2299" spans="3:14" x14ac:dyDescent="0.3">
      <c r="C2299" s="54"/>
      <c r="N2299" s="33"/>
    </row>
    <row r="2300" spans="3:14" x14ac:dyDescent="0.3">
      <c r="C2300" s="54"/>
      <c r="N2300" s="33"/>
    </row>
    <row r="2301" spans="3:14" x14ac:dyDescent="0.3">
      <c r="C2301" s="54"/>
      <c r="N2301" s="33"/>
    </row>
    <row r="2302" spans="3:14" x14ac:dyDescent="0.3">
      <c r="C2302" s="54"/>
      <c r="N2302" s="33"/>
    </row>
    <row r="2303" spans="3:14" x14ac:dyDescent="0.3">
      <c r="C2303" s="54"/>
      <c r="N2303" s="33"/>
    </row>
    <row r="2304" spans="3:14" x14ac:dyDescent="0.3">
      <c r="C2304" s="54"/>
      <c r="N2304" s="33"/>
    </row>
    <row r="2305" spans="3:14" x14ac:dyDescent="0.3">
      <c r="C2305" s="54"/>
      <c r="N2305" s="33"/>
    </row>
    <row r="2306" spans="3:14" x14ac:dyDescent="0.3">
      <c r="C2306" s="54"/>
      <c r="N2306" s="33"/>
    </row>
    <row r="2307" spans="3:14" x14ac:dyDescent="0.3">
      <c r="C2307" s="54"/>
      <c r="N2307" s="33"/>
    </row>
    <row r="2308" spans="3:14" x14ac:dyDescent="0.3">
      <c r="C2308" s="54"/>
      <c r="N2308" s="33"/>
    </row>
    <row r="2309" spans="3:14" x14ac:dyDescent="0.3">
      <c r="C2309" s="54"/>
      <c r="N2309" s="33"/>
    </row>
    <row r="2310" spans="3:14" x14ac:dyDescent="0.3">
      <c r="C2310" s="54"/>
      <c r="N2310" s="33"/>
    </row>
    <row r="2311" spans="3:14" x14ac:dyDescent="0.3">
      <c r="C2311" s="54"/>
      <c r="N2311" s="33"/>
    </row>
    <row r="2312" spans="3:14" x14ac:dyDescent="0.3">
      <c r="C2312" s="54"/>
      <c r="N2312" s="33"/>
    </row>
    <row r="2313" spans="3:14" x14ac:dyDescent="0.3">
      <c r="C2313" s="54"/>
      <c r="N2313" s="33"/>
    </row>
    <row r="2314" spans="3:14" x14ac:dyDescent="0.3">
      <c r="C2314" s="54"/>
      <c r="N2314" s="33"/>
    </row>
    <row r="2315" spans="3:14" x14ac:dyDescent="0.3">
      <c r="C2315" s="54"/>
      <c r="N2315" s="33"/>
    </row>
    <row r="2316" spans="3:14" x14ac:dyDescent="0.3">
      <c r="C2316" s="54"/>
      <c r="N2316" s="33"/>
    </row>
    <row r="2317" spans="3:14" x14ac:dyDescent="0.3">
      <c r="C2317" s="54"/>
      <c r="N2317" s="33"/>
    </row>
    <row r="2318" spans="3:14" x14ac:dyDescent="0.3">
      <c r="C2318" s="54"/>
      <c r="N2318" s="33"/>
    </row>
    <row r="2319" spans="3:14" x14ac:dyDescent="0.3">
      <c r="C2319" s="54"/>
      <c r="N2319" s="33"/>
    </row>
    <row r="2320" spans="3:14" x14ac:dyDescent="0.3">
      <c r="C2320" s="54"/>
      <c r="N2320" s="33"/>
    </row>
    <row r="2321" spans="3:14" x14ac:dyDescent="0.3">
      <c r="C2321" s="54"/>
      <c r="N2321" s="33"/>
    </row>
    <row r="2322" spans="3:14" x14ac:dyDescent="0.3">
      <c r="C2322" s="54"/>
      <c r="N2322" s="33"/>
    </row>
    <row r="2323" spans="3:14" x14ac:dyDescent="0.3">
      <c r="C2323" s="54"/>
      <c r="N2323" s="33"/>
    </row>
    <row r="2324" spans="3:14" x14ac:dyDescent="0.3">
      <c r="C2324" s="54"/>
      <c r="N2324" s="33"/>
    </row>
    <row r="2325" spans="3:14" x14ac:dyDescent="0.3">
      <c r="C2325" s="54"/>
      <c r="N2325" s="33"/>
    </row>
    <row r="2326" spans="3:14" x14ac:dyDescent="0.3">
      <c r="C2326" s="54"/>
      <c r="N2326" s="33"/>
    </row>
    <row r="2327" spans="3:14" x14ac:dyDescent="0.3">
      <c r="C2327" s="54"/>
      <c r="N2327" s="33"/>
    </row>
    <row r="2328" spans="3:14" x14ac:dyDescent="0.3">
      <c r="C2328" s="54"/>
      <c r="N2328" s="33"/>
    </row>
    <row r="2329" spans="3:14" x14ac:dyDescent="0.3">
      <c r="C2329" s="54"/>
      <c r="N2329" s="33"/>
    </row>
    <row r="2330" spans="3:14" x14ac:dyDescent="0.3">
      <c r="C2330" s="54"/>
      <c r="N2330" s="33"/>
    </row>
    <row r="2331" spans="3:14" x14ac:dyDescent="0.3">
      <c r="C2331" s="54"/>
      <c r="N2331" s="33"/>
    </row>
    <row r="2332" spans="3:14" x14ac:dyDescent="0.3">
      <c r="C2332" s="54"/>
      <c r="N2332" s="33"/>
    </row>
    <row r="2333" spans="3:14" x14ac:dyDescent="0.3">
      <c r="C2333" s="54"/>
      <c r="N2333" s="33"/>
    </row>
    <row r="2334" spans="3:14" x14ac:dyDescent="0.3">
      <c r="C2334" s="54"/>
      <c r="N2334" s="33"/>
    </row>
    <row r="2335" spans="3:14" x14ac:dyDescent="0.3">
      <c r="C2335" s="54"/>
      <c r="N2335" s="33"/>
    </row>
    <row r="2336" spans="3:14" x14ac:dyDescent="0.3">
      <c r="C2336" s="54"/>
      <c r="N2336" s="33"/>
    </row>
    <row r="2337" spans="3:14" x14ac:dyDescent="0.3">
      <c r="C2337" s="54"/>
      <c r="N2337" s="33"/>
    </row>
    <row r="2338" spans="3:14" x14ac:dyDescent="0.3">
      <c r="C2338" s="54"/>
      <c r="N2338" s="33"/>
    </row>
    <row r="2339" spans="3:14" x14ac:dyDescent="0.3">
      <c r="C2339" s="54"/>
      <c r="N2339" s="33"/>
    </row>
    <row r="2340" spans="3:14" x14ac:dyDescent="0.3">
      <c r="C2340" s="54"/>
      <c r="N2340" s="33"/>
    </row>
    <row r="2341" spans="3:14" x14ac:dyDescent="0.3">
      <c r="C2341" s="54"/>
      <c r="N2341" s="33"/>
    </row>
    <row r="2342" spans="3:14" x14ac:dyDescent="0.3">
      <c r="C2342" s="54"/>
      <c r="N2342" s="33"/>
    </row>
    <row r="2343" spans="3:14" x14ac:dyDescent="0.3">
      <c r="C2343" s="54"/>
      <c r="N2343" s="33"/>
    </row>
    <row r="2344" spans="3:14" x14ac:dyDescent="0.3">
      <c r="C2344" s="54"/>
      <c r="N2344" s="33"/>
    </row>
    <row r="2345" spans="3:14" x14ac:dyDescent="0.3">
      <c r="C2345" s="54"/>
      <c r="N2345" s="33"/>
    </row>
    <row r="2346" spans="3:14" x14ac:dyDescent="0.3">
      <c r="C2346" s="54"/>
      <c r="N2346" s="33"/>
    </row>
    <row r="2347" spans="3:14" x14ac:dyDescent="0.3">
      <c r="C2347" s="54"/>
      <c r="N2347" s="33"/>
    </row>
    <row r="2348" spans="3:14" x14ac:dyDescent="0.3">
      <c r="C2348" s="54"/>
      <c r="N2348" s="33"/>
    </row>
    <row r="2349" spans="3:14" x14ac:dyDescent="0.3">
      <c r="C2349" s="54"/>
      <c r="N2349" s="33"/>
    </row>
    <row r="2350" spans="3:14" x14ac:dyDescent="0.3">
      <c r="C2350" s="54"/>
      <c r="N2350" s="33"/>
    </row>
    <row r="2351" spans="3:14" x14ac:dyDescent="0.3">
      <c r="C2351" s="54"/>
      <c r="N2351" s="33"/>
    </row>
    <row r="2352" spans="3:14" x14ac:dyDescent="0.3">
      <c r="C2352" s="54"/>
      <c r="N2352" s="33"/>
    </row>
    <row r="2353" spans="3:14" x14ac:dyDescent="0.3">
      <c r="C2353" s="54"/>
      <c r="N2353" s="33"/>
    </row>
    <row r="2354" spans="3:14" x14ac:dyDescent="0.3">
      <c r="C2354" s="54"/>
      <c r="N2354" s="33"/>
    </row>
    <row r="2355" spans="3:14" x14ac:dyDescent="0.3">
      <c r="C2355" s="54"/>
      <c r="N2355" s="33"/>
    </row>
    <row r="2356" spans="3:14" x14ac:dyDescent="0.3">
      <c r="C2356" s="54"/>
      <c r="N2356" s="33"/>
    </row>
    <row r="2357" spans="3:14" x14ac:dyDescent="0.3">
      <c r="C2357" s="54"/>
      <c r="N2357" s="33"/>
    </row>
    <row r="2358" spans="3:14" x14ac:dyDescent="0.3">
      <c r="C2358" s="54"/>
      <c r="N2358" s="33"/>
    </row>
    <row r="2359" spans="3:14" x14ac:dyDescent="0.3">
      <c r="C2359" s="54"/>
      <c r="N2359" s="33"/>
    </row>
    <row r="2360" spans="3:14" x14ac:dyDescent="0.3">
      <c r="C2360" s="54"/>
      <c r="N2360" s="33"/>
    </row>
    <row r="2361" spans="3:14" x14ac:dyDescent="0.3">
      <c r="C2361" s="54"/>
      <c r="N2361" s="33"/>
    </row>
    <row r="2362" spans="3:14" x14ac:dyDescent="0.3">
      <c r="C2362" s="54"/>
      <c r="N2362" s="33"/>
    </row>
    <row r="2363" spans="3:14" x14ac:dyDescent="0.3">
      <c r="C2363" s="54"/>
      <c r="N2363" s="33"/>
    </row>
    <row r="2364" spans="3:14" x14ac:dyDescent="0.3">
      <c r="C2364" s="54"/>
      <c r="N2364" s="33"/>
    </row>
    <row r="2365" spans="3:14" x14ac:dyDescent="0.3">
      <c r="C2365" s="54"/>
      <c r="N2365" s="33"/>
    </row>
    <row r="2366" spans="3:14" x14ac:dyDescent="0.3">
      <c r="C2366" s="54"/>
      <c r="N2366" s="33"/>
    </row>
    <row r="2367" spans="3:14" x14ac:dyDescent="0.3">
      <c r="C2367" s="54"/>
      <c r="N2367" s="33"/>
    </row>
    <row r="2368" spans="3:14" x14ac:dyDescent="0.3">
      <c r="C2368" s="54"/>
      <c r="N2368" s="33"/>
    </row>
    <row r="2369" spans="3:14" x14ac:dyDescent="0.3">
      <c r="C2369" s="54"/>
      <c r="N2369" s="33"/>
    </row>
    <row r="2370" spans="3:14" x14ac:dyDescent="0.3">
      <c r="C2370" s="54"/>
      <c r="N2370" s="33"/>
    </row>
    <row r="2371" spans="3:14" x14ac:dyDescent="0.3">
      <c r="C2371" s="54"/>
      <c r="N2371" s="33"/>
    </row>
    <row r="2372" spans="3:14" x14ac:dyDescent="0.3">
      <c r="C2372" s="54"/>
      <c r="N2372" s="33"/>
    </row>
    <row r="2373" spans="3:14" x14ac:dyDescent="0.3">
      <c r="C2373" s="54"/>
      <c r="N2373" s="33"/>
    </row>
    <row r="2374" spans="3:14" x14ac:dyDescent="0.3">
      <c r="C2374" s="54"/>
      <c r="N2374" s="33"/>
    </row>
    <row r="2375" spans="3:14" x14ac:dyDescent="0.3">
      <c r="C2375" s="54"/>
      <c r="N2375" s="33"/>
    </row>
    <row r="2376" spans="3:14" x14ac:dyDescent="0.3">
      <c r="C2376" s="54"/>
      <c r="N2376" s="33"/>
    </row>
    <row r="2377" spans="3:14" x14ac:dyDescent="0.3">
      <c r="C2377" s="54"/>
      <c r="N2377" s="33"/>
    </row>
    <row r="2378" spans="3:14" x14ac:dyDescent="0.3">
      <c r="C2378" s="54"/>
      <c r="N2378" s="33"/>
    </row>
    <row r="2379" spans="3:14" x14ac:dyDescent="0.3">
      <c r="C2379" s="54"/>
      <c r="N2379" s="33"/>
    </row>
    <row r="2380" spans="3:14" x14ac:dyDescent="0.3">
      <c r="C2380" s="54"/>
      <c r="N2380" s="33"/>
    </row>
    <row r="2381" spans="3:14" x14ac:dyDescent="0.3">
      <c r="C2381" s="54"/>
      <c r="N2381" s="33"/>
    </row>
    <row r="2382" spans="3:14" x14ac:dyDescent="0.3">
      <c r="C2382" s="54"/>
      <c r="N2382" s="33"/>
    </row>
    <row r="2383" spans="3:14" x14ac:dyDescent="0.3">
      <c r="C2383" s="54"/>
      <c r="N2383" s="33"/>
    </row>
    <row r="2384" spans="3:14" x14ac:dyDescent="0.3">
      <c r="C2384" s="54"/>
      <c r="N2384" s="33"/>
    </row>
    <row r="2385" spans="3:14" x14ac:dyDescent="0.3">
      <c r="C2385" s="54"/>
      <c r="N2385" s="33"/>
    </row>
    <row r="2386" spans="3:14" x14ac:dyDescent="0.3">
      <c r="C2386" s="54"/>
      <c r="N2386" s="33"/>
    </row>
    <row r="2387" spans="3:14" x14ac:dyDescent="0.3">
      <c r="C2387" s="54"/>
      <c r="N2387" s="33"/>
    </row>
    <row r="2388" spans="3:14" x14ac:dyDescent="0.3">
      <c r="C2388" s="54"/>
      <c r="N2388" s="33"/>
    </row>
    <row r="2389" spans="3:14" x14ac:dyDescent="0.3">
      <c r="C2389" s="54"/>
      <c r="N2389" s="33"/>
    </row>
    <row r="2390" spans="3:14" x14ac:dyDescent="0.3">
      <c r="C2390" s="54"/>
      <c r="N2390" s="33"/>
    </row>
    <row r="2391" spans="3:14" x14ac:dyDescent="0.3">
      <c r="C2391" s="54"/>
      <c r="N2391" s="33"/>
    </row>
    <row r="2392" spans="3:14" x14ac:dyDescent="0.3">
      <c r="C2392" s="54"/>
      <c r="N2392" s="33"/>
    </row>
    <row r="2393" spans="3:14" x14ac:dyDescent="0.3">
      <c r="C2393" s="54"/>
      <c r="N2393" s="33"/>
    </row>
    <row r="2394" spans="3:14" x14ac:dyDescent="0.3">
      <c r="C2394" s="54"/>
      <c r="N2394" s="33"/>
    </row>
    <row r="2395" spans="3:14" x14ac:dyDescent="0.3">
      <c r="C2395" s="54"/>
      <c r="N2395" s="33"/>
    </row>
    <row r="2396" spans="3:14" x14ac:dyDescent="0.3">
      <c r="C2396" s="54"/>
      <c r="N2396" s="33"/>
    </row>
    <row r="2397" spans="3:14" x14ac:dyDescent="0.3">
      <c r="C2397" s="54"/>
      <c r="N2397" s="33"/>
    </row>
    <row r="2398" spans="3:14" x14ac:dyDescent="0.3">
      <c r="C2398" s="54"/>
      <c r="N2398" s="33"/>
    </row>
    <row r="2399" spans="3:14" x14ac:dyDescent="0.3">
      <c r="C2399" s="54"/>
      <c r="N2399" s="33"/>
    </row>
    <row r="2400" spans="3:14" x14ac:dyDescent="0.3">
      <c r="C2400" s="54"/>
      <c r="N2400" s="33"/>
    </row>
    <row r="2401" spans="3:14" x14ac:dyDescent="0.3">
      <c r="C2401" s="54"/>
      <c r="N2401" s="33"/>
    </row>
    <row r="2402" spans="3:14" x14ac:dyDescent="0.3">
      <c r="C2402" s="54"/>
      <c r="N2402" s="33"/>
    </row>
    <row r="2403" spans="3:14" x14ac:dyDescent="0.3">
      <c r="C2403" s="54"/>
      <c r="N2403" s="33"/>
    </row>
    <row r="2404" spans="3:14" x14ac:dyDescent="0.3">
      <c r="C2404" s="54"/>
      <c r="N2404" s="33"/>
    </row>
    <row r="2405" spans="3:14" x14ac:dyDescent="0.3">
      <c r="C2405" s="54"/>
      <c r="N2405" s="33"/>
    </row>
    <row r="2406" spans="3:14" x14ac:dyDescent="0.3">
      <c r="C2406" s="54"/>
      <c r="N2406" s="33"/>
    </row>
    <row r="2407" spans="3:14" x14ac:dyDescent="0.3">
      <c r="C2407" s="54"/>
      <c r="N2407" s="33"/>
    </row>
    <row r="2408" spans="3:14" x14ac:dyDescent="0.3">
      <c r="C2408" s="54"/>
      <c r="N2408" s="33"/>
    </row>
    <row r="2409" spans="3:14" x14ac:dyDescent="0.3">
      <c r="C2409" s="54"/>
      <c r="N2409" s="33"/>
    </row>
    <row r="2410" spans="3:14" x14ac:dyDescent="0.3">
      <c r="C2410" s="54"/>
      <c r="N2410" s="33"/>
    </row>
    <row r="2411" spans="3:14" x14ac:dyDescent="0.3">
      <c r="C2411" s="54"/>
      <c r="N2411" s="33"/>
    </row>
    <row r="2412" spans="3:14" x14ac:dyDescent="0.3">
      <c r="C2412" s="54"/>
      <c r="N2412" s="33"/>
    </row>
    <row r="2413" spans="3:14" x14ac:dyDescent="0.3">
      <c r="C2413" s="54"/>
      <c r="N2413" s="33"/>
    </row>
    <row r="2414" spans="3:14" x14ac:dyDescent="0.3">
      <c r="C2414" s="54"/>
      <c r="N2414" s="33"/>
    </row>
    <row r="2415" spans="3:14" x14ac:dyDescent="0.3">
      <c r="C2415" s="54"/>
      <c r="N2415" s="33"/>
    </row>
    <row r="2416" spans="3:14" x14ac:dyDescent="0.3">
      <c r="C2416" s="54"/>
      <c r="N2416" s="33"/>
    </row>
    <row r="2417" spans="3:14" x14ac:dyDescent="0.3">
      <c r="C2417" s="54"/>
      <c r="N2417" s="33"/>
    </row>
    <row r="2418" spans="3:14" x14ac:dyDescent="0.3">
      <c r="C2418" s="54"/>
      <c r="N2418" s="33"/>
    </row>
    <row r="2419" spans="3:14" x14ac:dyDescent="0.3">
      <c r="C2419" s="54"/>
      <c r="N2419" s="33"/>
    </row>
    <row r="2420" spans="3:14" x14ac:dyDescent="0.3">
      <c r="C2420" s="54"/>
      <c r="N2420" s="33"/>
    </row>
    <row r="2421" spans="3:14" x14ac:dyDescent="0.3">
      <c r="C2421" s="54"/>
      <c r="N2421" s="33"/>
    </row>
    <row r="2422" spans="3:14" x14ac:dyDescent="0.3">
      <c r="C2422" s="54"/>
      <c r="N2422" s="33"/>
    </row>
    <row r="2423" spans="3:14" x14ac:dyDescent="0.3">
      <c r="C2423" s="54"/>
      <c r="N2423" s="33"/>
    </row>
    <row r="2424" spans="3:14" x14ac:dyDescent="0.3">
      <c r="C2424" s="54"/>
      <c r="N2424" s="33"/>
    </row>
    <row r="2425" spans="3:14" x14ac:dyDescent="0.3">
      <c r="C2425" s="54"/>
      <c r="N2425" s="33"/>
    </row>
    <row r="2426" spans="3:14" x14ac:dyDescent="0.3">
      <c r="C2426" s="54"/>
      <c r="N2426" s="33"/>
    </row>
    <row r="2427" spans="3:14" x14ac:dyDescent="0.3">
      <c r="C2427" s="54"/>
      <c r="N2427" s="33"/>
    </row>
    <row r="2428" spans="3:14" x14ac:dyDescent="0.3">
      <c r="C2428" s="54"/>
      <c r="N2428" s="33"/>
    </row>
    <row r="2429" spans="3:14" x14ac:dyDescent="0.3">
      <c r="C2429" s="54"/>
      <c r="N2429" s="33"/>
    </row>
    <row r="2430" spans="3:14" x14ac:dyDescent="0.3">
      <c r="C2430" s="54"/>
      <c r="N2430" s="33"/>
    </row>
    <row r="2431" spans="3:14" x14ac:dyDescent="0.3">
      <c r="C2431" s="54"/>
      <c r="N2431" s="33"/>
    </row>
    <row r="2432" spans="3:14" x14ac:dyDescent="0.3">
      <c r="C2432" s="54"/>
      <c r="N2432" s="33"/>
    </row>
    <row r="2433" spans="3:14" x14ac:dyDescent="0.3">
      <c r="C2433" s="54"/>
      <c r="N2433" s="33"/>
    </row>
    <row r="2434" spans="3:14" x14ac:dyDescent="0.3">
      <c r="C2434" s="54"/>
      <c r="N2434" s="33"/>
    </row>
    <row r="2435" spans="3:14" x14ac:dyDescent="0.3">
      <c r="C2435" s="54"/>
      <c r="N2435" s="33"/>
    </row>
    <row r="2436" spans="3:14" x14ac:dyDescent="0.3">
      <c r="C2436" s="54"/>
      <c r="N2436" s="33"/>
    </row>
    <row r="2437" spans="3:14" x14ac:dyDescent="0.3">
      <c r="C2437" s="54"/>
      <c r="N2437" s="33"/>
    </row>
    <row r="2438" spans="3:14" x14ac:dyDescent="0.3">
      <c r="C2438" s="54"/>
      <c r="N2438" s="33"/>
    </row>
    <row r="2439" spans="3:14" x14ac:dyDescent="0.3">
      <c r="C2439" s="54"/>
      <c r="N2439" s="33"/>
    </row>
    <row r="2440" spans="3:14" x14ac:dyDescent="0.3">
      <c r="C2440" s="54"/>
      <c r="N2440" s="33"/>
    </row>
    <row r="2441" spans="3:14" x14ac:dyDescent="0.3">
      <c r="C2441" s="54"/>
      <c r="N2441" s="33"/>
    </row>
    <row r="2442" spans="3:14" x14ac:dyDescent="0.3">
      <c r="C2442" s="54"/>
      <c r="N2442" s="33"/>
    </row>
    <row r="2443" spans="3:14" x14ac:dyDescent="0.3">
      <c r="C2443" s="54"/>
      <c r="N2443" s="33"/>
    </row>
    <row r="2444" spans="3:14" x14ac:dyDescent="0.3">
      <c r="C2444" s="54"/>
      <c r="N2444" s="33"/>
    </row>
    <row r="2445" spans="3:14" x14ac:dyDescent="0.3">
      <c r="C2445" s="54"/>
      <c r="N2445" s="33"/>
    </row>
    <row r="2446" spans="3:14" x14ac:dyDescent="0.3">
      <c r="C2446" s="54"/>
      <c r="N2446" s="33"/>
    </row>
    <row r="2447" spans="3:14" x14ac:dyDescent="0.3">
      <c r="C2447" s="54"/>
      <c r="N2447" s="33"/>
    </row>
    <row r="2448" spans="3:14" x14ac:dyDescent="0.3">
      <c r="C2448" s="54"/>
      <c r="N2448" s="33"/>
    </row>
    <row r="2449" spans="3:14" x14ac:dyDescent="0.3">
      <c r="C2449" s="54"/>
      <c r="N2449" s="33"/>
    </row>
    <row r="2450" spans="3:14" x14ac:dyDescent="0.3">
      <c r="C2450" s="54"/>
      <c r="N2450" s="33"/>
    </row>
    <row r="2451" spans="3:14" x14ac:dyDescent="0.3">
      <c r="C2451" s="54"/>
      <c r="N2451" s="33"/>
    </row>
    <row r="2452" spans="3:14" x14ac:dyDescent="0.3">
      <c r="C2452" s="54"/>
      <c r="N2452" s="33"/>
    </row>
    <row r="2453" spans="3:14" x14ac:dyDescent="0.3">
      <c r="C2453" s="54"/>
      <c r="N2453" s="33"/>
    </row>
    <row r="2454" spans="3:14" x14ac:dyDescent="0.3">
      <c r="C2454" s="54"/>
      <c r="N2454" s="33"/>
    </row>
    <row r="2455" spans="3:14" x14ac:dyDescent="0.3">
      <c r="C2455" s="54"/>
      <c r="N2455" s="33"/>
    </row>
    <row r="2456" spans="3:14" x14ac:dyDescent="0.3">
      <c r="C2456" s="54"/>
      <c r="N2456" s="33"/>
    </row>
    <row r="2457" spans="3:14" x14ac:dyDescent="0.3">
      <c r="C2457" s="54"/>
      <c r="N2457" s="33"/>
    </row>
    <row r="2458" spans="3:14" x14ac:dyDescent="0.3">
      <c r="C2458" s="54"/>
      <c r="N2458" s="33"/>
    </row>
    <row r="2459" spans="3:14" x14ac:dyDescent="0.3">
      <c r="C2459" s="54"/>
      <c r="N2459" s="33"/>
    </row>
    <row r="2460" spans="3:14" x14ac:dyDescent="0.3">
      <c r="C2460" s="54"/>
      <c r="N2460" s="33"/>
    </row>
    <row r="2461" spans="3:14" x14ac:dyDescent="0.3">
      <c r="C2461" s="54"/>
      <c r="N2461" s="33"/>
    </row>
    <row r="2462" spans="3:14" x14ac:dyDescent="0.3">
      <c r="C2462" s="54"/>
      <c r="N2462" s="33"/>
    </row>
    <row r="2463" spans="3:14" x14ac:dyDescent="0.3">
      <c r="C2463" s="54"/>
      <c r="N2463" s="33"/>
    </row>
    <row r="2464" spans="3:14" x14ac:dyDescent="0.3">
      <c r="C2464" s="54"/>
      <c r="N2464" s="33"/>
    </row>
    <row r="2465" spans="3:14" x14ac:dyDescent="0.3">
      <c r="C2465" s="54"/>
      <c r="N2465" s="33"/>
    </row>
    <row r="2466" spans="3:14" x14ac:dyDescent="0.3">
      <c r="C2466" s="54"/>
      <c r="N2466" s="33"/>
    </row>
    <row r="2467" spans="3:14" x14ac:dyDescent="0.3">
      <c r="C2467" s="54"/>
      <c r="N2467" s="33"/>
    </row>
    <row r="2468" spans="3:14" x14ac:dyDescent="0.3">
      <c r="C2468" s="54"/>
      <c r="N2468" s="33"/>
    </row>
    <row r="2469" spans="3:14" x14ac:dyDescent="0.3">
      <c r="C2469" s="54"/>
      <c r="N2469" s="33"/>
    </row>
    <row r="2470" spans="3:14" x14ac:dyDescent="0.3">
      <c r="C2470" s="54"/>
      <c r="N2470" s="33"/>
    </row>
    <row r="2471" spans="3:14" x14ac:dyDescent="0.3">
      <c r="C2471" s="54"/>
      <c r="N2471" s="33"/>
    </row>
    <row r="2472" spans="3:14" x14ac:dyDescent="0.3">
      <c r="C2472" s="54"/>
      <c r="N2472" s="33"/>
    </row>
    <row r="2473" spans="3:14" x14ac:dyDescent="0.3">
      <c r="C2473" s="54"/>
      <c r="N2473" s="33"/>
    </row>
    <row r="2474" spans="3:14" x14ac:dyDescent="0.3">
      <c r="C2474" s="54"/>
      <c r="N2474" s="33"/>
    </row>
    <row r="2475" spans="3:14" x14ac:dyDescent="0.3">
      <c r="C2475" s="54"/>
      <c r="N2475" s="33"/>
    </row>
    <row r="2476" spans="3:14" x14ac:dyDescent="0.3">
      <c r="C2476" s="54"/>
      <c r="N2476" s="33"/>
    </row>
    <row r="2477" spans="3:14" x14ac:dyDescent="0.3">
      <c r="C2477" s="54"/>
      <c r="N2477" s="33"/>
    </row>
    <row r="2478" spans="3:14" x14ac:dyDescent="0.3">
      <c r="C2478" s="54"/>
      <c r="N2478" s="33"/>
    </row>
    <row r="2479" spans="3:14" x14ac:dyDescent="0.3">
      <c r="C2479" s="54"/>
      <c r="N2479" s="33"/>
    </row>
    <row r="2480" spans="3:14" x14ac:dyDescent="0.3">
      <c r="C2480" s="54"/>
      <c r="N2480" s="33"/>
    </row>
    <row r="2481" spans="3:14" x14ac:dyDescent="0.3">
      <c r="C2481" s="54"/>
      <c r="N2481" s="33"/>
    </row>
    <row r="2482" spans="3:14" x14ac:dyDescent="0.3">
      <c r="C2482" s="54"/>
      <c r="N2482" s="33"/>
    </row>
    <row r="2483" spans="3:14" x14ac:dyDescent="0.3">
      <c r="C2483" s="54"/>
      <c r="N2483" s="33"/>
    </row>
    <row r="2484" spans="3:14" x14ac:dyDescent="0.3">
      <c r="C2484" s="54"/>
      <c r="N2484" s="33"/>
    </row>
    <row r="2485" spans="3:14" x14ac:dyDescent="0.3">
      <c r="C2485" s="54"/>
      <c r="N2485" s="33"/>
    </row>
    <row r="2486" spans="3:14" x14ac:dyDescent="0.3">
      <c r="C2486" s="54"/>
      <c r="N2486" s="33"/>
    </row>
    <row r="2487" spans="3:14" x14ac:dyDescent="0.3">
      <c r="C2487" s="54"/>
      <c r="N2487" s="33"/>
    </row>
    <row r="2488" spans="3:14" x14ac:dyDescent="0.3">
      <c r="C2488" s="54"/>
      <c r="N2488" s="33"/>
    </row>
    <row r="2489" spans="3:14" x14ac:dyDescent="0.3">
      <c r="C2489" s="54"/>
      <c r="N2489" s="33"/>
    </row>
    <row r="2490" spans="3:14" x14ac:dyDescent="0.3">
      <c r="C2490" s="54"/>
      <c r="N2490" s="33"/>
    </row>
    <row r="2491" spans="3:14" x14ac:dyDescent="0.3">
      <c r="C2491" s="54"/>
      <c r="N2491" s="33"/>
    </row>
    <row r="2492" spans="3:14" x14ac:dyDescent="0.3">
      <c r="C2492" s="54"/>
      <c r="N2492" s="33"/>
    </row>
    <row r="2493" spans="3:14" x14ac:dyDescent="0.3">
      <c r="C2493" s="54"/>
      <c r="N2493" s="33"/>
    </row>
    <row r="2494" spans="3:14" x14ac:dyDescent="0.3">
      <c r="C2494" s="54"/>
      <c r="N2494" s="33"/>
    </row>
    <row r="2495" spans="3:14" x14ac:dyDescent="0.3">
      <c r="C2495" s="54"/>
      <c r="N2495" s="33"/>
    </row>
    <row r="2496" spans="3:14" x14ac:dyDescent="0.3">
      <c r="C2496" s="54"/>
      <c r="N2496" s="33"/>
    </row>
    <row r="2497" spans="3:14" x14ac:dyDescent="0.3">
      <c r="C2497" s="54"/>
      <c r="N2497" s="33"/>
    </row>
    <row r="2498" spans="3:14" x14ac:dyDescent="0.3">
      <c r="C2498" s="54"/>
      <c r="N2498" s="33"/>
    </row>
    <row r="2499" spans="3:14" x14ac:dyDescent="0.3">
      <c r="C2499" s="54"/>
      <c r="N2499" s="33"/>
    </row>
    <row r="2500" spans="3:14" x14ac:dyDescent="0.3">
      <c r="C2500" s="54"/>
      <c r="N2500" s="33"/>
    </row>
    <row r="2501" spans="3:14" x14ac:dyDescent="0.3">
      <c r="C2501" s="54"/>
      <c r="N2501" s="33"/>
    </row>
    <row r="2502" spans="3:14" x14ac:dyDescent="0.3">
      <c r="C2502" s="54"/>
      <c r="N2502" s="33"/>
    </row>
    <row r="2503" spans="3:14" x14ac:dyDescent="0.3">
      <c r="C2503" s="54"/>
      <c r="N2503" s="33"/>
    </row>
    <row r="2504" spans="3:14" x14ac:dyDescent="0.3">
      <c r="C2504" s="54"/>
      <c r="N2504" s="33"/>
    </row>
    <row r="2505" spans="3:14" x14ac:dyDescent="0.3">
      <c r="C2505" s="54"/>
      <c r="N2505" s="33"/>
    </row>
    <row r="2506" spans="3:14" x14ac:dyDescent="0.3">
      <c r="C2506" s="54"/>
      <c r="N2506" s="33"/>
    </row>
    <row r="2507" spans="3:14" x14ac:dyDescent="0.3">
      <c r="C2507" s="54"/>
      <c r="N2507" s="33"/>
    </row>
    <row r="2508" spans="3:14" x14ac:dyDescent="0.3">
      <c r="C2508" s="54"/>
      <c r="N2508" s="33"/>
    </row>
    <row r="2509" spans="3:14" x14ac:dyDescent="0.3">
      <c r="C2509" s="54"/>
      <c r="N2509" s="33"/>
    </row>
    <row r="2510" spans="3:14" x14ac:dyDescent="0.3">
      <c r="C2510" s="54"/>
      <c r="N2510" s="33"/>
    </row>
    <row r="2511" spans="3:14" x14ac:dyDescent="0.3">
      <c r="C2511" s="54"/>
      <c r="N2511" s="33"/>
    </row>
    <row r="2512" spans="3:14" x14ac:dyDescent="0.3">
      <c r="C2512" s="54"/>
      <c r="N2512" s="33"/>
    </row>
    <row r="2513" spans="3:14" x14ac:dyDescent="0.3">
      <c r="C2513" s="54"/>
      <c r="N2513" s="33"/>
    </row>
    <row r="2514" spans="3:14" x14ac:dyDescent="0.3">
      <c r="C2514" s="54"/>
      <c r="N2514" s="33"/>
    </row>
    <row r="2515" spans="3:14" x14ac:dyDescent="0.3">
      <c r="C2515" s="54"/>
      <c r="N2515" s="33"/>
    </row>
    <row r="2516" spans="3:14" x14ac:dyDescent="0.3">
      <c r="C2516" s="54"/>
      <c r="N2516" s="33"/>
    </row>
    <row r="2517" spans="3:14" x14ac:dyDescent="0.3">
      <c r="C2517" s="54"/>
      <c r="N2517" s="33"/>
    </row>
    <row r="2518" spans="3:14" x14ac:dyDescent="0.3">
      <c r="C2518" s="54"/>
      <c r="N2518" s="33"/>
    </row>
    <row r="2519" spans="3:14" x14ac:dyDescent="0.3">
      <c r="C2519" s="54"/>
      <c r="N2519" s="33"/>
    </row>
    <row r="2520" spans="3:14" x14ac:dyDescent="0.3">
      <c r="C2520" s="54"/>
      <c r="N2520" s="33"/>
    </row>
    <row r="2521" spans="3:14" x14ac:dyDescent="0.3">
      <c r="C2521" s="54"/>
      <c r="N2521" s="33"/>
    </row>
    <row r="2522" spans="3:14" x14ac:dyDescent="0.3">
      <c r="C2522" s="54"/>
      <c r="N2522" s="33"/>
    </row>
    <row r="2523" spans="3:14" x14ac:dyDescent="0.3">
      <c r="C2523" s="54"/>
      <c r="N2523" s="33"/>
    </row>
    <row r="2524" spans="3:14" x14ac:dyDescent="0.3">
      <c r="C2524" s="54"/>
      <c r="N2524" s="33"/>
    </row>
    <row r="2525" spans="3:14" x14ac:dyDescent="0.3">
      <c r="C2525" s="54"/>
      <c r="N2525" s="33"/>
    </row>
    <row r="2526" spans="3:14" x14ac:dyDescent="0.3">
      <c r="C2526" s="54"/>
      <c r="N2526" s="33"/>
    </row>
    <row r="2527" spans="3:14" x14ac:dyDescent="0.3">
      <c r="C2527" s="54"/>
      <c r="N2527" s="33"/>
    </row>
    <row r="2528" spans="3:14" x14ac:dyDescent="0.3">
      <c r="C2528" s="54"/>
      <c r="N2528" s="33"/>
    </row>
    <row r="2529" spans="3:14" x14ac:dyDescent="0.3">
      <c r="C2529" s="54"/>
      <c r="N2529" s="33"/>
    </row>
    <row r="2530" spans="3:14" x14ac:dyDescent="0.3">
      <c r="C2530" s="54"/>
      <c r="N2530" s="33"/>
    </row>
    <row r="2531" spans="3:14" x14ac:dyDescent="0.3">
      <c r="C2531" s="54"/>
      <c r="N2531" s="33"/>
    </row>
    <row r="2532" spans="3:14" x14ac:dyDescent="0.3">
      <c r="C2532" s="54"/>
      <c r="N2532" s="33"/>
    </row>
    <row r="2533" spans="3:14" x14ac:dyDescent="0.3">
      <c r="C2533" s="54"/>
      <c r="N2533" s="33"/>
    </row>
    <row r="2534" spans="3:14" x14ac:dyDescent="0.3">
      <c r="C2534" s="54"/>
      <c r="N2534" s="33"/>
    </row>
    <row r="2535" spans="3:14" x14ac:dyDescent="0.3">
      <c r="C2535" s="54"/>
      <c r="N2535" s="33"/>
    </row>
    <row r="2536" spans="3:14" x14ac:dyDescent="0.3">
      <c r="C2536" s="54"/>
      <c r="N2536" s="33"/>
    </row>
    <row r="2537" spans="3:14" x14ac:dyDescent="0.3">
      <c r="C2537" s="54"/>
      <c r="N2537" s="33"/>
    </row>
    <row r="2538" spans="3:14" x14ac:dyDescent="0.3">
      <c r="C2538" s="54"/>
      <c r="N2538" s="33"/>
    </row>
    <row r="2539" spans="3:14" x14ac:dyDescent="0.3">
      <c r="C2539" s="54"/>
      <c r="N2539" s="33"/>
    </row>
    <row r="2540" spans="3:14" x14ac:dyDescent="0.3">
      <c r="C2540" s="54"/>
      <c r="N2540" s="33"/>
    </row>
    <row r="2541" spans="3:14" x14ac:dyDescent="0.3">
      <c r="C2541" s="54"/>
      <c r="N2541" s="33"/>
    </row>
    <row r="2542" spans="3:14" x14ac:dyDescent="0.3">
      <c r="C2542" s="54"/>
      <c r="N2542" s="33"/>
    </row>
    <row r="2543" spans="3:14" x14ac:dyDescent="0.3">
      <c r="C2543" s="54"/>
      <c r="N2543" s="33"/>
    </row>
    <row r="2544" spans="3:14" x14ac:dyDescent="0.3">
      <c r="C2544" s="54"/>
      <c r="N2544" s="33"/>
    </row>
    <row r="2545" spans="3:14" x14ac:dyDescent="0.3">
      <c r="C2545" s="54"/>
      <c r="N2545" s="33"/>
    </row>
    <row r="2546" spans="3:14" x14ac:dyDescent="0.3">
      <c r="C2546" s="54"/>
      <c r="N2546" s="33"/>
    </row>
    <row r="2547" spans="3:14" x14ac:dyDescent="0.3">
      <c r="C2547" s="54"/>
      <c r="N2547" s="33"/>
    </row>
    <row r="2548" spans="3:14" x14ac:dyDescent="0.3">
      <c r="C2548" s="54"/>
      <c r="N2548" s="33"/>
    </row>
    <row r="2549" spans="3:14" x14ac:dyDescent="0.3">
      <c r="C2549" s="54"/>
      <c r="N2549" s="33"/>
    </row>
    <row r="2550" spans="3:14" x14ac:dyDescent="0.3">
      <c r="C2550" s="54"/>
      <c r="N2550" s="33"/>
    </row>
    <row r="2551" spans="3:14" x14ac:dyDescent="0.3">
      <c r="C2551" s="54"/>
      <c r="N2551" s="33"/>
    </row>
    <row r="2552" spans="3:14" x14ac:dyDescent="0.3">
      <c r="C2552" s="54"/>
      <c r="N2552" s="33"/>
    </row>
    <row r="2553" spans="3:14" x14ac:dyDescent="0.3">
      <c r="C2553" s="54"/>
      <c r="N2553" s="33"/>
    </row>
    <row r="2554" spans="3:14" x14ac:dyDescent="0.3">
      <c r="C2554" s="54"/>
      <c r="N2554" s="33"/>
    </row>
    <row r="2555" spans="3:14" x14ac:dyDescent="0.3">
      <c r="C2555" s="54"/>
      <c r="N2555" s="33"/>
    </row>
    <row r="2556" spans="3:14" x14ac:dyDescent="0.3">
      <c r="C2556" s="54"/>
      <c r="N2556" s="33"/>
    </row>
    <row r="2557" spans="3:14" x14ac:dyDescent="0.3">
      <c r="C2557" s="54"/>
      <c r="N2557" s="33"/>
    </row>
    <row r="2558" spans="3:14" x14ac:dyDescent="0.3">
      <c r="C2558" s="54"/>
      <c r="N2558" s="33"/>
    </row>
    <row r="2559" spans="3:14" x14ac:dyDescent="0.3">
      <c r="C2559" s="54"/>
      <c r="N2559" s="33"/>
    </row>
    <row r="2560" spans="3:14" x14ac:dyDescent="0.3">
      <c r="C2560" s="54"/>
      <c r="N2560" s="33"/>
    </row>
    <row r="2561" spans="3:14" x14ac:dyDescent="0.3">
      <c r="C2561" s="54"/>
      <c r="N2561" s="33"/>
    </row>
    <row r="2562" spans="3:14" x14ac:dyDescent="0.3">
      <c r="C2562" s="54"/>
      <c r="N2562" s="33"/>
    </row>
    <row r="2563" spans="3:14" x14ac:dyDescent="0.3">
      <c r="C2563" s="54"/>
      <c r="N2563" s="33"/>
    </row>
    <row r="2564" spans="3:14" x14ac:dyDescent="0.3">
      <c r="C2564" s="54"/>
      <c r="N2564" s="33"/>
    </row>
    <row r="2565" spans="3:14" x14ac:dyDescent="0.3">
      <c r="C2565" s="54"/>
      <c r="N2565" s="33"/>
    </row>
    <row r="2566" spans="3:14" x14ac:dyDescent="0.3">
      <c r="C2566" s="54"/>
      <c r="N2566" s="33"/>
    </row>
    <row r="2567" spans="3:14" x14ac:dyDescent="0.3">
      <c r="C2567" s="54"/>
      <c r="N2567" s="33"/>
    </row>
    <row r="2568" spans="3:14" x14ac:dyDescent="0.3">
      <c r="C2568" s="54"/>
      <c r="N2568" s="33"/>
    </row>
    <row r="2569" spans="3:14" x14ac:dyDescent="0.3">
      <c r="C2569" s="54"/>
      <c r="N2569" s="33"/>
    </row>
    <row r="2570" spans="3:14" x14ac:dyDescent="0.3">
      <c r="C2570" s="54"/>
      <c r="N2570" s="33"/>
    </row>
    <row r="2571" spans="3:14" x14ac:dyDescent="0.3">
      <c r="C2571" s="54"/>
      <c r="N2571" s="33"/>
    </row>
    <row r="2572" spans="3:14" x14ac:dyDescent="0.3">
      <c r="C2572" s="54"/>
      <c r="N2572" s="33"/>
    </row>
    <row r="2573" spans="3:14" x14ac:dyDescent="0.3">
      <c r="C2573" s="54"/>
      <c r="N2573" s="33"/>
    </row>
    <row r="2574" spans="3:14" x14ac:dyDescent="0.3">
      <c r="C2574" s="54"/>
      <c r="N2574" s="33"/>
    </row>
    <row r="2575" spans="3:14" x14ac:dyDescent="0.3">
      <c r="C2575" s="54"/>
      <c r="N2575" s="33"/>
    </row>
    <row r="2576" spans="3:14" x14ac:dyDescent="0.3">
      <c r="C2576" s="54"/>
      <c r="N2576" s="33"/>
    </row>
    <row r="2577" spans="3:14" x14ac:dyDescent="0.3">
      <c r="C2577" s="54"/>
      <c r="N2577" s="33"/>
    </row>
    <row r="2578" spans="3:14" x14ac:dyDescent="0.3">
      <c r="C2578" s="54"/>
      <c r="N2578" s="33"/>
    </row>
    <row r="2579" spans="3:14" x14ac:dyDescent="0.3">
      <c r="C2579" s="54"/>
      <c r="N2579" s="33"/>
    </row>
    <row r="2580" spans="3:14" x14ac:dyDescent="0.3">
      <c r="C2580" s="54"/>
      <c r="N2580" s="33"/>
    </row>
    <row r="2581" spans="3:14" x14ac:dyDescent="0.3">
      <c r="C2581" s="54"/>
      <c r="N2581" s="33"/>
    </row>
    <row r="2582" spans="3:14" x14ac:dyDescent="0.3">
      <c r="C2582" s="54"/>
      <c r="N2582" s="33"/>
    </row>
    <row r="2583" spans="3:14" x14ac:dyDescent="0.3">
      <c r="C2583" s="54"/>
      <c r="N2583" s="33"/>
    </row>
    <row r="2584" spans="3:14" x14ac:dyDescent="0.3">
      <c r="C2584" s="54"/>
      <c r="N2584" s="33"/>
    </row>
    <row r="2585" spans="3:14" x14ac:dyDescent="0.3">
      <c r="C2585" s="54"/>
      <c r="N2585" s="33"/>
    </row>
    <row r="2586" spans="3:14" x14ac:dyDescent="0.3">
      <c r="C2586" s="54"/>
      <c r="N2586" s="33"/>
    </row>
    <row r="2587" spans="3:14" x14ac:dyDescent="0.3">
      <c r="C2587" s="54"/>
      <c r="N2587" s="33"/>
    </row>
    <row r="2588" spans="3:14" x14ac:dyDescent="0.3">
      <c r="C2588" s="54"/>
      <c r="N2588" s="33"/>
    </row>
    <row r="2589" spans="3:14" x14ac:dyDescent="0.3">
      <c r="C2589" s="54"/>
      <c r="N2589" s="33"/>
    </row>
    <row r="2590" spans="3:14" x14ac:dyDescent="0.3">
      <c r="C2590" s="54"/>
      <c r="N2590" s="33"/>
    </row>
    <row r="2591" spans="3:14" x14ac:dyDescent="0.3">
      <c r="C2591" s="54"/>
      <c r="N2591" s="33"/>
    </row>
    <row r="2592" spans="3:14" x14ac:dyDescent="0.3">
      <c r="C2592" s="54"/>
      <c r="N2592" s="33"/>
    </row>
    <row r="2593" spans="3:14" x14ac:dyDescent="0.3">
      <c r="C2593" s="54"/>
      <c r="N2593" s="33"/>
    </row>
    <row r="2594" spans="3:14" x14ac:dyDescent="0.3">
      <c r="C2594" s="54"/>
      <c r="N2594" s="33"/>
    </row>
    <row r="2595" spans="3:14" x14ac:dyDescent="0.3">
      <c r="C2595" s="54"/>
      <c r="N2595" s="33"/>
    </row>
    <row r="2596" spans="3:14" x14ac:dyDescent="0.3">
      <c r="C2596" s="54"/>
      <c r="N2596" s="33"/>
    </row>
    <row r="2597" spans="3:14" x14ac:dyDescent="0.3">
      <c r="C2597" s="54"/>
      <c r="N2597" s="33"/>
    </row>
    <row r="2598" spans="3:14" x14ac:dyDescent="0.3">
      <c r="C2598" s="54"/>
      <c r="N2598" s="33"/>
    </row>
    <row r="2599" spans="3:14" x14ac:dyDescent="0.3">
      <c r="C2599" s="54"/>
      <c r="N2599" s="33"/>
    </row>
    <row r="2600" spans="3:14" x14ac:dyDescent="0.3">
      <c r="C2600" s="54"/>
      <c r="N2600" s="33"/>
    </row>
    <row r="2601" spans="3:14" x14ac:dyDescent="0.3">
      <c r="C2601" s="54"/>
      <c r="N2601" s="33"/>
    </row>
    <row r="2602" spans="3:14" x14ac:dyDescent="0.3">
      <c r="C2602" s="54"/>
      <c r="N2602" s="33"/>
    </row>
    <row r="2603" spans="3:14" x14ac:dyDescent="0.3">
      <c r="C2603" s="54"/>
      <c r="N2603" s="33"/>
    </row>
    <row r="2604" spans="3:14" x14ac:dyDescent="0.3">
      <c r="C2604" s="54"/>
      <c r="N2604" s="33"/>
    </row>
    <row r="2605" spans="3:14" x14ac:dyDescent="0.3">
      <c r="C2605" s="54"/>
      <c r="N2605" s="33"/>
    </row>
    <row r="2606" spans="3:14" x14ac:dyDescent="0.3">
      <c r="C2606" s="54"/>
      <c r="N2606" s="33"/>
    </row>
    <row r="2607" spans="3:14" x14ac:dyDescent="0.3">
      <c r="C2607" s="54"/>
      <c r="N2607" s="33"/>
    </row>
    <row r="2608" spans="3:14" x14ac:dyDescent="0.3">
      <c r="C2608" s="54"/>
      <c r="N2608" s="33"/>
    </row>
    <row r="2609" spans="3:14" x14ac:dyDescent="0.3">
      <c r="C2609" s="54"/>
      <c r="N2609" s="33"/>
    </row>
    <row r="2610" spans="3:14" x14ac:dyDescent="0.3">
      <c r="C2610" s="54"/>
      <c r="N2610" s="33"/>
    </row>
    <row r="2611" spans="3:14" x14ac:dyDescent="0.3">
      <c r="C2611" s="54"/>
      <c r="N2611" s="33"/>
    </row>
    <row r="2612" spans="3:14" x14ac:dyDescent="0.3">
      <c r="C2612" s="54"/>
      <c r="N2612" s="33"/>
    </row>
    <row r="2613" spans="3:14" x14ac:dyDescent="0.3">
      <c r="C2613" s="54"/>
      <c r="N2613" s="33"/>
    </row>
    <row r="2614" spans="3:14" x14ac:dyDescent="0.3">
      <c r="C2614" s="54"/>
      <c r="N2614" s="33"/>
    </row>
    <row r="2615" spans="3:14" x14ac:dyDescent="0.3">
      <c r="C2615" s="54"/>
      <c r="N2615" s="33"/>
    </row>
    <row r="2616" spans="3:14" x14ac:dyDescent="0.3">
      <c r="C2616" s="54"/>
      <c r="N2616" s="33"/>
    </row>
    <row r="2617" spans="3:14" x14ac:dyDescent="0.3">
      <c r="C2617" s="54"/>
      <c r="N2617" s="33"/>
    </row>
    <row r="2618" spans="3:14" x14ac:dyDescent="0.3">
      <c r="C2618" s="54"/>
      <c r="N2618" s="33"/>
    </row>
    <row r="2619" spans="3:14" x14ac:dyDescent="0.3">
      <c r="C2619" s="54"/>
      <c r="N2619" s="33"/>
    </row>
    <row r="2620" spans="3:14" x14ac:dyDescent="0.3">
      <c r="C2620" s="54"/>
      <c r="N2620" s="33"/>
    </row>
    <row r="2621" spans="3:14" x14ac:dyDescent="0.3">
      <c r="C2621" s="54"/>
      <c r="N2621" s="33"/>
    </row>
    <row r="2622" spans="3:14" x14ac:dyDescent="0.3">
      <c r="C2622" s="54"/>
      <c r="N2622" s="33"/>
    </row>
    <row r="2623" spans="3:14" x14ac:dyDescent="0.3">
      <c r="C2623" s="54"/>
      <c r="N2623" s="33"/>
    </row>
    <row r="2624" spans="3:14" x14ac:dyDescent="0.3">
      <c r="C2624" s="54"/>
      <c r="N2624" s="33"/>
    </row>
    <row r="2625" spans="3:14" x14ac:dyDescent="0.3">
      <c r="C2625" s="54"/>
      <c r="N2625" s="33"/>
    </row>
    <row r="2626" spans="3:14" x14ac:dyDescent="0.3">
      <c r="C2626" s="54"/>
      <c r="N2626" s="33"/>
    </row>
    <row r="2627" spans="3:14" x14ac:dyDescent="0.3">
      <c r="C2627" s="54"/>
      <c r="N2627" s="33"/>
    </row>
    <row r="2628" spans="3:14" x14ac:dyDescent="0.3">
      <c r="C2628" s="54"/>
      <c r="N2628" s="33"/>
    </row>
    <row r="2629" spans="3:14" x14ac:dyDescent="0.3">
      <c r="C2629" s="54"/>
      <c r="N2629" s="33"/>
    </row>
    <row r="2630" spans="3:14" x14ac:dyDescent="0.3">
      <c r="C2630" s="54"/>
      <c r="N2630" s="33"/>
    </row>
    <row r="2631" spans="3:14" x14ac:dyDescent="0.3">
      <c r="C2631" s="54"/>
      <c r="N2631" s="33"/>
    </row>
    <row r="2632" spans="3:14" x14ac:dyDescent="0.3">
      <c r="C2632" s="54"/>
      <c r="N2632" s="33"/>
    </row>
    <row r="2633" spans="3:14" x14ac:dyDescent="0.3">
      <c r="C2633" s="54"/>
      <c r="N2633" s="33"/>
    </row>
    <row r="2634" spans="3:14" x14ac:dyDescent="0.3">
      <c r="C2634" s="54"/>
      <c r="N2634" s="33"/>
    </row>
    <row r="2635" spans="3:14" x14ac:dyDescent="0.3">
      <c r="C2635" s="54"/>
      <c r="N2635" s="33"/>
    </row>
    <row r="2636" spans="3:14" x14ac:dyDescent="0.3">
      <c r="C2636" s="54"/>
      <c r="N2636" s="33"/>
    </row>
    <row r="2637" spans="3:14" x14ac:dyDescent="0.3">
      <c r="C2637" s="54"/>
      <c r="N2637" s="33"/>
    </row>
    <row r="2638" spans="3:14" x14ac:dyDescent="0.3">
      <c r="C2638" s="54"/>
      <c r="N2638" s="33"/>
    </row>
    <row r="2639" spans="3:14" x14ac:dyDescent="0.3">
      <c r="C2639" s="54"/>
      <c r="N2639" s="33"/>
    </row>
    <row r="2640" spans="3:14" x14ac:dyDescent="0.3">
      <c r="C2640" s="54"/>
      <c r="N2640" s="33"/>
    </row>
    <row r="2641" spans="3:14" x14ac:dyDescent="0.3">
      <c r="C2641" s="54"/>
      <c r="N2641" s="33"/>
    </row>
    <row r="2642" spans="3:14" x14ac:dyDescent="0.3">
      <c r="C2642" s="54"/>
      <c r="N2642" s="33"/>
    </row>
    <row r="2643" spans="3:14" x14ac:dyDescent="0.3">
      <c r="C2643" s="54"/>
      <c r="N2643" s="33"/>
    </row>
    <row r="2644" spans="3:14" x14ac:dyDescent="0.3">
      <c r="C2644" s="54"/>
      <c r="N2644" s="33"/>
    </row>
    <row r="2645" spans="3:14" x14ac:dyDescent="0.3">
      <c r="C2645" s="54"/>
      <c r="N2645" s="33"/>
    </row>
    <row r="2646" spans="3:14" x14ac:dyDescent="0.3">
      <c r="C2646" s="54"/>
      <c r="N2646" s="33"/>
    </row>
    <row r="2647" spans="3:14" x14ac:dyDescent="0.3">
      <c r="C2647" s="54"/>
      <c r="N2647" s="33"/>
    </row>
    <row r="2648" spans="3:14" x14ac:dyDescent="0.3">
      <c r="C2648" s="54"/>
      <c r="N2648" s="33"/>
    </row>
    <row r="2649" spans="3:14" x14ac:dyDescent="0.3">
      <c r="C2649" s="54"/>
      <c r="N2649" s="33"/>
    </row>
    <row r="2650" spans="3:14" x14ac:dyDescent="0.3">
      <c r="C2650" s="54"/>
      <c r="N2650" s="33"/>
    </row>
    <row r="2651" spans="3:14" x14ac:dyDescent="0.3">
      <c r="C2651" s="54"/>
      <c r="N2651" s="33"/>
    </row>
    <row r="2652" spans="3:14" x14ac:dyDescent="0.3">
      <c r="C2652" s="54"/>
      <c r="N2652" s="33"/>
    </row>
    <row r="2653" spans="3:14" x14ac:dyDescent="0.3">
      <c r="C2653" s="54"/>
      <c r="N2653" s="33"/>
    </row>
    <row r="2654" spans="3:14" x14ac:dyDescent="0.3">
      <c r="C2654" s="54"/>
      <c r="N2654" s="33"/>
    </row>
    <row r="2655" spans="3:14" x14ac:dyDescent="0.3">
      <c r="C2655" s="54"/>
      <c r="N2655" s="33"/>
    </row>
    <row r="2656" spans="3:14" x14ac:dyDescent="0.3">
      <c r="C2656" s="54"/>
      <c r="N2656" s="33"/>
    </row>
    <row r="2657" spans="3:14" x14ac:dyDescent="0.3">
      <c r="C2657" s="54"/>
      <c r="N2657" s="33"/>
    </row>
    <row r="2658" spans="3:14" x14ac:dyDescent="0.3">
      <c r="C2658" s="54"/>
      <c r="N2658" s="33"/>
    </row>
    <row r="2659" spans="3:14" x14ac:dyDescent="0.3">
      <c r="C2659" s="54"/>
      <c r="N2659" s="33"/>
    </row>
    <row r="2660" spans="3:14" x14ac:dyDescent="0.3">
      <c r="C2660" s="54"/>
      <c r="N2660" s="33"/>
    </row>
    <row r="2661" spans="3:14" x14ac:dyDescent="0.3">
      <c r="C2661" s="54"/>
      <c r="N2661" s="33"/>
    </row>
    <row r="2662" spans="3:14" x14ac:dyDescent="0.3">
      <c r="C2662" s="54"/>
      <c r="N2662" s="33"/>
    </row>
    <row r="2663" spans="3:14" x14ac:dyDescent="0.3">
      <c r="C2663" s="54"/>
      <c r="N2663" s="33"/>
    </row>
    <row r="2664" spans="3:14" x14ac:dyDescent="0.3">
      <c r="C2664" s="54"/>
      <c r="N2664" s="33"/>
    </row>
    <row r="2665" spans="3:14" x14ac:dyDescent="0.3">
      <c r="C2665" s="54"/>
      <c r="N2665" s="33"/>
    </row>
    <row r="2666" spans="3:14" x14ac:dyDescent="0.3">
      <c r="C2666" s="54"/>
      <c r="N2666" s="33"/>
    </row>
    <row r="2667" spans="3:14" x14ac:dyDescent="0.3">
      <c r="C2667" s="54"/>
      <c r="N2667" s="33"/>
    </row>
    <row r="2668" spans="3:14" x14ac:dyDescent="0.3">
      <c r="C2668" s="54"/>
      <c r="N2668" s="33"/>
    </row>
    <row r="2669" spans="3:14" x14ac:dyDescent="0.3">
      <c r="C2669" s="54"/>
      <c r="N2669" s="33"/>
    </row>
    <row r="2670" spans="3:14" x14ac:dyDescent="0.3">
      <c r="C2670" s="54"/>
      <c r="N2670" s="33"/>
    </row>
    <row r="2671" spans="3:14" x14ac:dyDescent="0.3">
      <c r="C2671" s="54"/>
      <c r="N2671" s="33"/>
    </row>
    <row r="2672" spans="3:14" x14ac:dyDescent="0.3">
      <c r="C2672" s="54"/>
      <c r="N2672" s="33"/>
    </row>
    <row r="2673" spans="3:14" x14ac:dyDescent="0.3">
      <c r="C2673" s="54"/>
      <c r="N2673" s="33"/>
    </row>
    <row r="2674" spans="3:14" x14ac:dyDescent="0.3">
      <c r="C2674" s="54"/>
      <c r="N2674" s="33"/>
    </row>
    <row r="2675" spans="3:14" x14ac:dyDescent="0.3">
      <c r="C2675" s="54"/>
      <c r="N2675" s="33"/>
    </row>
    <row r="2676" spans="3:14" x14ac:dyDescent="0.3">
      <c r="C2676" s="54"/>
      <c r="N2676" s="33"/>
    </row>
    <row r="2677" spans="3:14" x14ac:dyDescent="0.3">
      <c r="C2677" s="54"/>
      <c r="N2677" s="33"/>
    </row>
    <row r="2678" spans="3:14" x14ac:dyDescent="0.3">
      <c r="C2678" s="54"/>
      <c r="N2678" s="33"/>
    </row>
    <row r="2679" spans="3:14" x14ac:dyDescent="0.3">
      <c r="C2679" s="54"/>
      <c r="N2679" s="33"/>
    </row>
    <row r="2680" spans="3:14" x14ac:dyDescent="0.3">
      <c r="C2680" s="54"/>
      <c r="N2680" s="33"/>
    </row>
    <row r="2681" spans="3:14" x14ac:dyDescent="0.3">
      <c r="C2681" s="54"/>
      <c r="N2681" s="33"/>
    </row>
    <row r="2682" spans="3:14" x14ac:dyDescent="0.3">
      <c r="C2682" s="54"/>
      <c r="N2682" s="33"/>
    </row>
    <row r="2683" spans="3:14" x14ac:dyDescent="0.3">
      <c r="C2683" s="54"/>
      <c r="N2683" s="33"/>
    </row>
    <row r="2684" spans="3:14" x14ac:dyDescent="0.3">
      <c r="C2684" s="54"/>
      <c r="N2684" s="33"/>
    </row>
    <row r="2685" spans="3:14" x14ac:dyDescent="0.3">
      <c r="C2685" s="54"/>
      <c r="N2685" s="33"/>
    </row>
    <row r="2686" spans="3:14" x14ac:dyDescent="0.3">
      <c r="C2686" s="54"/>
      <c r="N2686" s="33"/>
    </row>
    <row r="2687" spans="3:14" x14ac:dyDescent="0.3">
      <c r="C2687" s="54"/>
      <c r="N2687" s="33"/>
    </row>
    <row r="2688" spans="3:14" x14ac:dyDescent="0.3">
      <c r="C2688" s="54"/>
      <c r="N2688" s="33"/>
    </row>
    <row r="2689" spans="3:14" x14ac:dyDescent="0.3">
      <c r="C2689" s="54"/>
      <c r="N2689" s="33"/>
    </row>
    <row r="2690" spans="3:14" x14ac:dyDescent="0.3">
      <c r="C2690" s="54"/>
      <c r="N2690" s="33"/>
    </row>
    <row r="2691" spans="3:14" x14ac:dyDescent="0.3">
      <c r="C2691" s="54"/>
      <c r="N2691" s="33"/>
    </row>
    <row r="2692" spans="3:14" x14ac:dyDescent="0.3">
      <c r="C2692" s="54"/>
      <c r="N2692" s="33"/>
    </row>
    <row r="2693" spans="3:14" x14ac:dyDescent="0.3">
      <c r="C2693" s="54"/>
      <c r="N2693" s="33"/>
    </row>
    <row r="2694" spans="3:14" x14ac:dyDescent="0.3">
      <c r="C2694" s="54"/>
      <c r="N2694" s="33"/>
    </row>
    <row r="2695" spans="3:14" x14ac:dyDescent="0.3">
      <c r="C2695" s="54"/>
      <c r="N2695" s="33"/>
    </row>
    <row r="2696" spans="3:14" x14ac:dyDescent="0.3">
      <c r="C2696" s="54"/>
      <c r="N2696" s="33"/>
    </row>
    <row r="2697" spans="3:14" x14ac:dyDescent="0.3">
      <c r="C2697" s="54"/>
      <c r="N2697" s="33"/>
    </row>
    <row r="2698" spans="3:14" x14ac:dyDescent="0.3">
      <c r="C2698" s="54"/>
      <c r="N2698" s="33"/>
    </row>
    <row r="2699" spans="3:14" x14ac:dyDescent="0.3">
      <c r="C2699" s="54"/>
      <c r="N2699" s="33"/>
    </row>
    <row r="2700" spans="3:14" x14ac:dyDescent="0.3">
      <c r="C2700" s="54"/>
      <c r="N2700" s="33"/>
    </row>
    <row r="2701" spans="3:14" x14ac:dyDescent="0.3">
      <c r="C2701" s="54"/>
      <c r="N2701" s="33"/>
    </row>
    <row r="2702" spans="3:14" x14ac:dyDescent="0.3">
      <c r="C2702" s="54"/>
      <c r="N2702" s="33"/>
    </row>
    <row r="2703" spans="3:14" x14ac:dyDescent="0.3">
      <c r="C2703" s="54"/>
      <c r="N2703" s="33"/>
    </row>
    <row r="2704" spans="3:14" x14ac:dyDescent="0.3">
      <c r="C2704" s="54"/>
      <c r="N2704" s="33"/>
    </row>
    <row r="2705" spans="3:14" x14ac:dyDescent="0.3">
      <c r="C2705" s="54"/>
      <c r="N2705" s="33"/>
    </row>
    <row r="2706" spans="3:14" x14ac:dyDescent="0.3">
      <c r="C2706" s="54"/>
      <c r="N2706" s="33"/>
    </row>
    <row r="2707" spans="3:14" x14ac:dyDescent="0.3">
      <c r="C2707" s="54"/>
      <c r="N2707" s="33"/>
    </row>
    <row r="2708" spans="3:14" x14ac:dyDescent="0.3">
      <c r="C2708" s="54"/>
      <c r="N2708" s="33"/>
    </row>
    <row r="2709" spans="3:14" x14ac:dyDescent="0.3">
      <c r="C2709" s="54"/>
      <c r="N2709" s="33"/>
    </row>
    <row r="2710" spans="3:14" x14ac:dyDescent="0.3">
      <c r="C2710" s="54"/>
      <c r="N2710" s="33"/>
    </row>
    <row r="2711" spans="3:14" x14ac:dyDescent="0.3">
      <c r="C2711" s="54"/>
      <c r="N2711" s="33"/>
    </row>
    <row r="2712" spans="3:14" x14ac:dyDescent="0.3">
      <c r="C2712" s="54"/>
      <c r="N2712" s="33"/>
    </row>
    <row r="2713" spans="3:14" x14ac:dyDescent="0.3">
      <c r="C2713" s="54"/>
      <c r="N2713" s="33"/>
    </row>
    <row r="2714" spans="3:14" x14ac:dyDescent="0.3">
      <c r="C2714" s="54"/>
      <c r="N2714" s="33"/>
    </row>
    <row r="2715" spans="3:14" x14ac:dyDescent="0.3">
      <c r="C2715" s="54"/>
      <c r="N2715" s="33"/>
    </row>
    <row r="2716" spans="3:14" x14ac:dyDescent="0.3">
      <c r="C2716" s="54"/>
      <c r="N2716" s="33"/>
    </row>
    <row r="2717" spans="3:14" x14ac:dyDescent="0.3">
      <c r="C2717" s="54"/>
      <c r="N2717" s="33"/>
    </row>
    <row r="2718" spans="3:14" x14ac:dyDescent="0.3">
      <c r="C2718" s="54"/>
      <c r="N2718" s="33"/>
    </row>
    <row r="2719" spans="3:14" x14ac:dyDescent="0.3">
      <c r="C2719" s="54"/>
      <c r="N2719" s="33"/>
    </row>
    <row r="2720" spans="3:14" x14ac:dyDescent="0.3">
      <c r="C2720" s="54"/>
      <c r="N2720" s="33"/>
    </row>
    <row r="2721" spans="3:14" x14ac:dyDescent="0.3">
      <c r="C2721" s="54"/>
      <c r="N2721" s="33"/>
    </row>
    <row r="2722" spans="3:14" x14ac:dyDescent="0.3">
      <c r="C2722" s="54"/>
      <c r="N2722" s="33"/>
    </row>
    <row r="2723" spans="3:14" x14ac:dyDescent="0.3">
      <c r="C2723" s="54"/>
      <c r="N2723" s="33"/>
    </row>
    <row r="2724" spans="3:14" x14ac:dyDescent="0.3">
      <c r="C2724" s="54"/>
      <c r="N2724" s="33"/>
    </row>
    <row r="2725" spans="3:14" x14ac:dyDescent="0.3">
      <c r="C2725" s="54"/>
      <c r="N2725" s="33"/>
    </row>
    <row r="2726" spans="3:14" x14ac:dyDescent="0.3">
      <c r="C2726" s="54"/>
      <c r="N2726" s="33"/>
    </row>
    <row r="2727" spans="3:14" x14ac:dyDescent="0.3">
      <c r="C2727" s="54"/>
      <c r="N2727" s="33"/>
    </row>
    <row r="2728" spans="3:14" x14ac:dyDescent="0.3">
      <c r="C2728" s="54"/>
      <c r="N2728" s="33"/>
    </row>
    <row r="2729" spans="3:14" x14ac:dyDescent="0.3">
      <c r="C2729" s="54"/>
      <c r="N2729" s="33"/>
    </row>
    <row r="2730" spans="3:14" x14ac:dyDescent="0.3">
      <c r="C2730" s="54"/>
      <c r="N2730" s="33"/>
    </row>
    <row r="2731" spans="3:14" x14ac:dyDescent="0.3">
      <c r="C2731" s="54"/>
      <c r="N2731" s="33"/>
    </row>
    <row r="2732" spans="3:14" x14ac:dyDescent="0.3">
      <c r="C2732" s="54"/>
      <c r="N2732" s="33"/>
    </row>
    <row r="2733" spans="3:14" x14ac:dyDescent="0.3">
      <c r="C2733" s="54"/>
      <c r="N2733" s="33"/>
    </row>
    <row r="2734" spans="3:14" x14ac:dyDescent="0.3">
      <c r="C2734" s="54"/>
      <c r="N2734" s="33"/>
    </row>
    <row r="2735" spans="3:14" x14ac:dyDescent="0.3">
      <c r="C2735" s="54"/>
      <c r="N2735" s="33"/>
    </row>
    <row r="2736" spans="3:14" x14ac:dyDescent="0.3">
      <c r="C2736" s="54"/>
      <c r="N2736" s="33"/>
    </row>
    <row r="2737" spans="3:14" x14ac:dyDescent="0.3">
      <c r="C2737" s="54"/>
      <c r="N2737" s="33"/>
    </row>
    <row r="2738" spans="3:14" x14ac:dyDescent="0.3">
      <c r="C2738" s="54"/>
      <c r="N2738" s="33"/>
    </row>
    <row r="2739" spans="3:14" x14ac:dyDescent="0.3">
      <c r="C2739" s="54"/>
      <c r="N2739" s="33"/>
    </row>
    <row r="2740" spans="3:14" x14ac:dyDescent="0.3">
      <c r="C2740" s="54"/>
      <c r="N2740" s="33"/>
    </row>
    <row r="2741" spans="3:14" x14ac:dyDescent="0.3">
      <c r="C2741" s="54"/>
      <c r="N2741" s="33"/>
    </row>
    <row r="2742" spans="3:14" x14ac:dyDescent="0.3">
      <c r="C2742" s="54"/>
      <c r="N2742" s="33"/>
    </row>
    <row r="2743" spans="3:14" x14ac:dyDescent="0.3">
      <c r="C2743" s="54"/>
      <c r="N2743" s="33"/>
    </row>
    <row r="2744" spans="3:14" x14ac:dyDescent="0.3">
      <c r="C2744" s="54"/>
      <c r="N2744" s="33"/>
    </row>
    <row r="2745" spans="3:14" x14ac:dyDescent="0.3">
      <c r="C2745" s="54"/>
      <c r="N2745" s="33"/>
    </row>
    <row r="2746" spans="3:14" x14ac:dyDescent="0.3">
      <c r="C2746" s="54"/>
      <c r="N2746" s="33"/>
    </row>
    <row r="2747" spans="3:14" x14ac:dyDescent="0.3">
      <c r="C2747" s="54"/>
      <c r="N2747" s="33"/>
    </row>
    <row r="2748" spans="3:14" x14ac:dyDescent="0.3">
      <c r="C2748" s="54"/>
      <c r="N2748" s="33"/>
    </row>
    <row r="2749" spans="3:14" x14ac:dyDescent="0.3">
      <c r="C2749" s="54"/>
      <c r="N2749" s="33"/>
    </row>
    <row r="2750" spans="3:14" x14ac:dyDescent="0.3">
      <c r="C2750" s="54"/>
      <c r="N2750" s="33"/>
    </row>
    <row r="2751" spans="3:14" x14ac:dyDescent="0.3">
      <c r="C2751" s="54"/>
      <c r="N2751" s="33"/>
    </row>
    <row r="2752" spans="3:14" x14ac:dyDescent="0.3">
      <c r="C2752" s="54"/>
      <c r="N2752" s="33"/>
    </row>
    <row r="2753" spans="3:14" x14ac:dyDescent="0.3">
      <c r="C2753" s="54"/>
      <c r="N2753" s="33"/>
    </row>
    <row r="2754" spans="3:14" x14ac:dyDescent="0.3">
      <c r="C2754" s="54"/>
      <c r="N2754" s="33"/>
    </row>
    <row r="2755" spans="3:14" x14ac:dyDescent="0.3">
      <c r="C2755" s="54"/>
      <c r="N2755" s="33"/>
    </row>
    <row r="2756" spans="3:14" x14ac:dyDescent="0.3">
      <c r="C2756" s="54"/>
      <c r="N2756" s="33"/>
    </row>
    <row r="2757" spans="3:14" x14ac:dyDescent="0.3">
      <c r="C2757" s="54"/>
      <c r="N2757" s="33"/>
    </row>
    <row r="2758" spans="3:14" x14ac:dyDescent="0.3">
      <c r="C2758" s="54"/>
      <c r="N2758" s="33"/>
    </row>
    <row r="2759" spans="3:14" x14ac:dyDescent="0.3">
      <c r="C2759" s="54"/>
      <c r="N2759" s="33"/>
    </row>
    <row r="2760" spans="3:14" x14ac:dyDescent="0.3">
      <c r="C2760" s="54"/>
      <c r="N2760" s="33"/>
    </row>
    <row r="2761" spans="3:14" x14ac:dyDescent="0.3">
      <c r="C2761" s="54"/>
      <c r="N2761" s="33"/>
    </row>
    <row r="2762" spans="3:14" x14ac:dyDescent="0.3">
      <c r="C2762" s="54"/>
      <c r="N2762" s="33"/>
    </row>
    <row r="2763" spans="3:14" x14ac:dyDescent="0.3">
      <c r="C2763" s="54"/>
      <c r="N2763" s="33"/>
    </row>
    <row r="2764" spans="3:14" x14ac:dyDescent="0.3">
      <c r="C2764" s="54"/>
      <c r="N2764" s="33"/>
    </row>
    <row r="2765" spans="3:14" x14ac:dyDescent="0.3">
      <c r="C2765" s="54"/>
      <c r="N2765" s="33"/>
    </row>
    <row r="2766" spans="3:14" x14ac:dyDescent="0.3">
      <c r="C2766" s="54"/>
      <c r="N2766" s="33"/>
    </row>
    <row r="2767" spans="3:14" x14ac:dyDescent="0.3">
      <c r="C2767" s="54"/>
      <c r="N2767" s="33"/>
    </row>
    <row r="2768" spans="3:14" x14ac:dyDescent="0.3">
      <c r="C2768" s="54"/>
      <c r="N2768" s="33"/>
    </row>
    <row r="2769" spans="3:14" x14ac:dyDescent="0.3">
      <c r="C2769" s="54"/>
      <c r="N2769" s="33"/>
    </row>
    <row r="2770" spans="3:14" x14ac:dyDescent="0.3">
      <c r="C2770" s="54"/>
      <c r="N2770" s="33"/>
    </row>
    <row r="2771" spans="3:14" x14ac:dyDescent="0.3">
      <c r="C2771" s="54"/>
      <c r="N2771" s="33"/>
    </row>
    <row r="2772" spans="3:14" x14ac:dyDescent="0.3">
      <c r="C2772" s="54"/>
      <c r="N2772" s="33"/>
    </row>
    <row r="2773" spans="3:14" x14ac:dyDescent="0.3">
      <c r="C2773" s="54"/>
      <c r="N2773" s="33"/>
    </row>
    <row r="2774" spans="3:14" x14ac:dyDescent="0.3">
      <c r="C2774" s="54"/>
      <c r="N2774" s="33"/>
    </row>
    <row r="2775" spans="3:14" x14ac:dyDescent="0.3">
      <c r="C2775" s="54"/>
      <c r="N2775" s="33"/>
    </row>
    <row r="2776" spans="3:14" x14ac:dyDescent="0.3">
      <c r="C2776" s="54"/>
      <c r="N2776" s="33"/>
    </row>
    <row r="2777" spans="3:14" x14ac:dyDescent="0.3">
      <c r="C2777" s="54"/>
      <c r="N2777" s="33"/>
    </row>
    <row r="2778" spans="3:14" x14ac:dyDescent="0.3">
      <c r="C2778" s="54"/>
      <c r="N2778" s="33"/>
    </row>
    <row r="2779" spans="3:14" x14ac:dyDescent="0.3">
      <c r="C2779" s="54"/>
      <c r="N2779" s="33"/>
    </row>
    <row r="2780" spans="3:14" x14ac:dyDescent="0.3">
      <c r="C2780" s="54"/>
      <c r="N2780" s="33"/>
    </row>
    <row r="2781" spans="3:14" x14ac:dyDescent="0.3">
      <c r="C2781" s="54"/>
      <c r="N2781" s="33"/>
    </row>
    <row r="2782" spans="3:14" x14ac:dyDescent="0.3">
      <c r="C2782" s="54"/>
      <c r="N2782" s="33"/>
    </row>
    <row r="2783" spans="3:14" x14ac:dyDescent="0.3">
      <c r="C2783" s="54"/>
      <c r="N2783" s="33"/>
    </row>
    <row r="2784" spans="3:14" x14ac:dyDescent="0.3">
      <c r="C2784" s="54"/>
      <c r="N2784" s="33"/>
    </row>
    <row r="2785" spans="3:14" x14ac:dyDescent="0.3">
      <c r="C2785" s="54"/>
      <c r="N2785" s="33"/>
    </row>
    <row r="2786" spans="3:14" x14ac:dyDescent="0.3">
      <c r="C2786" s="54"/>
      <c r="N2786" s="33"/>
    </row>
    <row r="2787" spans="3:14" x14ac:dyDescent="0.3">
      <c r="C2787" s="54"/>
      <c r="N2787" s="33"/>
    </row>
    <row r="2788" spans="3:14" x14ac:dyDescent="0.3">
      <c r="C2788" s="54"/>
      <c r="N2788" s="33"/>
    </row>
    <row r="2789" spans="3:14" x14ac:dyDescent="0.3">
      <c r="C2789" s="54"/>
      <c r="N2789" s="33"/>
    </row>
    <row r="2790" spans="3:14" x14ac:dyDescent="0.3">
      <c r="C2790" s="54"/>
      <c r="N2790" s="33"/>
    </row>
    <row r="2791" spans="3:14" x14ac:dyDescent="0.3">
      <c r="C2791" s="54"/>
      <c r="N2791" s="33"/>
    </row>
    <row r="2792" spans="3:14" x14ac:dyDescent="0.3">
      <c r="C2792" s="54"/>
      <c r="N2792" s="33"/>
    </row>
    <row r="2793" spans="3:14" x14ac:dyDescent="0.3">
      <c r="C2793" s="54"/>
      <c r="N2793" s="33"/>
    </row>
    <row r="2794" spans="3:14" x14ac:dyDescent="0.3">
      <c r="C2794" s="54"/>
      <c r="N2794" s="33"/>
    </row>
    <row r="2795" spans="3:14" x14ac:dyDescent="0.3">
      <c r="C2795" s="54"/>
      <c r="N2795" s="33"/>
    </row>
    <row r="2796" spans="3:14" x14ac:dyDescent="0.3">
      <c r="C2796" s="54"/>
      <c r="N2796" s="33"/>
    </row>
    <row r="2797" spans="3:14" x14ac:dyDescent="0.3">
      <c r="C2797" s="54"/>
      <c r="N2797" s="33"/>
    </row>
    <row r="2798" spans="3:14" x14ac:dyDescent="0.3">
      <c r="C2798" s="54"/>
      <c r="N2798" s="33"/>
    </row>
    <row r="2799" spans="3:14" x14ac:dyDescent="0.3">
      <c r="C2799" s="54"/>
      <c r="N2799" s="33"/>
    </row>
    <row r="2800" spans="3:14" x14ac:dyDescent="0.3">
      <c r="C2800" s="54"/>
      <c r="N2800" s="33"/>
    </row>
    <row r="2801" spans="3:14" x14ac:dyDescent="0.3">
      <c r="C2801" s="54"/>
      <c r="N2801" s="33"/>
    </row>
    <row r="2802" spans="3:14" x14ac:dyDescent="0.3">
      <c r="C2802" s="54"/>
      <c r="N2802" s="33"/>
    </row>
    <row r="2803" spans="3:14" x14ac:dyDescent="0.3">
      <c r="C2803" s="54"/>
      <c r="N2803" s="33"/>
    </row>
    <row r="2804" spans="3:14" x14ac:dyDescent="0.3">
      <c r="C2804" s="54"/>
      <c r="N2804" s="33"/>
    </row>
    <row r="2805" spans="3:14" x14ac:dyDescent="0.3">
      <c r="C2805" s="54"/>
      <c r="N2805" s="33"/>
    </row>
    <row r="2806" spans="3:14" x14ac:dyDescent="0.3">
      <c r="C2806" s="54"/>
      <c r="N2806" s="33"/>
    </row>
    <row r="2807" spans="3:14" x14ac:dyDescent="0.3">
      <c r="C2807" s="54"/>
      <c r="N2807" s="33"/>
    </row>
    <row r="2808" spans="3:14" x14ac:dyDescent="0.3">
      <c r="C2808" s="54"/>
      <c r="N2808" s="33"/>
    </row>
    <row r="2809" spans="3:14" x14ac:dyDescent="0.3">
      <c r="C2809" s="54"/>
      <c r="N2809" s="33"/>
    </row>
    <row r="2810" spans="3:14" x14ac:dyDescent="0.3">
      <c r="C2810" s="54"/>
      <c r="N2810" s="33"/>
    </row>
    <row r="2811" spans="3:14" x14ac:dyDescent="0.3">
      <c r="C2811" s="54"/>
      <c r="N2811" s="33"/>
    </row>
    <row r="2812" spans="3:14" x14ac:dyDescent="0.3">
      <c r="C2812" s="54"/>
      <c r="N2812" s="33"/>
    </row>
    <row r="2813" spans="3:14" x14ac:dyDescent="0.3">
      <c r="C2813" s="54"/>
      <c r="N2813" s="33"/>
    </row>
    <row r="2814" spans="3:14" x14ac:dyDescent="0.3">
      <c r="C2814" s="54"/>
      <c r="N2814" s="33"/>
    </row>
    <row r="2815" spans="3:14" x14ac:dyDescent="0.3">
      <c r="C2815" s="54"/>
      <c r="N2815" s="33"/>
    </row>
    <row r="2816" spans="3:14" x14ac:dyDescent="0.3">
      <c r="C2816" s="54"/>
      <c r="N2816" s="33"/>
    </row>
    <row r="2817" spans="3:14" x14ac:dyDescent="0.3">
      <c r="C2817" s="54"/>
      <c r="N2817" s="33"/>
    </row>
    <row r="2818" spans="3:14" x14ac:dyDescent="0.3">
      <c r="C2818" s="54"/>
      <c r="N2818" s="33"/>
    </row>
    <row r="2819" spans="3:14" x14ac:dyDescent="0.3">
      <c r="C2819" s="54"/>
      <c r="N2819" s="33"/>
    </row>
    <row r="2820" spans="3:14" x14ac:dyDescent="0.3">
      <c r="C2820" s="54"/>
      <c r="N2820" s="33"/>
    </row>
    <row r="2821" spans="3:14" x14ac:dyDescent="0.3">
      <c r="C2821" s="54"/>
      <c r="N2821" s="33"/>
    </row>
    <row r="2822" spans="3:14" x14ac:dyDescent="0.3">
      <c r="C2822" s="54"/>
      <c r="N2822" s="33"/>
    </row>
    <row r="2823" spans="3:14" x14ac:dyDescent="0.3">
      <c r="C2823" s="54"/>
      <c r="N2823" s="33"/>
    </row>
    <row r="2824" spans="3:14" x14ac:dyDescent="0.3">
      <c r="C2824" s="54"/>
      <c r="N2824" s="33"/>
    </row>
    <row r="2825" spans="3:14" x14ac:dyDescent="0.3">
      <c r="C2825" s="54"/>
      <c r="N2825" s="33"/>
    </row>
    <row r="2826" spans="3:14" x14ac:dyDescent="0.3">
      <c r="C2826" s="54"/>
      <c r="N2826" s="33"/>
    </row>
    <row r="2827" spans="3:14" x14ac:dyDescent="0.3">
      <c r="C2827" s="54"/>
      <c r="N2827" s="33"/>
    </row>
    <row r="2828" spans="3:14" x14ac:dyDescent="0.3">
      <c r="C2828" s="54"/>
      <c r="N2828" s="33"/>
    </row>
    <row r="2829" spans="3:14" x14ac:dyDescent="0.3">
      <c r="C2829" s="54"/>
      <c r="N2829" s="33"/>
    </row>
    <row r="2830" spans="3:14" x14ac:dyDescent="0.3">
      <c r="C2830" s="54"/>
      <c r="N2830" s="33"/>
    </row>
    <row r="2831" spans="3:14" x14ac:dyDescent="0.3">
      <c r="C2831" s="54"/>
      <c r="N2831" s="33"/>
    </row>
    <row r="2832" spans="3:14" x14ac:dyDescent="0.3">
      <c r="C2832" s="54"/>
      <c r="N2832" s="33"/>
    </row>
    <row r="2833" spans="3:14" x14ac:dyDescent="0.3">
      <c r="C2833" s="54"/>
      <c r="N2833" s="33"/>
    </row>
    <row r="2834" spans="3:14" x14ac:dyDescent="0.3">
      <c r="C2834" s="54"/>
      <c r="N2834" s="33"/>
    </row>
    <row r="2835" spans="3:14" x14ac:dyDescent="0.3">
      <c r="C2835" s="54"/>
      <c r="N2835" s="33"/>
    </row>
    <row r="2836" spans="3:14" x14ac:dyDescent="0.3">
      <c r="C2836" s="54"/>
      <c r="N2836" s="33"/>
    </row>
    <row r="2837" spans="3:14" x14ac:dyDescent="0.3">
      <c r="C2837" s="54"/>
      <c r="N2837" s="33"/>
    </row>
    <row r="2838" spans="3:14" x14ac:dyDescent="0.3">
      <c r="C2838" s="54"/>
      <c r="N2838" s="33"/>
    </row>
    <row r="2839" spans="3:14" x14ac:dyDescent="0.3">
      <c r="C2839" s="54"/>
      <c r="N2839" s="33"/>
    </row>
    <row r="2840" spans="3:14" x14ac:dyDescent="0.3">
      <c r="C2840" s="54"/>
      <c r="N2840" s="33"/>
    </row>
    <row r="2841" spans="3:14" x14ac:dyDescent="0.3">
      <c r="C2841" s="54"/>
      <c r="N2841" s="33"/>
    </row>
    <row r="2842" spans="3:14" x14ac:dyDescent="0.3">
      <c r="C2842" s="54"/>
      <c r="N2842" s="33"/>
    </row>
    <row r="2843" spans="3:14" x14ac:dyDescent="0.3">
      <c r="C2843" s="54"/>
      <c r="N2843" s="33"/>
    </row>
    <row r="2844" spans="3:14" x14ac:dyDescent="0.3">
      <c r="C2844" s="54"/>
      <c r="N2844" s="33"/>
    </row>
    <row r="2845" spans="3:14" x14ac:dyDescent="0.3">
      <c r="C2845" s="54"/>
      <c r="N2845" s="33"/>
    </row>
    <row r="2846" spans="3:14" x14ac:dyDescent="0.3">
      <c r="C2846" s="54"/>
      <c r="N2846" s="33"/>
    </row>
    <row r="2847" spans="3:14" x14ac:dyDescent="0.3">
      <c r="C2847" s="54"/>
      <c r="N2847" s="33"/>
    </row>
    <row r="2848" spans="3:14" x14ac:dyDescent="0.3">
      <c r="C2848" s="54"/>
      <c r="N2848" s="33"/>
    </row>
    <row r="2849" spans="3:14" x14ac:dyDescent="0.3">
      <c r="C2849" s="54"/>
      <c r="N2849" s="33"/>
    </row>
    <row r="2850" spans="3:14" x14ac:dyDescent="0.3">
      <c r="C2850" s="54"/>
      <c r="N2850" s="33"/>
    </row>
    <row r="2851" spans="3:14" x14ac:dyDescent="0.3">
      <c r="C2851" s="54"/>
      <c r="N2851" s="33"/>
    </row>
    <row r="2852" spans="3:14" x14ac:dyDescent="0.3">
      <c r="C2852" s="54"/>
      <c r="N2852" s="33"/>
    </row>
    <row r="2853" spans="3:14" x14ac:dyDescent="0.3">
      <c r="C2853" s="54"/>
      <c r="N2853" s="33"/>
    </row>
    <row r="2854" spans="3:14" x14ac:dyDescent="0.3">
      <c r="C2854" s="54"/>
      <c r="N2854" s="33"/>
    </row>
    <row r="2855" spans="3:14" x14ac:dyDescent="0.3">
      <c r="C2855" s="54"/>
      <c r="N2855" s="33"/>
    </row>
    <row r="2856" spans="3:14" x14ac:dyDescent="0.3">
      <c r="C2856" s="54"/>
      <c r="N2856" s="33"/>
    </row>
    <row r="2857" spans="3:14" x14ac:dyDescent="0.3">
      <c r="C2857" s="54"/>
      <c r="N2857" s="33"/>
    </row>
    <row r="2858" spans="3:14" x14ac:dyDescent="0.3">
      <c r="C2858" s="54"/>
      <c r="N2858" s="33"/>
    </row>
    <row r="2859" spans="3:14" x14ac:dyDescent="0.3">
      <c r="C2859" s="54"/>
      <c r="N2859" s="33"/>
    </row>
    <row r="2860" spans="3:14" x14ac:dyDescent="0.3">
      <c r="C2860" s="54"/>
      <c r="N2860" s="33"/>
    </row>
    <row r="2861" spans="3:14" x14ac:dyDescent="0.3">
      <c r="C2861" s="54"/>
      <c r="N2861" s="33"/>
    </row>
    <row r="2862" spans="3:14" x14ac:dyDescent="0.3">
      <c r="C2862" s="54"/>
      <c r="N2862" s="33"/>
    </row>
    <row r="2863" spans="3:14" x14ac:dyDescent="0.3">
      <c r="C2863" s="54"/>
      <c r="N2863" s="33"/>
    </row>
    <row r="2864" spans="3:14" x14ac:dyDescent="0.3">
      <c r="C2864" s="54"/>
      <c r="N2864" s="33"/>
    </row>
    <row r="2865" spans="3:14" x14ac:dyDescent="0.3">
      <c r="C2865" s="54"/>
      <c r="N2865" s="33"/>
    </row>
    <row r="2866" spans="3:14" x14ac:dyDescent="0.3">
      <c r="C2866" s="54"/>
      <c r="N2866" s="33"/>
    </row>
    <row r="2867" spans="3:14" x14ac:dyDescent="0.3">
      <c r="C2867" s="54"/>
      <c r="N2867" s="33"/>
    </row>
    <row r="2868" spans="3:14" x14ac:dyDescent="0.3">
      <c r="C2868" s="54"/>
      <c r="N2868" s="33"/>
    </row>
    <row r="2869" spans="3:14" x14ac:dyDescent="0.3">
      <c r="C2869" s="54"/>
      <c r="N2869" s="33"/>
    </row>
    <row r="2870" spans="3:14" x14ac:dyDescent="0.3">
      <c r="C2870" s="54"/>
      <c r="N2870" s="33"/>
    </row>
    <row r="2871" spans="3:14" x14ac:dyDescent="0.3">
      <c r="C2871" s="54"/>
      <c r="N2871" s="33"/>
    </row>
    <row r="2872" spans="3:14" x14ac:dyDescent="0.3">
      <c r="C2872" s="54"/>
      <c r="N2872" s="33"/>
    </row>
    <row r="2873" spans="3:14" x14ac:dyDescent="0.3">
      <c r="C2873" s="54"/>
      <c r="N2873" s="33"/>
    </row>
    <row r="2874" spans="3:14" x14ac:dyDescent="0.3">
      <c r="C2874" s="54"/>
      <c r="N2874" s="33"/>
    </row>
    <row r="2875" spans="3:14" x14ac:dyDescent="0.3">
      <c r="C2875" s="54"/>
      <c r="N2875" s="33"/>
    </row>
    <row r="2876" spans="3:14" x14ac:dyDescent="0.3">
      <c r="C2876" s="54"/>
      <c r="N2876" s="33"/>
    </row>
    <row r="2877" spans="3:14" x14ac:dyDescent="0.3">
      <c r="C2877" s="54"/>
      <c r="N2877" s="33"/>
    </row>
    <row r="2878" spans="3:14" x14ac:dyDescent="0.3">
      <c r="C2878" s="54"/>
      <c r="N2878" s="33"/>
    </row>
    <row r="2879" spans="3:14" x14ac:dyDescent="0.3">
      <c r="C2879" s="54"/>
      <c r="N2879" s="33"/>
    </row>
    <row r="2880" spans="3:14" x14ac:dyDescent="0.3">
      <c r="C2880" s="54"/>
      <c r="N2880" s="33"/>
    </row>
    <row r="2881" spans="3:14" x14ac:dyDescent="0.3">
      <c r="C2881" s="54"/>
      <c r="N2881" s="33"/>
    </row>
    <row r="2882" spans="3:14" x14ac:dyDescent="0.3">
      <c r="C2882" s="54"/>
      <c r="N2882" s="33"/>
    </row>
    <row r="2883" spans="3:14" x14ac:dyDescent="0.3">
      <c r="C2883" s="54"/>
      <c r="N2883" s="33"/>
    </row>
    <row r="2884" spans="3:14" x14ac:dyDescent="0.3">
      <c r="C2884" s="54"/>
      <c r="N2884" s="33"/>
    </row>
    <row r="2885" spans="3:14" x14ac:dyDescent="0.3">
      <c r="C2885" s="54"/>
      <c r="N2885" s="33"/>
    </row>
    <row r="2886" spans="3:14" x14ac:dyDescent="0.3">
      <c r="C2886" s="54"/>
      <c r="N2886" s="33"/>
    </row>
    <row r="2887" spans="3:14" x14ac:dyDescent="0.3">
      <c r="C2887" s="54"/>
      <c r="N2887" s="33"/>
    </row>
    <row r="2888" spans="3:14" x14ac:dyDescent="0.3">
      <c r="C2888" s="54"/>
      <c r="N2888" s="33"/>
    </row>
    <row r="2889" spans="3:14" x14ac:dyDescent="0.3">
      <c r="C2889" s="54"/>
      <c r="N2889" s="33"/>
    </row>
    <row r="2890" spans="3:14" x14ac:dyDescent="0.3">
      <c r="C2890" s="54"/>
      <c r="N2890" s="33"/>
    </row>
    <row r="2891" spans="3:14" x14ac:dyDescent="0.3">
      <c r="C2891" s="54"/>
      <c r="N2891" s="33"/>
    </row>
    <row r="2892" spans="3:14" x14ac:dyDescent="0.3">
      <c r="C2892" s="54"/>
      <c r="N2892" s="33"/>
    </row>
    <row r="2893" spans="3:14" x14ac:dyDescent="0.3">
      <c r="C2893" s="54"/>
      <c r="N2893" s="33"/>
    </row>
    <row r="2894" spans="3:14" x14ac:dyDescent="0.3">
      <c r="C2894" s="54"/>
      <c r="N2894" s="33"/>
    </row>
    <row r="2895" spans="3:14" x14ac:dyDescent="0.3">
      <c r="C2895" s="54"/>
      <c r="N2895" s="33"/>
    </row>
    <row r="2896" spans="3:14" x14ac:dyDescent="0.3">
      <c r="C2896" s="54"/>
      <c r="N2896" s="33"/>
    </row>
    <row r="2897" spans="3:14" x14ac:dyDescent="0.3">
      <c r="C2897" s="54"/>
      <c r="N2897" s="33"/>
    </row>
    <row r="2898" spans="3:14" x14ac:dyDescent="0.3">
      <c r="C2898" s="54"/>
      <c r="N2898" s="33"/>
    </row>
    <row r="2899" spans="3:14" x14ac:dyDescent="0.3">
      <c r="C2899" s="54"/>
      <c r="N2899" s="33"/>
    </row>
    <row r="2900" spans="3:14" x14ac:dyDescent="0.3">
      <c r="C2900" s="54"/>
      <c r="N2900" s="33"/>
    </row>
    <row r="2901" spans="3:14" x14ac:dyDescent="0.3">
      <c r="C2901" s="54"/>
      <c r="N2901" s="33"/>
    </row>
    <row r="2902" spans="3:14" x14ac:dyDescent="0.3">
      <c r="C2902" s="54"/>
      <c r="N2902" s="33"/>
    </row>
    <row r="2903" spans="3:14" x14ac:dyDescent="0.3">
      <c r="C2903" s="54"/>
      <c r="N2903" s="33"/>
    </row>
    <row r="2904" spans="3:14" x14ac:dyDescent="0.3">
      <c r="C2904" s="54"/>
      <c r="N2904" s="33"/>
    </row>
    <row r="2905" spans="3:14" x14ac:dyDescent="0.3">
      <c r="C2905" s="54"/>
      <c r="N2905" s="33"/>
    </row>
    <row r="2906" spans="3:14" x14ac:dyDescent="0.3">
      <c r="C2906" s="54"/>
      <c r="N2906" s="33"/>
    </row>
    <row r="2907" spans="3:14" x14ac:dyDescent="0.3">
      <c r="C2907" s="54"/>
      <c r="N2907" s="33"/>
    </row>
    <row r="2908" spans="3:14" x14ac:dyDescent="0.3">
      <c r="C2908" s="54"/>
      <c r="N2908" s="33"/>
    </row>
    <row r="2909" spans="3:14" x14ac:dyDescent="0.3">
      <c r="C2909" s="54"/>
      <c r="N2909" s="33"/>
    </row>
    <row r="2910" spans="3:14" x14ac:dyDescent="0.3">
      <c r="C2910" s="54"/>
      <c r="N2910" s="33"/>
    </row>
    <row r="2911" spans="3:14" x14ac:dyDescent="0.3">
      <c r="C2911" s="54"/>
      <c r="N2911" s="33"/>
    </row>
    <row r="2912" spans="3:14" x14ac:dyDescent="0.3">
      <c r="C2912" s="54"/>
      <c r="N2912" s="33"/>
    </row>
    <row r="2913" spans="3:14" x14ac:dyDescent="0.3">
      <c r="C2913" s="54"/>
      <c r="N2913" s="33"/>
    </row>
    <row r="2914" spans="3:14" x14ac:dyDescent="0.3">
      <c r="C2914" s="54"/>
      <c r="N2914" s="33"/>
    </row>
    <row r="2915" spans="3:14" x14ac:dyDescent="0.3">
      <c r="C2915" s="54"/>
      <c r="N2915" s="33"/>
    </row>
    <row r="2916" spans="3:14" x14ac:dyDescent="0.3">
      <c r="C2916" s="54"/>
      <c r="N2916" s="33"/>
    </row>
    <row r="2917" spans="3:14" x14ac:dyDescent="0.3">
      <c r="C2917" s="54"/>
      <c r="N2917" s="33"/>
    </row>
    <row r="2918" spans="3:14" x14ac:dyDescent="0.3">
      <c r="C2918" s="54"/>
      <c r="N2918" s="33"/>
    </row>
    <row r="2919" spans="3:14" x14ac:dyDescent="0.3">
      <c r="C2919" s="54"/>
      <c r="N2919" s="33"/>
    </row>
    <row r="2920" spans="3:14" x14ac:dyDescent="0.3">
      <c r="C2920" s="54"/>
      <c r="N2920" s="33"/>
    </row>
    <row r="2921" spans="3:14" x14ac:dyDescent="0.3">
      <c r="C2921" s="54"/>
      <c r="N2921" s="33"/>
    </row>
    <row r="2922" spans="3:14" x14ac:dyDescent="0.3">
      <c r="C2922" s="54"/>
      <c r="N2922" s="33"/>
    </row>
    <row r="2923" spans="3:14" x14ac:dyDescent="0.3">
      <c r="C2923" s="54"/>
      <c r="N2923" s="33"/>
    </row>
    <row r="2924" spans="3:14" x14ac:dyDescent="0.3">
      <c r="C2924" s="54"/>
      <c r="N2924" s="33"/>
    </row>
    <row r="2925" spans="3:14" x14ac:dyDescent="0.3">
      <c r="C2925" s="54"/>
      <c r="N2925" s="33"/>
    </row>
    <row r="2926" spans="3:14" x14ac:dyDescent="0.3">
      <c r="C2926" s="54"/>
      <c r="N2926" s="33"/>
    </row>
    <row r="2927" spans="3:14" x14ac:dyDescent="0.3">
      <c r="C2927" s="54"/>
      <c r="N2927" s="33"/>
    </row>
    <row r="2928" spans="3:14" x14ac:dyDescent="0.3">
      <c r="C2928" s="54"/>
      <c r="N2928" s="33"/>
    </row>
    <row r="2929" spans="3:14" x14ac:dyDescent="0.3">
      <c r="C2929" s="54"/>
      <c r="N2929" s="33"/>
    </row>
    <row r="2930" spans="3:14" x14ac:dyDescent="0.3">
      <c r="C2930" s="54"/>
      <c r="N2930" s="33"/>
    </row>
    <row r="2931" spans="3:14" x14ac:dyDescent="0.3">
      <c r="C2931" s="54"/>
      <c r="N2931" s="33"/>
    </row>
    <row r="2932" spans="3:14" x14ac:dyDescent="0.3">
      <c r="C2932" s="54"/>
      <c r="N2932" s="33"/>
    </row>
    <row r="2933" spans="3:14" x14ac:dyDescent="0.3">
      <c r="C2933" s="54"/>
      <c r="N2933" s="33"/>
    </row>
    <row r="2934" spans="3:14" x14ac:dyDescent="0.3">
      <c r="C2934" s="54"/>
      <c r="N2934" s="33"/>
    </row>
    <row r="2935" spans="3:14" x14ac:dyDescent="0.3">
      <c r="C2935" s="54"/>
      <c r="N2935" s="33"/>
    </row>
    <row r="2936" spans="3:14" x14ac:dyDescent="0.3">
      <c r="C2936" s="54"/>
      <c r="N2936" s="33"/>
    </row>
    <row r="2937" spans="3:14" x14ac:dyDescent="0.3">
      <c r="C2937" s="54"/>
      <c r="N2937" s="33"/>
    </row>
    <row r="2938" spans="3:14" x14ac:dyDescent="0.3">
      <c r="C2938" s="54"/>
      <c r="N2938" s="33"/>
    </row>
    <row r="2939" spans="3:14" x14ac:dyDescent="0.3">
      <c r="C2939" s="54"/>
      <c r="N2939" s="33"/>
    </row>
    <row r="2940" spans="3:14" x14ac:dyDescent="0.3">
      <c r="C2940" s="54"/>
      <c r="N2940" s="33"/>
    </row>
    <row r="2941" spans="3:14" x14ac:dyDescent="0.3">
      <c r="C2941" s="54"/>
      <c r="N2941" s="33"/>
    </row>
    <row r="2942" spans="3:14" x14ac:dyDescent="0.3">
      <c r="C2942" s="54"/>
      <c r="N2942" s="33"/>
    </row>
    <row r="2943" spans="3:14" x14ac:dyDescent="0.3">
      <c r="C2943" s="54"/>
      <c r="N2943" s="33"/>
    </row>
    <row r="2944" spans="3:14" x14ac:dyDescent="0.3">
      <c r="C2944" s="54"/>
      <c r="N2944" s="33"/>
    </row>
    <row r="2945" spans="3:14" x14ac:dyDescent="0.3">
      <c r="C2945" s="54"/>
      <c r="N2945" s="33"/>
    </row>
    <row r="2946" spans="3:14" x14ac:dyDescent="0.3">
      <c r="C2946" s="54"/>
      <c r="N2946" s="33"/>
    </row>
    <row r="2947" spans="3:14" x14ac:dyDescent="0.3">
      <c r="C2947" s="54"/>
      <c r="N2947" s="33"/>
    </row>
    <row r="2948" spans="3:14" x14ac:dyDescent="0.3">
      <c r="C2948" s="54"/>
      <c r="N2948" s="33"/>
    </row>
    <row r="2949" spans="3:14" x14ac:dyDescent="0.3">
      <c r="C2949" s="54"/>
      <c r="N2949" s="33"/>
    </row>
    <row r="2950" spans="3:14" x14ac:dyDescent="0.3">
      <c r="C2950" s="54"/>
      <c r="N2950" s="33"/>
    </row>
    <row r="2951" spans="3:14" x14ac:dyDescent="0.3">
      <c r="C2951" s="54"/>
      <c r="N2951" s="33"/>
    </row>
    <row r="2952" spans="3:14" x14ac:dyDescent="0.3">
      <c r="C2952" s="54"/>
      <c r="N2952" s="33"/>
    </row>
    <row r="2953" spans="3:14" x14ac:dyDescent="0.3">
      <c r="C2953" s="54"/>
      <c r="N2953" s="33"/>
    </row>
    <row r="2954" spans="3:14" x14ac:dyDescent="0.3">
      <c r="C2954" s="54"/>
      <c r="N2954" s="33"/>
    </row>
    <row r="2955" spans="3:14" x14ac:dyDescent="0.3">
      <c r="C2955" s="54"/>
      <c r="N2955" s="33"/>
    </row>
    <row r="2956" spans="3:14" x14ac:dyDescent="0.3">
      <c r="C2956" s="54"/>
      <c r="N2956" s="33"/>
    </row>
    <row r="2957" spans="3:14" x14ac:dyDescent="0.3">
      <c r="C2957" s="54"/>
      <c r="N2957" s="33"/>
    </row>
    <row r="2958" spans="3:14" x14ac:dyDescent="0.3">
      <c r="C2958" s="54"/>
      <c r="N2958" s="33"/>
    </row>
    <row r="2959" spans="3:14" x14ac:dyDescent="0.3">
      <c r="C2959" s="54"/>
      <c r="N2959" s="33"/>
    </row>
    <row r="2960" spans="3:14" x14ac:dyDescent="0.3">
      <c r="C2960" s="54"/>
      <c r="N2960" s="33"/>
    </row>
    <row r="2961" spans="3:14" x14ac:dyDescent="0.3">
      <c r="C2961" s="54"/>
      <c r="N2961" s="33"/>
    </row>
    <row r="2962" spans="3:14" x14ac:dyDescent="0.3">
      <c r="C2962" s="54"/>
      <c r="N2962" s="33"/>
    </row>
    <row r="2963" spans="3:14" x14ac:dyDescent="0.3">
      <c r="C2963" s="54"/>
      <c r="N2963" s="33"/>
    </row>
    <row r="2964" spans="3:14" x14ac:dyDescent="0.3">
      <c r="C2964" s="54"/>
      <c r="N2964" s="33"/>
    </row>
    <row r="2965" spans="3:14" x14ac:dyDescent="0.3">
      <c r="C2965" s="54"/>
      <c r="N2965" s="33"/>
    </row>
    <row r="2966" spans="3:14" x14ac:dyDescent="0.3">
      <c r="C2966" s="54"/>
      <c r="N2966" s="33"/>
    </row>
    <row r="2967" spans="3:14" x14ac:dyDescent="0.3">
      <c r="C2967" s="54"/>
      <c r="N2967" s="33"/>
    </row>
    <row r="2968" spans="3:14" x14ac:dyDescent="0.3">
      <c r="C2968" s="54"/>
      <c r="N2968" s="33"/>
    </row>
    <row r="2969" spans="3:14" x14ac:dyDescent="0.3">
      <c r="C2969" s="54"/>
      <c r="N2969" s="33"/>
    </row>
    <row r="2970" spans="3:14" x14ac:dyDescent="0.3">
      <c r="C2970" s="54"/>
      <c r="N2970" s="33"/>
    </row>
    <row r="2971" spans="3:14" x14ac:dyDescent="0.3">
      <c r="C2971" s="54"/>
      <c r="N2971" s="33"/>
    </row>
    <row r="2972" spans="3:14" x14ac:dyDescent="0.3">
      <c r="C2972" s="54"/>
      <c r="N2972" s="33"/>
    </row>
    <row r="2973" spans="3:14" x14ac:dyDescent="0.3">
      <c r="C2973" s="54"/>
      <c r="N2973" s="33"/>
    </row>
    <row r="2974" spans="3:14" x14ac:dyDescent="0.3">
      <c r="C2974" s="54"/>
      <c r="N2974" s="33"/>
    </row>
    <row r="2975" spans="3:14" x14ac:dyDescent="0.3">
      <c r="C2975" s="54"/>
      <c r="N2975" s="33"/>
    </row>
    <row r="2976" spans="3:14" x14ac:dyDescent="0.3">
      <c r="C2976" s="54"/>
      <c r="N2976" s="33"/>
    </row>
    <row r="2977" spans="3:14" x14ac:dyDescent="0.3">
      <c r="C2977" s="54"/>
      <c r="N2977" s="33"/>
    </row>
    <row r="2978" spans="3:14" x14ac:dyDescent="0.3">
      <c r="C2978" s="54"/>
      <c r="N2978" s="33"/>
    </row>
    <row r="2979" spans="3:14" x14ac:dyDescent="0.3">
      <c r="C2979" s="54"/>
      <c r="N2979" s="33"/>
    </row>
    <row r="2980" spans="3:14" x14ac:dyDescent="0.3">
      <c r="C2980" s="54"/>
      <c r="N2980" s="33"/>
    </row>
    <row r="2981" spans="3:14" x14ac:dyDescent="0.3">
      <c r="C2981" s="54"/>
      <c r="N2981" s="33"/>
    </row>
    <row r="2982" spans="3:14" x14ac:dyDescent="0.3">
      <c r="C2982" s="54"/>
      <c r="N2982" s="33"/>
    </row>
    <row r="2983" spans="3:14" x14ac:dyDescent="0.3">
      <c r="C2983" s="54"/>
      <c r="N2983" s="33"/>
    </row>
    <row r="2984" spans="3:14" x14ac:dyDescent="0.3">
      <c r="C2984" s="54"/>
      <c r="N2984" s="33"/>
    </row>
    <row r="2985" spans="3:14" x14ac:dyDescent="0.3">
      <c r="C2985" s="54"/>
      <c r="N2985" s="33"/>
    </row>
    <row r="2986" spans="3:14" x14ac:dyDescent="0.3">
      <c r="C2986" s="54"/>
      <c r="N2986" s="33"/>
    </row>
    <row r="2987" spans="3:14" x14ac:dyDescent="0.3">
      <c r="C2987" s="54"/>
      <c r="N2987" s="33"/>
    </row>
    <row r="2988" spans="3:14" x14ac:dyDescent="0.3">
      <c r="C2988" s="54"/>
      <c r="N2988" s="33"/>
    </row>
    <row r="2989" spans="3:14" x14ac:dyDescent="0.3">
      <c r="C2989" s="54"/>
      <c r="N2989" s="33"/>
    </row>
    <row r="2990" spans="3:14" x14ac:dyDescent="0.3">
      <c r="C2990" s="54"/>
      <c r="N2990" s="33"/>
    </row>
    <row r="2991" spans="3:14" x14ac:dyDescent="0.3">
      <c r="C2991" s="54"/>
      <c r="N2991" s="33"/>
    </row>
    <row r="2992" spans="3:14" x14ac:dyDescent="0.3">
      <c r="C2992" s="54"/>
      <c r="N2992" s="33"/>
    </row>
    <row r="2993" spans="3:14" x14ac:dyDescent="0.3">
      <c r="C2993" s="54"/>
      <c r="N2993" s="33"/>
    </row>
    <row r="2994" spans="3:14" x14ac:dyDescent="0.3">
      <c r="C2994" s="54"/>
      <c r="N2994" s="33"/>
    </row>
    <row r="2995" spans="3:14" x14ac:dyDescent="0.3">
      <c r="C2995" s="54"/>
      <c r="N2995" s="33"/>
    </row>
    <row r="2996" spans="3:14" x14ac:dyDescent="0.3">
      <c r="C2996" s="54"/>
      <c r="N2996" s="33"/>
    </row>
    <row r="2997" spans="3:14" x14ac:dyDescent="0.3">
      <c r="C2997" s="54"/>
      <c r="N2997" s="33"/>
    </row>
    <row r="2998" spans="3:14" x14ac:dyDescent="0.3">
      <c r="C2998" s="54"/>
      <c r="N2998" s="33"/>
    </row>
    <row r="2999" spans="3:14" x14ac:dyDescent="0.3">
      <c r="C2999" s="54"/>
      <c r="N2999" s="33"/>
    </row>
    <row r="3000" spans="3:14" x14ac:dyDescent="0.3">
      <c r="C3000" s="54"/>
      <c r="N3000" s="33"/>
    </row>
    <row r="3001" spans="3:14" x14ac:dyDescent="0.3">
      <c r="C3001" s="54"/>
      <c r="N3001" s="33"/>
    </row>
    <row r="3002" spans="3:14" x14ac:dyDescent="0.3">
      <c r="C3002" s="54"/>
      <c r="N3002" s="33"/>
    </row>
    <row r="3003" spans="3:14" x14ac:dyDescent="0.3">
      <c r="C3003" s="54"/>
      <c r="N3003" s="33"/>
    </row>
    <row r="3004" spans="3:14" x14ac:dyDescent="0.3">
      <c r="C3004" s="54"/>
      <c r="N3004" s="33"/>
    </row>
    <row r="3005" spans="3:14" x14ac:dyDescent="0.3">
      <c r="C3005" s="54"/>
      <c r="N3005" s="33"/>
    </row>
    <row r="3006" spans="3:14" x14ac:dyDescent="0.3">
      <c r="C3006" s="54"/>
      <c r="N3006" s="33"/>
    </row>
    <row r="3007" spans="3:14" x14ac:dyDescent="0.3">
      <c r="C3007" s="54"/>
      <c r="N3007" s="33"/>
    </row>
    <row r="3008" spans="3:14" x14ac:dyDescent="0.3">
      <c r="C3008" s="54"/>
      <c r="N3008" s="33"/>
    </row>
    <row r="3009" spans="3:14" x14ac:dyDescent="0.3">
      <c r="C3009" s="54"/>
      <c r="N3009" s="33"/>
    </row>
    <row r="3010" spans="3:14" x14ac:dyDescent="0.3">
      <c r="C3010" s="54"/>
      <c r="N3010" s="33"/>
    </row>
    <row r="3011" spans="3:14" x14ac:dyDescent="0.3">
      <c r="C3011" s="54"/>
      <c r="N3011" s="33"/>
    </row>
    <row r="3012" spans="3:14" x14ac:dyDescent="0.3">
      <c r="C3012" s="54"/>
      <c r="N3012" s="33"/>
    </row>
    <row r="3013" spans="3:14" x14ac:dyDescent="0.3">
      <c r="C3013" s="54"/>
      <c r="N3013" s="33"/>
    </row>
    <row r="3014" spans="3:14" x14ac:dyDescent="0.3">
      <c r="C3014" s="54"/>
      <c r="N3014" s="33"/>
    </row>
    <row r="3015" spans="3:14" x14ac:dyDescent="0.3">
      <c r="C3015" s="54"/>
      <c r="N3015" s="33"/>
    </row>
    <row r="3016" spans="3:14" x14ac:dyDescent="0.3">
      <c r="C3016" s="54"/>
      <c r="N3016" s="33"/>
    </row>
    <row r="3017" spans="3:14" x14ac:dyDescent="0.3">
      <c r="C3017" s="54"/>
      <c r="N3017" s="33"/>
    </row>
    <row r="3018" spans="3:14" x14ac:dyDescent="0.3">
      <c r="C3018" s="54"/>
      <c r="N3018" s="33"/>
    </row>
    <row r="3019" spans="3:14" x14ac:dyDescent="0.3">
      <c r="C3019" s="54"/>
      <c r="N3019" s="33"/>
    </row>
    <row r="3020" spans="3:14" x14ac:dyDescent="0.3">
      <c r="C3020" s="54"/>
      <c r="N3020" s="33"/>
    </row>
    <row r="3021" spans="3:14" x14ac:dyDescent="0.3">
      <c r="C3021" s="54"/>
      <c r="N3021" s="33"/>
    </row>
    <row r="3022" spans="3:14" x14ac:dyDescent="0.3">
      <c r="C3022" s="54"/>
      <c r="N3022" s="33"/>
    </row>
    <row r="3023" spans="3:14" x14ac:dyDescent="0.3">
      <c r="C3023" s="54"/>
      <c r="N3023" s="33"/>
    </row>
    <row r="3024" spans="3:14" x14ac:dyDescent="0.3">
      <c r="C3024" s="54"/>
      <c r="N3024" s="33"/>
    </row>
    <row r="3025" spans="3:14" x14ac:dyDescent="0.3">
      <c r="C3025" s="54"/>
      <c r="N3025" s="33"/>
    </row>
    <row r="3026" spans="3:14" x14ac:dyDescent="0.3">
      <c r="C3026" s="54"/>
      <c r="N3026" s="33"/>
    </row>
    <row r="3027" spans="3:14" x14ac:dyDescent="0.3">
      <c r="C3027" s="54"/>
      <c r="N3027" s="33"/>
    </row>
    <row r="3028" spans="3:14" x14ac:dyDescent="0.3">
      <c r="C3028" s="54"/>
      <c r="N3028" s="33"/>
    </row>
    <row r="3029" spans="3:14" x14ac:dyDescent="0.3">
      <c r="C3029" s="54"/>
      <c r="N3029" s="33"/>
    </row>
    <row r="3030" spans="3:14" x14ac:dyDescent="0.3">
      <c r="C3030" s="54"/>
      <c r="N3030" s="33"/>
    </row>
    <row r="3031" spans="3:14" x14ac:dyDescent="0.3">
      <c r="C3031" s="54"/>
      <c r="N3031" s="33"/>
    </row>
    <row r="3032" spans="3:14" x14ac:dyDescent="0.3">
      <c r="C3032" s="54"/>
      <c r="N3032" s="33"/>
    </row>
    <row r="3033" spans="3:14" x14ac:dyDescent="0.3">
      <c r="C3033" s="54"/>
      <c r="N3033" s="33"/>
    </row>
    <row r="3034" spans="3:14" x14ac:dyDescent="0.3">
      <c r="C3034" s="54"/>
      <c r="N3034" s="33"/>
    </row>
    <row r="3035" spans="3:14" x14ac:dyDescent="0.3">
      <c r="C3035" s="54"/>
      <c r="N3035" s="33"/>
    </row>
    <row r="3036" spans="3:14" x14ac:dyDescent="0.3">
      <c r="C3036" s="54"/>
      <c r="N3036" s="33"/>
    </row>
    <row r="3037" spans="3:14" x14ac:dyDescent="0.3">
      <c r="C3037" s="54"/>
      <c r="N3037" s="33"/>
    </row>
    <row r="3038" spans="3:14" x14ac:dyDescent="0.3">
      <c r="C3038" s="54"/>
      <c r="N3038" s="33"/>
    </row>
    <row r="3039" spans="3:14" x14ac:dyDescent="0.3">
      <c r="C3039" s="54"/>
      <c r="N3039" s="33"/>
    </row>
    <row r="3040" spans="3:14" x14ac:dyDescent="0.3">
      <c r="C3040" s="54"/>
      <c r="N3040" s="33"/>
    </row>
    <row r="3041" spans="3:14" x14ac:dyDescent="0.3">
      <c r="C3041" s="54"/>
      <c r="N3041" s="33"/>
    </row>
    <row r="3042" spans="3:14" x14ac:dyDescent="0.3">
      <c r="C3042" s="54"/>
      <c r="N3042" s="33"/>
    </row>
    <row r="3043" spans="3:14" x14ac:dyDescent="0.3">
      <c r="C3043" s="54"/>
      <c r="N3043" s="33"/>
    </row>
    <row r="3044" spans="3:14" x14ac:dyDescent="0.3">
      <c r="C3044" s="54"/>
      <c r="N3044" s="33"/>
    </row>
    <row r="3045" spans="3:14" x14ac:dyDescent="0.3">
      <c r="C3045" s="54"/>
      <c r="N3045" s="33"/>
    </row>
    <row r="3046" spans="3:14" x14ac:dyDescent="0.3">
      <c r="C3046" s="54"/>
      <c r="N3046" s="33"/>
    </row>
    <row r="3047" spans="3:14" x14ac:dyDescent="0.3">
      <c r="C3047" s="54"/>
      <c r="N3047" s="33"/>
    </row>
    <row r="3048" spans="3:14" x14ac:dyDescent="0.3">
      <c r="C3048" s="54"/>
      <c r="N3048" s="33"/>
    </row>
    <row r="3049" spans="3:14" x14ac:dyDescent="0.3">
      <c r="C3049" s="54"/>
      <c r="N3049" s="33"/>
    </row>
    <row r="3050" spans="3:14" x14ac:dyDescent="0.3">
      <c r="C3050" s="54"/>
      <c r="N3050" s="33"/>
    </row>
    <row r="3051" spans="3:14" x14ac:dyDescent="0.3">
      <c r="C3051" s="54"/>
      <c r="N3051" s="33"/>
    </row>
    <row r="3052" spans="3:14" x14ac:dyDescent="0.3">
      <c r="C3052" s="54"/>
      <c r="N3052" s="33"/>
    </row>
    <row r="3053" spans="3:14" x14ac:dyDescent="0.3">
      <c r="C3053" s="54"/>
      <c r="N3053" s="33"/>
    </row>
    <row r="3054" spans="3:14" x14ac:dyDescent="0.3">
      <c r="C3054" s="54"/>
      <c r="N3054" s="33"/>
    </row>
    <row r="3055" spans="3:14" x14ac:dyDescent="0.3">
      <c r="C3055" s="54"/>
      <c r="N3055" s="33"/>
    </row>
    <row r="3056" spans="3:14" x14ac:dyDescent="0.3">
      <c r="C3056" s="54"/>
      <c r="N3056" s="33"/>
    </row>
    <row r="3057" spans="3:14" x14ac:dyDescent="0.3">
      <c r="C3057" s="54"/>
      <c r="N3057" s="33"/>
    </row>
    <row r="3058" spans="3:14" x14ac:dyDescent="0.3">
      <c r="C3058" s="54"/>
      <c r="N3058" s="33"/>
    </row>
    <row r="3059" spans="3:14" x14ac:dyDescent="0.3">
      <c r="C3059" s="54"/>
      <c r="N3059" s="33"/>
    </row>
    <row r="3060" spans="3:14" x14ac:dyDescent="0.3">
      <c r="C3060" s="54"/>
      <c r="N3060" s="33"/>
    </row>
    <row r="3061" spans="3:14" x14ac:dyDescent="0.3">
      <c r="C3061" s="54"/>
      <c r="N3061" s="33"/>
    </row>
    <row r="3062" spans="3:14" x14ac:dyDescent="0.3">
      <c r="C3062" s="54"/>
      <c r="N3062" s="33"/>
    </row>
    <row r="3063" spans="3:14" x14ac:dyDescent="0.3">
      <c r="C3063" s="54"/>
      <c r="N3063" s="33"/>
    </row>
    <row r="3064" spans="3:14" x14ac:dyDescent="0.3">
      <c r="C3064" s="54"/>
      <c r="N3064" s="33"/>
    </row>
    <row r="3065" spans="3:14" x14ac:dyDescent="0.3">
      <c r="C3065" s="54"/>
      <c r="N3065" s="33"/>
    </row>
    <row r="3066" spans="3:14" x14ac:dyDescent="0.3">
      <c r="C3066" s="54"/>
      <c r="N3066" s="33"/>
    </row>
    <row r="3067" spans="3:14" x14ac:dyDescent="0.3">
      <c r="C3067" s="54"/>
      <c r="N3067" s="33"/>
    </row>
    <row r="3068" spans="3:14" x14ac:dyDescent="0.3">
      <c r="C3068" s="54"/>
      <c r="N3068" s="33"/>
    </row>
    <row r="3069" spans="3:14" x14ac:dyDescent="0.3">
      <c r="C3069" s="54"/>
      <c r="N3069" s="33"/>
    </row>
    <row r="3070" spans="3:14" x14ac:dyDescent="0.3">
      <c r="C3070" s="54"/>
      <c r="N3070" s="33"/>
    </row>
    <row r="3071" spans="3:14" x14ac:dyDescent="0.3">
      <c r="C3071" s="54"/>
      <c r="N3071" s="33"/>
    </row>
    <row r="3072" spans="3:14" x14ac:dyDescent="0.3">
      <c r="C3072" s="54"/>
      <c r="N3072" s="33"/>
    </row>
    <row r="3073" spans="3:14" x14ac:dyDescent="0.3">
      <c r="C3073" s="54"/>
      <c r="N3073" s="33"/>
    </row>
    <row r="3074" spans="3:14" x14ac:dyDescent="0.3">
      <c r="C3074" s="54"/>
      <c r="N3074" s="33"/>
    </row>
    <row r="3075" spans="3:14" x14ac:dyDescent="0.3">
      <c r="C3075" s="54"/>
      <c r="N3075" s="33"/>
    </row>
    <row r="3076" spans="3:14" x14ac:dyDescent="0.3">
      <c r="C3076" s="54"/>
      <c r="N3076" s="33"/>
    </row>
    <row r="3077" spans="3:14" x14ac:dyDescent="0.3">
      <c r="C3077" s="54"/>
      <c r="N3077" s="33"/>
    </row>
    <row r="3078" spans="3:14" x14ac:dyDescent="0.3">
      <c r="C3078" s="54"/>
      <c r="N3078" s="33"/>
    </row>
    <row r="3079" spans="3:14" x14ac:dyDescent="0.3">
      <c r="C3079" s="54"/>
      <c r="N3079" s="33"/>
    </row>
    <row r="3080" spans="3:14" x14ac:dyDescent="0.3">
      <c r="C3080" s="54"/>
      <c r="N3080" s="33"/>
    </row>
    <row r="3081" spans="3:14" x14ac:dyDescent="0.3">
      <c r="C3081" s="54"/>
      <c r="N3081" s="33"/>
    </row>
    <row r="3082" spans="3:14" x14ac:dyDescent="0.3">
      <c r="C3082" s="54"/>
      <c r="N3082" s="33"/>
    </row>
    <row r="3083" spans="3:14" x14ac:dyDescent="0.3">
      <c r="C3083" s="54"/>
      <c r="N3083" s="33"/>
    </row>
    <row r="3084" spans="3:14" x14ac:dyDescent="0.3">
      <c r="C3084" s="54"/>
      <c r="N3084" s="33"/>
    </row>
    <row r="3085" spans="3:14" x14ac:dyDescent="0.3">
      <c r="C3085" s="54"/>
      <c r="N3085" s="33"/>
    </row>
    <row r="3086" spans="3:14" x14ac:dyDescent="0.3">
      <c r="C3086" s="54"/>
      <c r="N3086" s="33"/>
    </row>
    <row r="3087" spans="3:14" x14ac:dyDescent="0.3">
      <c r="C3087" s="54"/>
      <c r="N3087" s="33"/>
    </row>
    <row r="3088" spans="3:14" x14ac:dyDescent="0.3">
      <c r="C3088" s="54"/>
      <c r="N3088" s="33"/>
    </row>
    <row r="3089" spans="3:14" x14ac:dyDescent="0.3">
      <c r="C3089" s="54"/>
      <c r="N3089" s="33"/>
    </row>
    <row r="3090" spans="3:14" x14ac:dyDescent="0.3">
      <c r="C3090" s="54"/>
      <c r="N3090" s="33"/>
    </row>
    <row r="3091" spans="3:14" x14ac:dyDescent="0.3">
      <c r="C3091" s="54"/>
      <c r="N3091" s="33"/>
    </row>
    <row r="3092" spans="3:14" x14ac:dyDescent="0.3">
      <c r="C3092" s="54"/>
      <c r="N3092" s="33"/>
    </row>
    <row r="3093" spans="3:14" x14ac:dyDescent="0.3">
      <c r="C3093" s="54"/>
      <c r="N3093" s="33"/>
    </row>
    <row r="3094" spans="3:14" x14ac:dyDescent="0.3">
      <c r="C3094" s="54"/>
      <c r="N3094" s="33"/>
    </row>
    <row r="3095" spans="3:14" x14ac:dyDescent="0.3">
      <c r="C3095" s="54"/>
      <c r="N3095" s="33"/>
    </row>
    <row r="3096" spans="3:14" x14ac:dyDescent="0.3">
      <c r="C3096" s="54"/>
      <c r="N3096" s="33"/>
    </row>
    <row r="3097" spans="3:14" x14ac:dyDescent="0.3">
      <c r="C3097" s="54"/>
      <c r="N3097" s="33"/>
    </row>
    <row r="3098" spans="3:14" x14ac:dyDescent="0.3">
      <c r="C3098" s="54"/>
      <c r="N3098" s="33"/>
    </row>
    <row r="3099" spans="3:14" x14ac:dyDescent="0.3">
      <c r="C3099" s="54"/>
      <c r="N3099" s="33"/>
    </row>
    <row r="3100" spans="3:14" x14ac:dyDescent="0.3">
      <c r="C3100" s="54"/>
      <c r="N3100" s="33"/>
    </row>
    <row r="3101" spans="3:14" x14ac:dyDescent="0.3">
      <c r="C3101" s="54"/>
      <c r="N3101" s="33"/>
    </row>
    <row r="3102" spans="3:14" x14ac:dyDescent="0.3">
      <c r="C3102" s="54"/>
      <c r="N3102" s="33"/>
    </row>
    <row r="3103" spans="3:14" x14ac:dyDescent="0.3">
      <c r="C3103" s="54"/>
      <c r="N3103" s="33"/>
    </row>
    <row r="3104" spans="3:14" x14ac:dyDescent="0.3">
      <c r="C3104" s="54"/>
      <c r="N3104" s="33"/>
    </row>
    <row r="3105" spans="3:14" x14ac:dyDescent="0.3">
      <c r="C3105" s="54"/>
      <c r="N3105" s="33"/>
    </row>
    <row r="3106" spans="3:14" x14ac:dyDescent="0.3">
      <c r="C3106" s="54"/>
      <c r="N3106" s="33"/>
    </row>
    <row r="3107" spans="3:14" x14ac:dyDescent="0.3">
      <c r="C3107" s="54"/>
      <c r="N3107" s="33"/>
    </row>
    <row r="3108" spans="3:14" x14ac:dyDescent="0.3">
      <c r="C3108" s="54"/>
      <c r="N3108" s="33"/>
    </row>
    <row r="3109" spans="3:14" x14ac:dyDescent="0.3">
      <c r="C3109" s="54"/>
      <c r="N3109" s="33"/>
    </row>
    <row r="3110" spans="3:14" x14ac:dyDescent="0.3">
      <c r="C3110" s="54"/>
      <c r="N3110" s="33"/>
    </row>
    <row r="3111" spans="3:14" x14ac:dyDescent="0.3">
      <c r="C3111" s="54"/>
      <c r="N3111" s="33"/>
    </row>
    <row r="3112" spans="3:14" x14ac:dyDescent="0.3">
      <c r="C3112" s="54"/>
      <c r="N3112" s="33"/>
    </row>
    <row r="3113" spans="3:14" x14ac:dyDescent="0.3">
      <c r="C3113" s="54"/>
      <c r="N3113" s="33"/>
    </row>
    <row r="3114" spans="3:14" x14ac:dyDescent="0.3">
      <c r="C3114" s="54"/>
      <c r="N3114" s="33"/>
    </row>
    <row r="3115" spans="3:14" x14ac:dyDescent="0.3">
      <c r="C3115" s="54"/>
      <c r="N3115" s="33"/>
    </row>
    <row r="3116" spans="3:14" x14ac:dyDescent="0.3">
      <c r="C3116" s="54"/>
      <c r="N3116" s="33"/>
    </row>
    <row r="3117" spans="3:14" x14ac:dyDescent="0.3">
      <c r="C3117" s="54"/>
      <c r="N3117" s="33"/>
    </row>
    <row r="3118" spans="3:14" x14ac:dyDescent="0.3">
      <c r="C3118" s="54"/>
      <c r="N3118" s="33"/>
    </row>
    <row r="3119" spans="3:14" x14ac:dyDescent="0.3">
      <c r="C3119" s="54"/>
      <c r="N3119" s="33"/>
    </row>
    <row r="3120" spans="3:14" x14ac:dyDescent="0.3">
      <c r="C3120" s="54"/>
      <c r="N3120" s="33"/>
    </row>
    <row r="3121" spans="3:14" x14ac:dyDescent="0.3">
      <c r="C3121" s="54"/>
      <c r="N3121" s="33"/>
    </row>
    <row r="3122" spans="3:14" x14ac:dyDescent="0.3">
      <c r="C3122" s="54"/>
      <c r="N3122" s="33"/>
    </row>
    <row r="3123" spans="3:14" x14ac:dyDescent="0.3">
      <c r="C3123" s="54"/>
      <c r="N3123" s="33"/>
    </row>
    <row r="3124" spans="3:14" x14ac:dyDescent="0.3">
      <c r="C3124" s="54"/>
      <c r="N3124" s="33"/>
    </row>
    <row r="3125" spans="3:14" x14ac:dyDescent="0.3">
      <c r="C3125" s="54"/>
      <c r="N3125" s="33"/>
    </row>
    <row r="3126" spans="3:14" x14ac:dyDescent="0.3">
      <c r="C3126" s="54"/>
      <c r="N3126" s="33"/>
    </row>
    <row r="3127" spans="3:14" x14ac:dyDescent="0.3">
      <c r="C3127" s="54"/>
      <c r="N3127" s="33"/>
    </row>
    <row r="3128" spans="3:14" x14ac:dyDescent="0.3">
      <c r="C3128" s="54"/>
      <c r="N3128" s="33"/>
    </row>
    <row r="3129" spans="3:14" x14ac:dyDescent="0.3">
      <c r="C3129" s="54"/>
      <c r="N3129" s="33"/>
    </row>
    <row r="3130" spans="3:14" x14ac:dyDescent="0.3">
      <c r="C3130" s="54"/>
      <c r="N3130" s="33"/>
    </row>
    <row r="3131" spans="3:14" x14ac:dyDescent="0.3">
      <c r="C3131" s="54"/>
      <c r="N3131" s="33"/>
    </row>
    <row r="3132" spans="3:14" x14ac:dyDescent="0.3">
      <c r="C3132" s="54"/>
      <c r="N3132" s="33"/>
    </row>
    <row r="3133" spans="3:14" x14ac:dyDescent="0.3">
      <c r="C3133" s="54"/>
      <c r="N3133" s="33"/>
    </row>
    <row r="3134" spans="3:14" x14ac:dyDescent="0.3">
      <c r="C3134" s="54"/>
      <c r="N3134" s="33"/>
    </row>
    <row r="3135" spans="3:14" x14ac:dyDescent="0.3">
      <c r="C3135" s="54"/>
      <c r="N3135" s="33"/>
    </row>
    <row r="3136" spans="3:14" x14ac:dyDescent="0.3">
      <c r="C3136" s="54"/>
      <c r="N3136" s="33"/>
    </row>
    <row r="3137" spans="3:14" x14ac:dyDescent="0.3">
      <c r="C3137" s="54"/>
      <c r="N3137" s="33"/>
    </row>
    <row r="3138" spans="3:14" x14ac:dyDescent="0.3">
      <c r="C3138" s="54"/>
      <c r="N3138" s="33"/>
    </row>
    <row r="3139" spans="3:14" x14ac:dyDescent="0.3">
      <c r="C3139" s="54"/>
      <c r="N3139" s="33"/>
    </row>
    <row r="3140" spans="3:14" x14ac:dyDescent="0.3">
      <c r="C3140" s="54"/>
      <c r="N3140" s="33"/>
    </row>
    <row r="3141" spans="3:14" x14ac:dyDescent="0.3">
      <c r="C3141" s="54"/>
      <c r="N3141" s="33"/>
    </row>
    <row r="3142" spans="3:14" x14ac:dyDescent="0.3">
      <c r="C3142" s="54"/>
      <c r="N3142" s="33"/>
    </row>
    <row r="3143" spans="3:14" x14ac:dyDescent="0.3">
      <c r="C3143" s="54"/>
      <c r="N3143" s="33"/>
    </row>
    <row r="3144" spans="3:14" x14ac:dyDescent="0.3">
      <c r="C3144" s="54"/>
      <c r="N3144" s="33"/>
    </row>
    <row r="3145" spans="3:14" x14ac:dyDescent="0.3">
      <c r="C3145" s="54"/>
      <c r="N3145" s="33"/>
    </row>
    <row r="3146" spans="3:14" x14ac:dyDescent="0.3">
      <c r="C3146" s="54"/>
      <c r="N3146" s="33"/>
    </row>
    <row r="3147" spans="3:14" x14ac:dyDescent="0.3">
      <c r="C3147" s="54"/>
      <c r="N3147" s="33"/>
    </row>
    <row r="3148" spans="3:14" x14ac:dyDescent="0.3">
      <c r="C3148" s="54"/>
      <c r="N3148" s="33"/>
    </row>
    <row r="3149" spans="3:14" x14ac:dyDescent="0.3">
      <c r="C3149" s="54"/>
      <c r="N3149" s="33"/>
    </row>
    <row r="3150" spans="3:14" x14ac:dyDescent="0.3">
      <c r="C3150" s="54"/>
      <c r="N3150" s="33"/>
    </row>
    <row r="3151" spans="3:14" x14ac:dyDescent="0.3">
      <c r="C3151" s="54"/>
      <c r="N3151" s="33"/>
    </row>
    <row r="3152" spans="3:14" x14ac:dyDescent="0.3">
      <c r="C3152" s="54"/>
      <c r="N3152" s="33"/>
    </row>
    <row r="3153" spans="3:14" x14ac:dyDescent="0.3">
      <c r="C3153" s="54"/>
      <c r="N3153" s="33"/>
    </row>
    <row r="3154" spans="3:14" x14ac:dyDescent="0.3">
      <c r="C3154" s="54"/>
      <c r="N3154" s="33"/>
    </row>
    <row r="3155" spans="3:14" x14ac:dyDescent="0.3">
      <c r="C3155" s="54"/>
      <c r="N3155" s="33"/>
    </row>
    <row r="3156" spans="3:14" x14ac:dyDescent="0.3">
      <c r="C3156" s="54"/>
      <c r="N3156" s="33"/>
    </row>
    <row r="3157" spans="3:14" x14ac:dyDescent="0.3">
      <c r="C3157" s="54"/>
      <c r="N3157" s="33"/>
    </row>
    <row r="3158" spans="3:14" x14ac:dyDescent="0.3">
      <c r="C3158" s="54"/>
      <c r="N3158" s="33"/>
    </row>
    <row r="3159" spans="3:14" x14ac:dyDescent="0.3">
      <c r="C3159" s="54"/>
      <c r="N3159" s="33"/>
    </row>
    <row r="3160" spans="3:14" x14ac:dyDescent="0.3">
      <c r="C3160" s="54"/>
      <c r="N3160" s="33"/>
    </row>
    <row r="3161" spans="3:14" x14ac:dyDescent="0.3">
      <c r="C3161" s="54"/>
      <c r="N3161" s="33"/>
    </row>
    <row r="3162" spans="3:14" x14ac:dyDescent="0.3">
      <c r="C3162" s="54"/>
      <c r="N3162" s="33"/>
    </row>
    <row r="3163" spans="3:14" x14ac:dyDescent="0.3">
      <c r="C3163" s="54"/>
      <c r="N3163" s="33"/>
    </row>
    <row r="3164" spans="3:14" x14ac:dyDescent="0.3">
      <c r="C3164" s="54"/>
      <c r="N3164" s="33"/>
    </row>
    <row r="3165" spans="3:14" x14ac:dyDescent="0.3">
      <c r="C3165" s="54"/>
      <c r="N3165" s="33"/>
    </row>
    <row r="3166" spans="3:14" x14ac:dyDescent="0.3">
      <c r="C3166" s="54"/>
      <c r="N3166" s="33"/>
    </row>
    <row r="3167" spans="3:14" x14ac:dyDescent="0.3">
      <c r="C3167" s="54"/>
      <c r="N3167" s="33"/>
    </row>
    <row r="3168" spans="3:14" x14ac:dyDescent="0.3">
      <c r="C3168" s="54"/>
      <c r="N3168" s="33"/>
    </row>
    <row r="3169" spans="3:14" x14ac:dyDescent="0.3">
      <c r="C3169" s="54"/>
      <c r="N3169" s="33"/>
    </row>
    <row r="3170" spans="3:14" x14ac:dyDescent="0.3">
      <c r="C3170" s="54"/>
      <c r="N3170" s="33"/>
    </row>
    <row r="3171" spans="3:14" x14ac:dyDescent="0.3">
      <c r="C3171" s="54"/>
      <c r="N3171" s="33"/>
    </row>
    <row r="3172" spans="3:14" x14ac:dyDescent="0.3">
      <c r="C3172" s="54"/>
      <c r="N3172" s="33"/>
    </row>
    <row r="3173" spans="3:14" x14ac:dyDescent="0.3">
      <c r="C3173" s="54"/>
      <c r="N3173" s="33"/>
    </row>
    <row r="3174" spans="3:14" x14ac:dyDescent="0.3">
      <c r="C3174" s="54"/>
      <c r="N3174" s="33"/>
    </row>
    <row r="3175" spans="3:14" x14ac:dyDescent="0.3">
      <c r="C3175" s="54"/>
      <c r="N3175" s="33"/>
    </row>
    <row r="3176" spans="3:14" x14ac:dyDescent="0.3">
      <c r="C3176" s="54"/>
      <c r="N3176" s="33"/>
    </row>
    <row r="3177" spans="3:14" x14ac:dyDescent="0.3">
      <c r="C3177" s="54"/>
      <c r="N3177" s="33"/>
    </row>
    <row r="3178" spans="3:14" x14ac:dyDescent="0.3">
      <c r="C3178" s="54"/>
      <c r="N3178" s="33"/>
    </row>
    <row r="3179" spans="3:14" x14ac:dyDescent="0.3">
      <c r="C3179" s="54"/>
      <c r="N3179" s="33"/>
    </row>
    <row r="3180" spans="3:14" x14ac:dyDescent="0.3">
      <c r="C3180" s="54"/>
      <c r="N3180" s="33"/>
    </row>
    <row r="3181" spans="3:14" x14ac:dyDescent="0.3">
      <c r="C3181" s="54"/>
      <c r="N3181" s="33"/>
    </row>
    <row r="3182" spans="3:14" x14ac:dyDescent="0.3">
      <c r="C3182" s="54"/>
      <c r="N3182" s="33"/>
    </row>
    <row r="3183" spans="3:14" x14ac:dyDescent="0.3">
      <c r="C3183" s="54"/>
      <c r="N3183" s="33"/>
    </row>
    <row r="3184" spans="3:14" x14ac:dyDescent="0.3">
      <c r="C3184" s="54"/>
      <c r="N3184" s="33"/>
    </row>
    <row r="3185" spans="3:14" x14ac:dyDescent="0.3">
      <c r="C3185" s="54"/>
      <c r="N3185" s="33"/>
    </row>
    <row r="3186" spans="3:14" x14ac:dyDescent="0.3">
      <c r="C3186" s="54"/>
      <c r="N3186" s="33"/>
    </row>
    <row r="3187" spans="3:14" x14ac:dyDescent="0.3">
      <c r="C3187" s="54"/>
      <c r="N3187" s="33"/>
    </row>
    <row r="3188" spans="3:14" x14ac:dyDescent="0.3">
      <c r="C3188" s="54"/>
      <c r="N3188" s="33"/>
    </row>
    <row r="3189" spans="3:14" x14ac:dyDescent="0.3">
      <c r="C3189" s="54"/>
      <c r="N3189" s="33"/>
    </row>
    <row r="3190" spans="3:14" x14ac:dyDescent="0.3">
      <c r="C3190" s="54"/>
      <c r="N3190" s="33"/>
    </row>
    <row r="3191" spans="3:14" x14ac:dyDescent="0.3">
      <c r="C3191" s="54"/>
      <c r="N3191" s="33"/>
    </row>
    <row r="3192" spans="3:14" x14ac:dyDescent="0.3">
      <c r="C3192" s="54"/>
      <c r="N3192" s="33"/>
    </row>
    <row r="3193" spans="3:14" x14ac:dyDescent="0.3">
      <c r="C3193" s="54"/>
      <c r="N3193" s="33"/>
    </row>
    <row r="3194" spans="3:14" x14ac:dyDescent="0.3">
      <c r="C3194" s="54"/>
      <c r="N3194" s="33"/>
    </row>
    <row r="3195" spans="3:14" x14ac:dyDescent="0.3">
      <c r="C3195" s="54"/>
      <c r="N3195" s="33"/>
    </row>
    <row r="3196" spans="3:14" x14ac:dyDescent="0.3">
      <c r="C3196" s="54"/>
      <c r="N3196" s="33"/>
    </row>
    <row r="3197" spans="3:14" x14ac:dyDescent="0.3">
      <c r="C3197" s="54"/>
      <c r="N3197" s="33"/>
    </row>
    <row r="3198" spans="3:14" x14ac:dyDescent="0.3">
      <c r="C3198" s="54"/>
      <c r="N3198" s="33"/>
    </row>
    <row r="3199" spans="3:14" x14ac:dyDescent="0.3">
      <c r="C3199" s="54"/>
      <c r="N3199" s="33"/>
    </row>
    <row r="3200" spans="3:14" x14ac:dyDescent="0.3">
      <c r="C3200" s="54"/>
      <c r="N3200" s="33"/>
    </row>
    <row r="3201" spans="3:14" x14ac:dyDescent="0.3">
      <c r="C3201" s="54"/>
      <c r="N3201" s="33"/>
    </row>
    <row r="3202" spans="3:14" x14ac:dyDescent="0.3">
      <c r="C3202" s="54"/>
      <c r="N3202" s="33"/>
    </row>
    <row r="3203" spans="3:14" x14ac:dyDescent="0.3">
      <c r="C3203" s="54"/>
      <c r="N3203" s="33"/>
    </row>
    <row r="3204" spans="3:14" x14ac:dyDescent="0.3">
      <c r="C3204" s="54"/>
      <c r="N3204" s="33"/>
    </row>
    <row r="3205" spans="3:14" x14ac:dyDescent="0.3">
      <c r="C3205" s="54"/>
      <c r="N3205" s="33"/>
    </row>
    <row r="3206" spans="3:14" x14ac:dyDescent="0.3">
      <c r="C3206" s="54"/>
      <c r="N3206" s="33"/>
    </row>
    <row r="3207" spans="3:14" x14ac:dyDescent="0.3">
      <c r="C3207" s="54"/>
      <c r="N3207" s="33"/>
    </row>
    <row r="3208" spans="3:14" x14ac:dyDescent="0.3">
      <c r="C3208" s="54"/>
      <c r="N3208" s="33"/>
    </row>
    <row r="3209" spans="3:14" x14ac:dyDescent="0.3">
      <c r="C3209" s="54"/>
      <c r="N3209" s="33"/>
    </row>
    <row r="3210" spans="3:14" x14ac:dyDescent="0.3">
      <c r="C3210" s="54"/>
      <c r="N3210" s="33"/>
    </row>
    <row r="3211" spans="3:14" x14ac:dyDescent="0.3">
      <c r="C3211" s="54"/>
      <c r="N3211" s="33"/>
    </row>
    <row r="3212" spans="3:14" x14ac:dyDescent="0.3">
      <c r="C3212" s="54"/>
      <c r="N3212" s="33"/>
    </row>
    <row r="3213" spans="3:14" x14ac:dyDescent="0.3">
      <c r="C3213" s="54"/>
      <c r="N3213" s="33"/>
    </row>
    <row r="3214" spans="3:14" x14ac:dyDescent="0.3">
      <c r="C3214" s="54"/>
      <c r="N3214" s="33"/>
    </row>
    <row r="3215" spans="3:14" x14ac:dyDescent="0.3">
      <c r="C3215" s="54"/>
      <c r="N3215" s="33"/>
    </row>
    <row r="3216" spans="3:14" x14ac:dyDescent="0.3">
      <c r="C3216" s="54"/>
      <c r="N3216" s="33"/>
    </row>
    <row r="3217" spans="3:14" x14ac:dyDescent="0.3">
      <c r="C3217" s="54"/>
      <c r="N3217" s="33"/>
    </row>
    <row r="3218" spans="3:14" x14ac:dyDescent="0.3">
      <c r="C3218" s="54"/>
      <c r="N3218" s="33"/>
    </row>
    <row r="3219" spans="3:14" x14ac:dyDescent="0.3">
      <c r="C3219" s="54"/>
      <c r="N3219" s="33"/>
    </row>
    <row r="3220" spans="3:14" x14ac:dyDescent="0.3">
      <c r="C3220" s="54"/>
      <c r="N3220" s="33"/>
    </row>
    <row r="3221" spans="3:14" x14ac:dyDescent="0.3">
      <c r="C3221" s="54"/>
      <c r="N3221" s="33"/>
    </row>
    <row r="3222" spans="3:14" x14ac:dyDescent="0.3">
      <c r="C3222" s="54"/>
      <c r="N3222" s="33"/>
    </row>
    <row r="3223" spans="3:14" x14ac:dyDescent="0.3">
      <c r="C3223" s="54"/>
      <c r="N3223" s="33"/>
    </row>
    <row r="3224" spans="3:14" x14ac:dyDescent="0.3">
      <c r="C3224" s="54"/>
      <c r="N3224" s="33"/>
    </row>
    <row r="3225" spans="3:14" x14ac:dyDescent="0.3">
      <c r="C3225" s="54"/>
      <c r="N3225" s="33"/>
    </row>
    <row r="3226" spans="3:14" x14ac:dyDescent="0.3">
      <c r="C3226" s="54"/>
      <c r="N3226" s="33"/>
    </row>
    <row r="3227" spans="3:14" x14ac:dyDescent="0.3">
      <c r="C3227" s="54"/>
      <c r="N3227" s="33"/>
    </row>
    <row r="3228" spans="3:14" x14ac:dyDescent="0.3">
      <c r="C3228" s="54"/>
      <c r="N3228" s="33"/>
    </row>
    <row r="3229" spans="3:14" x14ac:dyDescent="0.3">
      <c r="C3229" s="54"/>
      <c r="N3229" s="33"/>
    </row>
    <row r="3230" spans="3:14" x14ac:dyDescent="0.3">
      <c r="C3230" s="54"/>
      <c r="N3230" s="33"/>
    </row>
    <row r="3231" spans="3:14" x14ac:dyDescent="0.3">
      <c r="C3231" s="54"/>
      <c r="N3231" s="33"/>
    </row>
    <row r="3232" spans="3:14" x14ac:dyDescent="0.3">
      <c r="C3232" s="54"/>
      <c r="N3232" s="33"/>
    </row>
    <row r="3233" spans="3:14" x14ac:dyDescent="0.3">
      <c r="C3233" s="54"/>
      <c r="N3233" s="33"/>
    </row>
    <row r="3234" spans="3:14" x14ac:dyDescent="0.3">
      <c r="C3234" s="54"/>
      <c r="N3234" s="33"/>
    </row>
    <row r="3235" spans="3:14" x14ac:dyDescent="0.3">
      <c r="C3235" s="54"/>
      <c r="N3235" s="33"/>
    </row>
    <row r="3236" spans="3:14" x14ac:dyDescent="0.3">
      <c r="C3236" s="54"/>
      <c r="N3236" s="33"/>
    </row>
    <row r="3237" spans="3:14" x14ac:dyDescent="0.3">
      <c r="C3237" s="54"/>
      <c r="N3237" s="33"/>
    </row>
    <row r="3238" spans="3:14" x14ac:dyDescent="0.3">
      <c r="C3238" s="54"/>
      <c r="N3238" s="33"/>
    </row>
    <row r="3239" spans="3:14" x14ac:dyDescent="0.3">
      <c r="C3239" s="54"/>
      <c r="N3239" s="33"/>
    </row>
    <row r="3240" spans="3:14" x14ac:dyDescent="0.3">
      <c r="C3240" s="54"/>
      <c r="N3240" s="33"/>
    </row>
    <row r="3241" spans="3:14" x14ac:dyDescent="0.3">
      <c r="C3241" s="54"/>
      <c r="N3241" s="33"/>
    </row>
    <row r="3242" spans="3:14" x14ac:dyDescent="0.3">
      <c r="C3242" s="54"/>
      <c r="N3242" s="33"/>
    </row>
    <row r="3243" spans="3:14" x14ac:dyDescent="0.3">
      <c r="C3243" s="54"/>
      <c r="N3243" s="33"/>
    </row>
    <row r="3244" spans="3:14" x14ac:dyDescent="0.3">
      <c r="C3244" s="54"/>
      <c r="N3244" s="33"/>
    </row>
    <row r="3245" spans="3:14" x14ac:dyDescent="0.3">
      <c r="C3245" s="54"/>
      <c r="N3245" s="33"/>
    </row>
    <row r="3246" spans="3:14" x14ac:dyDescent="0.3">
      <c r="C3246" s="54"/>
      <c r="N3246" s="33"/>
    </row>
    <row r="3247" spans="3:14" x14ac:dyDescent="0.3">
      <c r="C3247" s="54"/>
      <c r="N3247" s="33"/>
    </row>
    <row r="3248" spans="3:14" x14ac:dyDescent="0.3">
      <c r="C3248" s="54"/>
      <c r="N3248" s="33"/>
    </row>
    <row r="3249" spans="3:14" x14ac:dyDescent="0.3">
      <c r="C3249" s="54"/>
      <c r="N3249" s="33"/>
    </row>
    <row r="3250" spans="3:14" x14ac:dyDescent="0.3">
      <c r="C3250" s="54"/>
      <c r="N3250" s="33"/>
    </row>
    <row r="3251" spans="3:14" x14ac:dyDescent="0.3">
      <c r="C3251" s="54"/>
      <c r="N3251" s="33"/>
    </row>
    <row r="3252" spans="3:14" x14ac:dyDescent="0.3">
      <c r="C3252" s="54"/>
      <c r="N3252" s="33"/>
    </row>
    <row r="3253" spans="3:14" x14ac:dyDescent="0.3">
      <c r="C3253" s="54"/>
      <c r="N3253" s="33"/>
    </row>
    <row r="3254" spans="3:14" x14ac:dyDescent="0.3">
      <c r="C3254" s="54"/>
      <c r="N3254" s="33"/>
    </row>
    <row r="3255" spans="3:14" x14ac:dyDescent="0.3">
      <c r="C3255" s="54"/>
      <c r="N3255" s="33"/>
    </row>
    <row r="3256" spans="3:14" x14ac:dyDescent="0.3">
      <c r="C3256" s="54"/>
      <c r="N3256" s="33"/>
    </row>
    <row r="3257" spans="3:14" x14ac:dyDescent="0.3">
      <c r="C3257" s="54"/>
      <c r="N3257" s="33"/>
    </row>
    <row r="3258" spans="3:14" x14ac:dyDescent="0.3">
      <c r="C3258" s="54"/>
      <c r="N3258" s="33"/>
    </row>
    <row r="3259" spans="3:14" x14ac:dyDescent="0.3">
      <c r="C3259" s="54"/>
      <c r="N3259" s="33"/>
    </row>
    <row r="3260" spans="3:14" x14ac:dyDescent="0.3">
      <c r="C3260" s="54"/>
      <c r="N3260" s="33"/>
    </row>
    <row r="3261" spans="3:14" x14ac:dyDescent="0.3">
      <c r="C3261" s="54"/>
      <c r="N3261" s="33"/>
    </row>
    <row r="3262" spans="3:14" x14ac:dyDescent="0.3">
      <c r="C3262" s="54"/>
      <c r="N3262" s="33"/>
    </row>
    <row r="3263" spans="3:14" x14ac:dyDescent="0.3">
      <c r="C3263" s="54"/>
      <c r="N3263" s="33"/>
    </row>
    <row r="3264" spans="3:14" x14ac:dyDescent="0.3">
      <c r="C3264" s="54"/>
      <c r="N3264" s="33"/>
    </row>
    <row r="3265" spans="3:14" x14ac:dyDescent="0.3">
      <c r="C3265" s="54"/>
      <c r="N3265" s="33"/>
    </row>
    <row r="3266" spans="3:14" x14ac:dyDescent="0.3">
      <c r="C3266" s="54"/>
      <c r="N3266" s="33"/>
    </row>
    <row r="3267" spans="3:14" x14ac:dyDescent="0.3">
      <c r="C3267" s="54"/>
      <c r="N3267" s="33"/>
    </row>
    <row r="3268" spans="3:14" x14ac:dyDescent="0.3">
      <c r="C3268" s="54"/>
      <c r="N3268" s="33"/>
    </row>
    <row r="3269" spans="3:14" x14ac:dyDescent="0.3">
      <c r="C3269" s="54"/>
      <c r="N3269" s="33"/>
    </row>
    <row r="3270" spans="3:14" x14ac:dyDescent="0.3">
      <c r="C3270" s="54"/>
      <c r="N3270" s="33"/>
    </row>
    <row r="3271" spans="3:14" x14ac:dyDescent="0.3">
      <c r="C3271" s="54"/>
      <c r="N3271" s="33"/>
    </row>
    <row r="3272" spans="3:14" x14ac:dyDescent="0.3">
      <c r="C3272" s="54"/>
      <c r="N3272" s="33"/>
    </row>
    <row r="3273" spans="3:14" x14ac:dyDescent="0.3">
      <c r="C3273" s="54"/>
      <c r="N3273" s="33"/>
    </row>
    <row r="3274" spans="3:14" x14ac:dyDescent="0.3">
      <c r="C3274" s="54"/>
      <c r="N3274" s="33"/>
    </row>
    <row r="3275" spans="3:14" x14ac:dyDescent="0.3">
      <c r="C3275" s="54"/>
      <c r="N3275" s="33"/>
    </row>
    <row r="3276" spans="3:14" x14ac:dyDescent="0.3">
      <c r="C3276" s="54"/>
      <c r="N3276" s="33"/>
    </row>
    <row r="3277" spans="3:14" x14ac:dyDescent="0.3">
      <c r="C3277" s="54"/>
      <c r="N3277" s="33"/>
    </row>
    <row r="3278" spans="3:14" x14ac:dyDescent="0.3">
      <c r="C3278" s="54"/>
      <c r="N3278" s="33"/>
    </row>
    <row r="3279" spans="3:14" x14ac:dyDescent="0.3">
      <c r="C3279" s="54"/>
      <c r="N3279" s="33"/>
    </row>
    <row r="3280" spans="3:14" x14ac:dyDescent="0.3">
      <c r="C3280" s="54"/>
      <c r="N3280" s="33"/>
    </row>
    <row r="3281" spans="3:14" x14ac:dyDescent="0.3">
      <c r="C3281" s="54"/>
      <c r="N3281" s="33"/>
    </row>
    <row r="3282" spans="3:14" x14ac:dyDescent="0.3">
      <c r="C3282" s="54"/>
      <c r="N3282" s="33"/>
    </row>
    <row r="3283" spans="3:14" x14ac:dyDescent="0.3">
      <c r="C3283" s="54"/>
      <c r="N3283" s="33"/>
    </row>
    <row r="3284" spans="3:14" x14ac:dyDescent="0.3">
      <c r="C3284" s="54"/>
      <c r="N3284" s="33"/>
    </row>
    <row r="3285" spans="3:14" x14ac:dyDescent="0.3">
      <c r="C3285" s="54"/>
      <c r="N3285" s="33"/>
    </row>
    <row r="3286" spans="3:14" x14ac:dyDescent="0.3">
      <c r="C3286" s="54"/>
      <c r="N3286" s="33"/>
    </row>
    <row r="3287" spans="3:14" x14ac:dyDescent="0.3">
      <c r="C3287" s="54"/>
      <c r="N3287" s="33"/>
    </row>
    <row r="3288" spans="3:14" x14ac:dyDescent="0.3">
      <c r="C3288" s="54"/>
      <c r="N3288" s="33"/>
    </row>
    <row r="3289" spans="3:14" x14ac:dyDescent="0.3">
      <c r="C3289" s="54"/>
      <c r="N3289" s="33"/>
    </row>
    <row r="3290" spans="3:14" x14ac:dyDescent="0.3">
      <c r="C3290" s="54"/>
      <c r="N3290" s="33"/>
    </row>
    <row r="3291" spans="3:14" x14ac:dyDescent="0.3">
      <c r="C3291" s="54"/>
      <c r="N3291" s="33"/>
    </row>
    <row r="3292" spans="3:14" x14ac:dyDescent="0.3">
      <c r="C3292" s="54"/>
      <c r="N3292" s="33"/>
    </row>
    <row r="3293" spans="3:14" x14ac:dyDescent="0.3">
      <c r="C3293" s="54"/>
      <c r="N3293" s="33"/>
    </row>
    <row r="3294" spans="3:14" x14ac:dyDescent="0.3">
      <c r="C3294" s="54"/>
      <c r="N3294" s="33"/>
    </row>
    <row r="3295" spans="3:14" x14ac:dyDescent="0.3">
      <c r="C3295" s="54"/>
      <c r="N3295" s="33"/>
    </row>
    <row r="3296" spans="3:14" x14ac:dyDescent="0.3">
      <c r="C3296" s="54"/>
      <c r="N3296" s="33"/>
    </row>
    <row r="3297" spans="3:14" x14ac:dyDescent="0.3">
      <c r="C3297" s="54"/>
      <c r="N3297" s="33"/>
    </row>
    <row r="3298" spans="3:14" x14ac:dyDescent="0.3">
      <c r="C3298" s="54"/>
      <c r="N3298" s="33"/>
    </row>
    <row r="3299" spans="3:14" x14ac:dyDescent="0.3">
      <c r="C3299" s="54"/>
      <c r="N3299" s="33"/>
    </row>
    <row r="3300" spans="3:14" x14ac:dyDescent="0.3">
      <c r="C3300" s="54"/>
      <c r="N3300" s="33"/>
    </row>
    <row r="3301" spans="3:14" x14ac:dyDescent="0.3">
      <c r="C3301" s="54"/>
      <c r="N3301" s="33"/>
    </row>
    <row r="3302" spans="3:14" x14ac:dyDescent="0.3">
      <c r="C3302" s="54"/>
      <c r="N3302" s="33"/>
    </row>
    <row r="3303" spans="3:14" x14ac:dyDescent="0.3">
      <c r="C3303" s="54"/>
      <c r="N3303" s="33"/>
    </row>
    <row r="3304" spans="3:14" x14ac:dyDescent="0.3">
      <c r="C3304" s="54"/>
      <c r="N3304" s="33"/>
    </row>
    <row r="3305" spans="3:14" x14ac:dyDescent="0.3">
      <c r="C3305" s="54"/>
      <c r="N3305" s="33"/>
    </row>
    <row r="3306" spans="3:14" x14ac:dyDescent="0.3">
      <c r="C3306" s="54"/>
      <c r="N3306" s="33"/>
    </row>
    <row r="3307" spans="3:14" x14ac:dyDescent="0.3">
      <c r="C3307" s="54"/>
      <c r="N3307" s="33"/>
    </row>
    <row r="3308" spans="3:14" x14ac:dyDescent="0.3">
      <c r="C3308" s="54"/>
      <c r="N3308" s="33"/>
    </row>
    <row r="3309" spans="3:14" x14ac:dyDescent="0.3">
      <c r="C3309" s="54"/>
      <c r="N3309" s="33"/>
    </row>
    <row r="3310" spans="3:14" x14ac:dyDescent="0.3">
      <c r="C3310" s="54"/>
      <c r="N3310" s="33"/>
    </row>
    <row r="3311" spans="3:14" x14ac:dyDescent="0.3">
      <c r="C3311" s="54"/>
      <c r="N3311" s="33"/>
    </row>
    <row r="3312" spans="3:14" x14ac:dyDescent="0.3">
      <c r="C3312" s="54"/>
      <c r="N3312" s="33"/>
    </row>
    <row r="3313" spans="3:14" x14ac:dyDescent="0.3">
      <c r="C3313" s="54"/>
      <c r="N3313" s="33"/>
    </row>
    <row r="3314" spans="3:14" x14ac:dyDescent="0.3">
      <c r="C3314" s="54"/>
      <c r="N3314" s="33"/>
    </row>
    <row r="3315" spans="3:14" x14ac:dyDescent="0.3">
      <c r="C3315" s="54"/>
      <c r="N3315" s="33"/>
    </row>
    <row r="3316" spans="3:14" x14ac:dyDescent="0.3">
      <c r="C3316" s="54"/>
      <c r="N3316" s="33"/>
    </row>
    <row r="3317" spans="3:14" x14ac:dyDescent="0.3">
      <c r="C3317" s="54"/>
      <c r="N3317" s="33"/>
    </row>
    <row r="3318" spans="3:14" x14ac:dyDescent="0.3">
      <c r="C3318" s="54"/>
      <c r="N3318" s="33"/>
    </row>
    <row r="3319" spans="3:14" x14ac:dyDescent="0.3">
      <c r="C3319" s="54"/>
      <c r="N3319" s="33"/>
    </row>
    <row r="3320" spans="3:14" x14ac:dyDescent="0.3">
      <c r="C3320" s="54"/>
      <c r="N3320" s="33"/>
    </row>
    <row r="3321" spans="3:14" x14ac:dyDescent="0.3">
      <c r="C3321" s="54"/>
      <c r="N3321" s="33"/>
    </row>
    <row r="3322" spans="3:14" x14ac:dyDescent="0.3">
      <c r="C3322" s="54"/>
      <c r="N3322" s="33"/>
    </row>
    <row r="3323" spans="3:14" x14ac:dyDescent="0.3">
      <c r="C3323" s="54"/>
      <c r="N3323" s="33"/>
    </row>
    <row r="3324" spans="3:14" x14ac:dyDescent="0.3">
      <c r="C3324" s="54"/>
      <c r="N3324" s="33"/>
    </row>
    <row r="3325" spans="3:14" x14ac:dyDescent="0.3">
      <c r="C3325" s="54"/>
      <c r="N3325" s="33"/>
    </row>
    <row r="3326" spans="3:14" x14ac:dyDescent="0.3">
      <c r="C3326" s="54"/>
      <c r="N3326" s="33"/>
    </row>
    <row r="3327" spans="3:14" x14ac:dyDescent="0.3">
      <c r="C3327" s="54"/>
      <c r="N3327" s="33"/>
    </row>
    <row r="3328" spans="3:14" x14ac:dyDescent="0.3">
      <c r="C3328" s="54"/>
      <c r="N3328" s="33"/>
    </row>
    <row r="3329" spans="3:14" x14ac:dyDescent="0.3">
      <c r="C3329" s="54"/>
      <c r="N3329" s="33"/>
    </row>
    <row r="3330" spans="3:14" x14ac:dyDescent="0.3">
      <c r="C3330" s="54"/>
      <c r="N3330" s="33"/>
    </row>
    <row r="3331" spans="3:14" x14ac:dyDescent="0.3">
      <c r="C3331" s="54"/>
      <c r="N3331" s="33"/>
    </row>
    <row r="3332" spans="3:14" x14ac:dyDescent="0.3">
      <c r="C3332" s="54"/>
      <c r="N3332" s="33"/>
    </row>
    <row r="3333" spans="3:14" x14ac:dyDescent="0.3">
      <c r="C3333" s="54"/>
      <c r="N3333" s="33"/>
    </row>
    <row r="3334" spans="3:14" x14ac:dyDescent="0.3">
      <c r="C3334" s="54"/>
      <c r="N3334" s="33"/>
    </row>
    <row r="3335" spans="3:14" x14ac:dyDescent="0.3">
      <c r="C3335" s="54"/>
      <c r="N3335" s="33"/>
    </row>
    <row r="3336" spans="3:14" x14ac:dyDescent="0.3">
      <c r="C3336" s="54"/>
      <c r="N3336" s="33"/>
    </row>
    <row r="3337" spans="3:14" x14ac:dyDescent="0.3">
      <c r="C3337" s="54"/>
      <c r="N3337" s="33"/>
    </row>
    <row r="3338" spans="3:14" x14ac:dyDescent="0.3">
      <c r="C3338" s="54"/>
      <c r="N3338" s="33"/>
    </row>
    <row r="3339" spans="3:14" x14ac:dyDescent="0.3">
      <c r="C3339" s="54"/>
      <c r="N3339" s="33"/>
    </row>
    <row r="3340" spans="3:14" x14ac:dyDescent="0.3">
      <c r="C3340" s="54"/>
      <c r="N3340" s="33"/>
    </row>
    <row r="3341" spans="3:14" x14ac:dyDescent="0.3">
      <c r="C3341" s="54"/>
      <c r="N3341" s="33"/>
    </row>
    <row r="3342" spans="3:14" x14ac:dyDescent="0.3">
      <c r="C3342" s="54"/>
      <c r="N3342" s="33"/>
    </row>
    <row r="3343" spans="3:14" x14ac:dyDescent="0.3">
      <c r="C3343" s="54"/>
      <c r="N3343" s="33"/>
    </row>
    <row r="3344" spans="3:14" x14ac:dyDescent="0.3">
      <c r="C3344" s="54"/>
      <c r="N3344" s="33"/>
    </row>
    <row r="3345" spans="3:14" x14ac:dyDescent="0.3">
      <c r="C3345" s="54"/>
      <c r="N3345" s="33"/>
    </row>
    <row r="3346" spans="3:14" x14ac:dyDescent="0.3">
      <c r="C3346" s="54"/>
      <c r="N3346" s="33"/>
    </row>
    <row r="3347" spans="3:14" x14ac:dyDescent="0.3">
      <c r="C3347" s="54"/>
      <c r="N3347" s="33"/>
    </row>
    <row r="3348" spans="3:14" x14ac:dyDescent="0.3">
      <c r="C3348" s="54"/>
      <c r="N3348" s="33"/>
    </row>
    <row r="3349" spans="3:14" x14ac:dyDescent="0.3">
      <c r="C3349" s="54"/>
      <c r="N3349" s="33"/>
    </row>
    <row r="3350" spans="3:14" x14ac:dyDescent="0.3">
      <c r="C3350" s="54"/>
      <c r="N3350" s="33"/>
    </row>
    <row r="3351" spans="3:14" x14ac:dyDescent="0.3">
      <c r="C3351" s="54"/>
      <c r="N3351" s="33"/>
    </row>
    <row r="3352" spans="3:14" x14ac:dyDescent="0.3">
      <c r="C3352" s="54"/>
      <c r="N3352" s="33"/>
    </row>
    <row r="3353" spans="3:14" x14ac:dyDescent="0.3">
      <c r="C3353" s="54"/>
      <c r="N3353" s="33"/>
    </row>
    <row r="3354" spans="3:14" x14ac:dyDescent="0.3">
      <c r="C3354" s="54"/>
      <c r="N3354" s="33"/>
    </row>
    <row r="3355" spans="3:14" x14ac:dyDescent="0.3">
      <c r="C3355" s="54"/>
      <c r="N3355" s="33"/>
    </row>
    <row r="3356" spans="3:14" x14ac:dyDescent="0.3">
      <c r="C3356" s="54"/>
      <c r="N3356" s="33"/>
    </row>
    <row r="3357" spans="3:14" x14ac:dyDescent="0.3">
      <c r="C3357" s="54"/>
      <c r="N3357" s="33"/>
    </row>
    <row r="3358" spans="3:14" x14ac:dyDescent="0.3">
      <c r="C3358" s="54"/>
      <c r="N3358" s="33"/>
    </row>
    <row r="3359" spans="3:14" x14ac:dyDescent="0.3">
      <c r="C3359" s="54"/>
      <c r="N3359" s="33"/>
    </row>
    <row r="3360" spans="3:14" x14ac:dyDescent="0.3">
      <c r="C3360" s="54"/>
      <c r="N3360" s="33"/>
    </row>
    <row r="3361" spans="3:14" x14ac:dyDescent="0.3">
      <c r="C3361" s="54"/>
      <c r="N3361" s="33"/>
    </row>
    <row r="3362" spans="3:14" x14ac:dyDescent="0.3">
      <c r="C3362" s="54"/>
      <c r="N3362" s="33"/>
    </row>
    <row r="3363" spans="3:14" x14ac:dyDescent="0.3">
      <c r="C3363" s="54"/>
      <c r="N3363" s="33"/>
    </row>
    <row r="3364" spans="3:14" x14ac:dyDescent="0.3">
      <c r="C3364" s="54"/>
      <c r="N3364" s="33"/>
    </row>
    <row r="3365" spans="3:14" x14ac:dyDescent="0.3">
      <c r="C3365" s="54"/>
      <c r="N3365" s="33"/>
    </row>
    <row r="3366" spans="3:14" x14ac:dyDescent="0.3">
      <c r="C3366" s="54"/>
      <c r="N3366" s="33"/>
    </row>
    <row r="3367" spans="3:14" x14ac:dyDescent="0.3">
      <c r="C3367" s="54"/>
      <c r="N3367" s="33"/>
    </row>
    <row r="3368" spans="3:14" x14ac:dyDescent="0.3">
      <c r="C3368" s="54"/>
      <c r="N3368" s="33"/>
    </row>
    <row r="3369" spans="3:14" x14ac:dyDescent="0.3">
      <c r="C3369" s="54"/>
      <c r="N3369" s="33"/>
    </row>
    <row r="3370" spans="3:14" x14ac:dyDescent="0.3">
      <c r="C3370" s="54"/>
      <c r="N3370" s="33"/>
    </row>
    <row r="3371" spans="3:14" x14ac:dyDescent="0.3">
      <c r="C3371" s="54"/>
      <c r="N3371" s="33"/>
    </row>
    <row r="3372" spans="3:14" x14ac:dyDescent="0.3">
      <c r="C3372" s="54"/>
      <c r="N3372" s="33"/>
    </row>
    <row r="3373" spans="3:14" x14ac:dyDescent="0.3">
      <c r="C3373" s="54"/>
      <c r="N3373" s="33"/>
    </row>
    <row r="3374" spans="3:14" x14ac:dyDescent="0.3">
      <c r="C3374" s="54"/>
      <c r="N3374" s="33"/>
    </row>
    <row r="3375" spans="3:14" x14ac:dyDescent="0.3">
      <c r="C3375" s="54"/>
      <c r="N3375" s="33"/>
    </row>
    <row r="3376" spans="3:14" x14ac:dyDescent="0.3">
      <c r="C3376" s="54"/>
      <c r="N3376" s="33"/>
    </row>
    <row r="3377" spans="3:14" x14ac:dyDescent="0.3">
      <c r="C3377" s="54"/>
      <c r="N3377" s="33"/>
    </row>
    <row r="3378" spans="3:14" x14ac:dyDescent="0.3">
      <c r="C3378" s="54"/>
      <c r="N3378" s="33"/>
    </row>
    <row r="3379" spans="3:14" x14ac:dyDescent="0.3">
      <c r="C3379" s="54"/>
      <c r="N3379" s="33"/>
    </row>
    <row r="3380" spans="3:14" x14ac:dyDescent="0.3">
      <c r="C3380" s="54"/>
      <c r="N3380" s="33"/>
    </row>
    <row r="3381" spans="3:14" x14ac:dyDescent="0.3">
      <c r="C3381" s="54"/>
      <c r="N3381" s="33"/>
    </row>
    <row r="3382" spans="3:14" x14ac:dyDescent="0.3">
      <c r="C3382" s="54"/>
      <c r="N3382" s="33"/>
    </row>
    <row r="3383" spans="3:14" x14ac:dyDescent="0.3">
      <c r="C3383" s="54"/>
      <c r="N3383" s="33"/>
    </row>
    <row r="3384" spans="3:14" x14ac:dyDescent="0.3">
      <c r="C3384" s="54"/>
      <c r="N3384" s="33"/>
    </row>
    <row r="3385" spans="3:14" x14ac:dyDescent="0.3">
      <c r="C3385" s="54"/>
      <c r="N3385" s="33"/>
    </row>
    <row r="3386" spans="3:14" x14ac:dyDescent="0.3">
      <c r="C3386" s="54"/>
      <c r="N3386" s="33"/>
    </row>
    <row r="3387" spans="3:14" x14ac:dyDescent="0.3">
      <c r="C3387" s="54"/>
      <c r="N3387" s="33"/>
    </row>
    <row r="3388" spans="3:14" x14ac:dyDescent="0.3">
      <c r="C3388" s="54"/>
      <c r="N3388" s="33"/>
    </row>
    <row r="3389" spans="3:14" x14ac:dyDescent="0.3">
      <c r="C3389" s="54"/>
      <c r="N3389" s="33"/>
    </row>
    <row r="3390" spans="3:14" x14ac:dyDescent="0.3">
      <c r="C3390" s="54"/>
      <c r="N3390" s="33"/>
    </row>
    <row r="3391" spans="3:14" x14ac:dyDescent="0.3">
      <c r="C3391" s="54"/>
      <c r="N3391" s="33"/>
    </row>
    <row r="3392" spans="3:14" x14ac:dyDescent="0.3">
      <c r="C3392" s="54"/>
      <c r="N3392" s="33"/>
    </row>
    <row r="3393" spans="3:14" x14ac:dyDescent="0.3">
      <c r="C3393" s="54"/>
      <c r="N3393" s="33"/>
    </row>
    <row r="3394" spans="3:14" x14ac:dyDescent="0.3">
      <c r="C3394" s="54"/>
      <c r="N3394" s="33"/>
    </row>
    <row r="3395" spans="3:14" x14ac:dyDescent="0.3">
      <c r="C3395" s="54"/>
      <c r="N3395" s="33"/>
    </row>
    <row r="3396" spans="3:14" x14ac:dyDescent="0.3">
      <c r="C3396" s="54"/>
      <c r="N3396" s="33"/>
    </row>
    <row r="3397" spans="3:14" x14ac:dyDescent="0.3">
      <c r="C3397" s="54"/>
      <c r="N3397" s="33"/>
    </row>
    <row r="3398" spans="3:14" x14ac:dyDescent="0.3">
      <c r="C3398" s="54"/>
      <c r="N3398" s="33"/>
    </row>
    <row r="3399" spans="3:14" x14ac:dyDescent="0.3">
      <c r="C3399" s="54"/>
      <c r="N3399" s="33"/>
    </row>
    <row r="3400" spans="3:14" x14ac:dyDescent="0.3">
      <c r="C3400" s="54"/>
      <c r="N3400" s="33"/>
    </row>
    <row r="3401" spans="3:14" x14ac:dyDescent="0.3">
      <c r="C3401" s="54"/>
      <c r="N3401" s="33"/>
    </row>
    <row r="3402" spans="3:14" x14ac:dyDescent="0.3">
      <c r="C3402" s="54"/>
      <c r="N3402" s="33"/>
    </row>
    <row r="3403" spans="3:14" x14ac:dyDescent="0.3">
      <c r="C3403" s="54"/>
      <c r="N3403" s="33"/>
    </row>
    <row r="3404" spans="3:14" x14ac:dyDescent="0.3">
      <c r="C3404" s="54"/>
      <c r="N3404" s="33"/>
    </row>
    <row r="3405" spans="3:14" x14ac:dyDescent="0.3">
      <c r="C3405" s="54"/>
      <c r="N3405" s="33"/>
    </row>
    <row r="3406" spans="3:14" x14ac:dyDescent="0.3">
      <c r="C3406" s="54"/>
      <c r="N3406" s="33"/>
    </row>
    <row r="3407" spans="3:14" x14ac:dyDescent="0.3">
      <c r="C3407" s="54"/>
      <c r="N3407" s="33"/>
    </row>
    <row r="3408" spans="3:14" x14ac:dyDescent="0.3">
      <c r="C3408" s="54"/>
      <c r="N3408" s="33"/>
    </row>
    <row r="3409" spans="3:14" x14ac:dyDescent="0.3">
      <c r="C3409" s="54"/>
      <c r="N3409" s="33"/>
    </row>
    <row r="3410" spans="3:14" x14ac:dyDescent="0.3">
      <c r="C3410" s="54"/>
      <c r="N3410" s="33"/>
    </row>
    <row r="3411" spans="3:14" x14ac:dyDescent="0.3">
      <c r="C3411" s="54"/>
      <c r="N3411" s="33"/>
    </row>
    <row r="3412" spans="3:14" x14ac:dyDescent="0.3">
      <c r="C3412" s="54"/>
      <c r="N3412" s="33"/>
    </row>
    <row r="3413" spans="3:14" x14ac:dyDescent="0.3">
      <c r="C3413" s="54"/>
      <c r="N3413" s="33"/>
    </row>
    <row r="3414" spans="3:14" x14ac:dyDescent="0.3">
      <c r="C3414" s="54"/>
      <c r="N3414" s="33"/>
    </row>
    <row r="3415" spans="3:14" x14ac:dyDescent="0.3">
      <c r="C3415" s="54"/>
      <c r="N3415" s="33"/>
    </row>
    <row r="3416" spans="3:14" x14ac:dyDescent="0.3">
      <c r="C3416" s="54"/>
      <c r="N3416" s="33"/>
    </row>
    <row r="3417" spans="3:14" x14ac:dyDescent="0.3">
      <c r="C3417" s="54"/>
      <c r="N3417" s="33"/>
    </row>
    <row r="3418" spans="3:14" x14ac:dyDescent="0.3">
      <c r="C3418" s="54"/>
      <c r="N3418" s="33"/>
    </row>
    <row r="3419" spans="3:14" x14ac:dyDescent="0.3">
      <c r="C3419" s="54"/>
      <c r="N3419" s="33"/>
    </row>
    <row r="3420" spans="3:14" x14ac:dyDescent="0.3">
      <c r="C3420" s="54"/>
      <c r="N3420" s="33"/>
    </row>
    <row r="3421" spans="3:14" x14ac:dyDescent="0.3">
      <c r="C3421" s="54"/>
      <c r="N3421" s="33"/>
    </row>
    <row r="3422" spans="3:14" x14ac:dyDescent="0.3">
      <c r="C3422" s="54"/>
      <c r="N3422" s="33"/>
    </row>
    <row r="3423" spans="3:14" x14ac:dyDescent="0.3">
      <c r="C3423" s="54"/>
      <c r="N3423" s="33"/>
    </row>
    <row r="3424" spans="3:14" x14ac:dyDescent="0.3">
      <c r="C3424" s="54"/>
      <c r="N3424" s="33"/>
    </row>
    <row r="3425" spans="3:14" x14ac:dyDescent="0.3">
      <c r="C3425" s="54"/>
      <c r="N3425" s="33"/>
    </row>
    <row r="3426" spans="3:14" x14ac:dyDescent="0.3">
      <c r="C3426" s="54"/>
      <c r="N3426" s="33"/>
    </row>
    <row r="3427" spans="3:14" x14ac:dyDescent="0.3">
      <c r="C3427" s="54"/>
      <c r="N3427" s="33"/>
    </row>
    <row r="3428" spans="3:14" x14ac:dyDescent="0.3">
      <c r="C3428" s="54"/>
      <c r="N3428" s="33"/>
    </row>
    <row r="3429" spans="3:14" x14ac:dyDescent="0.3">
      <c r="C3429" s="54"/>
      <c r="N3429" s="33"/>
    </row>
    <row r="3430" spans="3:14" x14ac:dyDescent="0.3">
      <c r="C3430" s="54"/>
      <c r="N3430" s="33"/>
    </row>
    <row r="3431" spans="3:14" x14ac:dyDescent="0.3">
      <c r="C3431" s="54"/>
      <c r="N3431" s="33"/>
    </row>
    <row r="3432" spans="3:14" x14ac:dyDescent="0.3">
      <c r="C3432" s="54"/>
      <c r="N3432" s="33"/>
    </row>
    <row r="3433" spans="3:14" x14ac:dyDescent="0.3">
      <c r="C3433" s="54"/>
      <c r="N3433" s="33"/>
    </row>
    <row r="3434" spans="3:14" x14ac:dyDescent="0.3">
      <c r="C3434" s="54"/>
      <c r="N3434" s="33"/>
    </row>
    <row r="3435" spans="3:14" x14ac:dyDescent="0.3">
      <c r="C3435" s="54"/>
      <c r="N3435" s="33"/>
    </row>
    <row r="3436" spans="3:14" x14ac:dyDescent="0.3">
      <c r="C3436" s="54"/>
      <c r="N3436" s="33"/>
    </row>
    <row r="3437" spans="3:14" x14ac:dyDescent="0.3">
      <c r="C3437" s="54"/>
      <c r="N3437" s="33"/>
    </row>
    <row r="3438" spans="3:14" x14ac:dyDescent="0.3">
      <c r="C3438" s="54"/>
      <c r="N3438" s="33"/>
    </row>
    <row r="3439" spans="3:14" x14ac:dyDescent="0.3">
      <c r="C3439" s="54"/>
      <c r="N3439" s="33"/>
    </row>
    <row r="3440" spans="3:14" x14ac:dyDescent="0.3">
      <c r="C3440" s="54"/>
      <c r="N3440" s="33"/>
    </row>
    <row r="3441" spans="3:14" x14ac:dyDescent="0.3">
      <c r="C3441" s="54"/>
      <c r="N3441" s="33"/>
    </row>
    <row r="3442" spans="3:14" x14ac:dyDescent="0.3">
      <c r="C3442" s="54"/>
      <c r="N3442" s="33"/>
    </row>
    <row r="3443" spans="3:14" x14ac:dyDescent="0.3">
      <c r="C3443" s="54"/>
      <c r="N3443" s="33"/>
    </row>
    <row r="3444" spans="3:14" x14ac:dyDescent="0.3">
      <c r="C3444" s="54"/>
      <c r="N3444" s="33"/>
    </row>
    <row r="3445" spans="3:14" x14ac:dyDescent="0.3">
      <c r="C3445" s="54"/>
      <c r="N3445" s="33"/>
    </row>
    <row r="3446" spans="3:14" x14ac:dyDescent="0.3">
      <c r="C3446" s="54"/>
      <c r="N3446" s="33"/>
    </row>
    <row r="3447" spans="3:14" x14ac:dyDescent="0.3">
      <c r="C3447" s="54"/>
      <c r="N3447" s="33"/>
    </row>
    <row r="3448" spans="3:14" x14ac:dyDescent="0.3">
      <c r="C3448" s="54"/>
      <c r="N3448" s="33"/>
    </row>
    <row r="3449" spans="3:14" x14ac:dyDescent="0.3">
      <c r="C3449" s="54"/>
      <c r="N3449" s="33"/>
    </row>
    <row r="3450" spans="3:14" x14ac:dyDescent="0.3">
      <c r="C3450" s="54"/>
      <c r="N3450" s="33"/>
    </row>
    <row r="3451" spans="3:14" x14ac:dyDescent="0.3">
      <c r="C3451" s="54"/>
      <c r="N3451" s="33"/>
    </row>
    <row r="3452" spans="3:14" x14ac:dyDescent="0.3">
      <c r="C3452" s="54"/>
      <c r="N3452" s="33"/>
    </row>
    <row r="3453" spans="3:14" x14ac:dyDescent="0.3">
      <c r="C3453" s="54"/>
      <c r="N3453" s="33"/>
    </row>
    <row r="3454" spans="3:14" x14ac:dyDescent="0.3">
      <c r="C3454" s="54"/>
      <c r="N3454" s="33"/>
    </row>
    <row r="3455" spans="3:14" x14ac:dyDescent="0.3">
      <c r="C3455" s="54"/>
      <c r="N3455" s="33"/>
    </row>
    <row r="3456" spans="3:14" x14ac:dyDescent="0.3">
      <c r="C3456" s="54"/>
      <c r="N3456" s="33"/>
    </row>
    <row r="3457" spans="3:14" x14ac:dyDescent="0.3">
      <c r="C3457" s="54"/>
      <c r="N3457" s="33"/>
    </row>
    <row r="3458" spans="3:14" x14ac:dyDescent="0.3">
      <c r="C3458" s="54"/>
      <c r="N3458" s="33"/>
    </row>
    <row r="3459" spans="3:14" x14ac:dyDescent="0.3">
      <c r="C3459" s="54"/>
      <c r="N3459" s="33"/>
    </row>
    <row r="3460" spans="3:14" x14ac:dyDescent="0.3">
      <c r="C3460" s="54"/>
      <c r="N3460" s="33"/>
    </row>
    <row r="3461" spans="3:14" x14ac:dyDescent="0.3">
      <c r="C3461" s="54"/>
      <c r="N3461" s="33"/>
    </row>
    <row r="3462" spans="3:14" x14ac:dyDescent="0.3">
      <c r="C3462" s="54"/>
      <c r="N3462" s="33"/>
    </row>
    <row r="3463" spans="3:14" x14ac:dyDescent="0.3">
      <c r="C3463" s="54"/>
      <c r="N3463" s="33"/>
    </row>
    <row r="3464" spans="3:14" x14ac:dyDescent="0.3">
      <c r="C3464" s="54"/>
      <c r="N3464" s="33"/>
    </row>
    <row r="3465" spans="3:14" x14ac:dyDescent="0.3">
      <c r="C3465" s="54"/>
      <c r="N3465" s="33"/>
    </row>
    <row r="3466" spans="3:14" x14ac:dyDescent="0.3">
      <c r="C3466" s="54"/>
      <c r="N3466" s="33"/>
    </row>
    <row r="3467" spans="3:14" x14ac:dyDescent="0.3">
      <c r="C3467" s="54"/>
      <c r="N3467" s="33"/>
    </row>
    <row r="3468" spans="3:14" x14ac:dyDescent="0.3">
      <c r="C3468" s="54"/>
      <c r="N3468" s="33"/>
    </row>
    <row r="3469" spans="3:14" x14ac:dyDescent="0.3">
      <c r="C3469" s="54"/>
      <c r="N3469" s="33"/>
    </row>
    <row r="3470" spans="3:14" x14ac:dyDescent="0.3">
      <c r="C3470" s="54"/>
      <c r="N3470" s="33"/>
    </row>
    <row r="3471" spans="3:14" x14ac:dyDescent="0.3">
      <c r="C3471" s="54"/>
      <c r="N3471" s="33"/>
    </row>
    <row r="3472" spans="3:14" x14ac:dyDescent="0.3">
      <c r="C3472" s="54"/>
      <c r="N3472" s="33"/>
    </row>
    <row r="3473" spans="3:14" x14ac:dyDescent="0.3">
      <c r="C3473" s="54"/>
      <c r="N3473" s="33"/>
    </row>
    <row r="3474" spans="3:14" x14ac:dyDescent="0.3">
      <c r="C3474" s="54"/>
      <c r="N3474" s="33"/>
    </row>
    <row r="3475" spans="3:14" x14ac:dyDescent="0.3">
      <c r="C3475" s="54"/>
      <c r="N3475" s="33"/>
    </row>
    <row r="3476" spans="3:14" x14ac:dyDescent="0.3">
      <c r="C3476" s="54"/>
      <c r="N3476" s="33"/>
    </row>
    <row r="3477" spans="3:14" x14ac:dyDescent="0.3">
      <c r="C3477" s="54"/>
      <c r="N3477" s="33"/>
    </row>
    <row r="3478" spans="3:14" x14ac:dyDescent="0.3">
      <c r="C3478" s="54"/>
      <c r="N3478" s="33"/>
    </row>
    <row r="3479" spans="3:14" x14ac:dyDescent="0.3">
      <c r="C3479" s="54"/>
      <c r="N3479" s="33"/>
    </row>
    <row r="3480" spans="3:14" x14ac:dyDescent="0.3">
      <c r="C3480" s="54"/>
      <c r="N3480" s="33"/>
    </row>
    <row r="3481" spans="3:14" x14ac:dyDescent="0.3">
      <c r="C3481" s="54"/>
      <c r="N3481" s="33"/>
    </row>
    <row r="3482" spans="3:14" x14ac:dyDescent="0.3">
      <c r="C3482" s="54"/>
      <c r="N3482" s="33"/>
    </row>
    <row r="3483" spans="3:14" x14ac:dyDescent="0.3">
      <c r="C3483" s="54"/>
      <c r="N3483" s="33"/>
    </row>
    <row r="3484" spans="3:14" x14ac:dyDescent="0.3">
      <c r="C3484" s="54"/>
      <c r="N3484" s="33"/>
    </row>
    <row r="3485" spans="3:14" x14ac:dyDescent="0.3">
      <c r="C3485" s="54"/>
      <c r="N3485" s="33"/>
    </row>
    <row r="3486" spans="3:14" x14ac:dyDescent="0.3">
      <c r="C3486" s="54"/>
      <c r="N3486" s="33"/>
    </row>
    <row r="3487" spans="3:14" x14ac:dyDescent="0.3">
      <c r="C3487" s="54"/>
      <c r="N3487" s="33"/>
    </row>
    <row r="3488" spans="3:14" x14ac:dyDescent="0.3">
      <c r="C3488" s="54"/>
      <c r="N3488" s="33"/>
    </row>
    <row r="3489" spans="3:14" x14ac:dyDescent="0.3">
      <c r="C3489" s="54"/>
      <c r="N3489" s="33"/>
    </row>
    <row r="3490" spans="3:14" x14ac:dyDescent="0.3">
      <c r="C3490" s="54"/>
      <c r="N3490" s="33"/>
    </row>
    <row r="3491" spans="3:14" x14ac:dyDescent="0.3">
      <c r="C3491" s="54"/>
      <c r="N3491" s="33"/>
    </row>
    <row r="3492" spans="3:14" x14ac:dyDescent="0.3">
      <c r="C3492" s="54"/>
      <c r="N3492" s="33"/>
    </row>
    <row r="3493" spans="3:14" x14ac:dyDescent="0.3">
      <c r="C3493" s="54"/>
      <c r="N3493" s="33"/>
    </row>
    <row r="3494" spans="3:14" x14ac:dyDescent="0.3">
      <c r="C3494" s="54"/>
      <c r="N3494" s="33"/>
    </row>
    <row r="3495" spans="3:14" x14ac:dyDescent="0.3">
      <c r="C3495" s="54"/>
      <c r="N3495" s="33"/>
    </row>
    <row r="3496" spans="3:14" x14ac:dyDescent="0.3">
      <c r="C3496" s="54"/>
      <c r="N3496" s="33"/>
    </row>
    <row r="3497" spans="3:14" x14ac:dyDescent="0.3">
      <c r="C3497" s="54"/>
      <c r="N3497" s="33"/>
    </row>
    <row r="3498" spans="3:14" x14ac:dyDescent="0.3">
      <c r="C3498" s="54"/>
      <c r="N3498" s="33"/>
    </row>
    <row r="3499" spans="3:14" x14ac:dyDescent="0.3">
      <c r="C3499" s="54"/>
      <c r="N3499" s="33"/>
    </row>
    <row r="3500" spans="3:14" x14ac:dyDescent="0.3">
      <c r="C3500" s="54"/>
      <c r="N3500" s="33"/>
    </row>
    <row r="3501" spans="3:14" x14ac:dyDescent="0.3">
      <c r="C3501" s="54"/>
      <c r="N3501" s="33"/>
    </row>
    <row r="3502" spans="3:14" x14ac:dyDescent="0.3">
      <c r="C3502" s="54"/>
      <c r="N3502" s="33"/>
    </row>
    <row r="3503" spans="3:14" x14ac:dyDescent="0.3">
      <c r="C3503" s="54"/>
      <c r="N3503" s="33"/>
    </row>
    <row r="3504" spans="3:14" x14ac:dyDescent="0.3">
      <c r="C3504" s="54"/>
      <c r="N3504" s="33"/>
    </row>
    <row r="3505" spans="3:14" x14ac:dyDescent="0.3">
      <c r="C3505" s="54"/>
      <c r="N3505" s="33"/>
    </row>
    <row r="3506" spans="3:14" x14ac:dyDescent="0.3">
      <c r="C3506" s="54"/>
      <c r="N3506" s="33"/>
    </row>
    <row r="3507" spans="3:14" x14ac:dyDescent="0.3">
      <c r="C3507" s="54"/>
      <c r="N3507" s="33"/>
    </row>
    <row r="3508" spans="3:14" x14ac:dyDescent="0.3">
      <c r="C3508" s="54"/>
      <c r="N3508" s="33"/>
    </row>
    <row r="3509" spans="3:14" x14ac:dyDescent="0.3">
      <c r="C3509" s="54"/>
      <c r="N3509" s="33"/>
    </row>
    <row r="3510" spans="3:14" x14ac:dyDescent="0.3">
      <c r="C3510" s="54"/>
      <c r="N3510" s="33"/>
    </row>
    <row r="3511" spans="3:14" x14ac:dyDescent="0.3">
      <c r="C3511" s="54"/>
      <c r="N3511" s="33"/>
    </row>
    <row r="3512" spans="3:14" x14ac:dyDescent="0.3">
      <c r="C3512" s="54"/>
      <c r="N3512" s="33"/>
    </row>
    <row r="3513" spans="3:14" x14ac:dyDescent="0.3">
      <c r="C3513" s="54"/>
      <c r="N3513" s="33"/>
    </row>
    <row r="3514" spans="3:14" x14ac:dyDescent="0.3">
      <c r="C3514" s="54"/>
      <c r="N3514" s="33"/>
    </row>
    <row r="3515" spans="3:14" x14ac:dyDescent="0.3">
      <c r="C3515" s="54"/>
      <c r="N3515" s="33"/>
    </row>
    <row r="3516" spans="3:14" x14ac:dyDescent="0.3">
      <c r="C3516" s="54"/>
      <c r="N3516" s="33"/>
    </row>
    <row r="3517" spans="3:14" x14ac:dyDescent="0.3">
      <c r="C3517" s="54"/>
      <c r="N3517" s="33"/>
    </row>
    <row r="3518" spans="3:14" x14ac:dyDescent="0.3">
      <c r="C3518" s="54"/>
      <c r="N3518" s="33"/>
    </row>
    <row r="3519" spans="3:14" x14ac:dyDescent="0.3">
      <c r="C3519" s="54"/>
      <c r="N3519" s="33"/>
    </row>
    <row r="3520" spans="3:14" x14ac:dyDescent="0.3">
      <c r="C3520" s="54"/>
      <c r="N3520" s="33"/>
    </row>
    <row r="3521" spans="3:14" x14ac:dyDescent="0.3">
      <c r="C3521" s="54"/>
      <c r="N3521" s="33"/>
    </row>
    <row r="3522" spans="3:14" x14ac:dyDescent="0.3">
      <c r="C3522" s="54"/>
      <c r="N3522" s="33"/>
    </row>
    <row r="3523" spans="3:14" x14ac:dyDescent="0.3">
      <c r="C3523" s="54"/>
      <c r="N3523" s="33"/>
    </row>
    <row r="3524" spans="3:14" x14ac:dyDescent="0.3">
      <c r="C3524" s="54"/>
      <c r="N3524" s="33"/>
    </row>
    <row r="3525" spans="3:14" x14ac:dyDescent="0.3">
      <c r="C3525" s="54"/>
      <c r="N3525" s="33"/>
    </row>
    <row r="3526" spans="3:14" x14ac:dyDescent="0.3">
      <c r="C3526" s="54"/>
      <c r="N3526" s="33"/>
    </row>
    <row r="3527" spans="3:14" x14ac:dyDescent="0.3">
      <c r="C3527" s="54"/>
      <c r="N3527" s="33"/>
    </row>
    <row r="3528" spans="3:14" x14ac:dyDescent="0.3">
      <c r="C3528" s="54"/>
      <c r="N3528" s="33"/>
    </row>
    <row r="3529" spans="3:14" x14ac:dyDescent="0.3">
      <c r="C3529" s="54"/>
      <c r="N3529" s="33"/>
    </row>
    <row r="3530" spans="3:14" x14ac:dyDescent="0.3">
      <c r="C3530" s="54"/>
      <c r="N3530" s="33"/>
    </row>
    <row r="3531" spans="3:14" x14ac:dyDescent="0.3">
      <c r="C3531" s="54"/>
      <c r="N3531" s="33"/>
    </row>
    <row r="3532" spans="3:14" x14ac:dyDescent="0.3">
      <c r="C3532" s="54"/>
      <c r="N3532" s="33"/>
    </row>
    <row r="3533" spans="3:14" x14ac:dyDescent="0.3">
      <c r="C3533" s="54"/>
      <c r="N3533" s="33"/>
    </row>
    <row r="3534" spans="3:14" x14ac:dyDescent="0.3">
      <c r="C3534" s="54"/>
      <c r="N3534" s="33"/>
    </row>
    <row r="3535" spans="3:14" x14ac:dyDescent="0.3">
      <c r="C3535" s="54"/>
      <c r="N3535" s="33"/>
    </row>
    <row r="3536" spans="3:14" x14ac:dyDescent="0.3">
      <c r="C3536" s="54"/>
      <c r="N3536" s="33"/>
    </row>
    <row r="3537" spans="3:14" x14ac:dyDescent="0.3">
      <c r="C3537" s="54"/>
      <c r="N3537" s="33"/>
    </row>
    <row r="3538" spans="3:14" x14ac:dyDescent="0.3">
      <c r="C3538" s="54"/>
      <c r="N3538" s="33"/>
    </row>
    <row r="3539" spans="3:14" x14ac:dyDescent="0.3">
      <c r="C3539" s="54"/>
      <c r="N3539" s="33"/>
    </row>
    <row r="3540" spans="3:14" x14ac:dyDescent="0.3">
      <c r="C3540" s="54"/>
      <c r="N3540" s="33"/>
    </row>
    <row r="3541" spans="3:14" x14ac:dyDescent="0.3">
      <c r="C3541" s="54"/>
      <c r="N3541" s="33"/>
    </row>
    <row r="3542" spans="3:14" x14ac:dyDescent="0.3">
      <c r="C3542" s="54"/>
      <c r="N3542" s="33"/>
    </row>
    <row r="3543" spans="3:14" x14ac:dyDescent="0.3">
      <c r="C3543" s="54"/>
      <c r="N3543" s="33"/>
    </row>
    <row r="3544" spans="3:14" x14ac:dyDescent="0.3">
      <c r="C3544" s="54"/>
      <c r="N3544" s="33"/>
    </row>
    <row r="3545" spans="3:14" x14ac:dyDescent="0.3">
      <c r="C3545" s="54"/>
      <c r="N3545" s="33"/>
    </row>
    <row r="3546" spans="3:14" x14ac:dyDescent="0.3">
      <c r="C3546" s="54"/>
      <c r="N3546" s="33"/>
    </row>
    <row r="3547" spans="3:14" x14ac:dyDescent="0.3">
      <c r="C3547" s="54"/>
      <c r="N3547" s="33"/>
    </row>
    <row r="3548" spans="3:14" x14ac:dyDescent="0.3">
      <c r="C3548" s="54"/>
      <c r="N3548" s="33"/>
    </row>
    <row r="3549" spans="3:14" x14ac:dyDescent="0.3">
      <c r="C3549" s="54"/>
      <c r="N3549" s="33"/>
    </row>
    <row r="3550" spans="3:14" x14ac:dyDescent="0.3">
      <c r="C3550" s="54"/>
      <c r="N3550" s="33"/>
    </row>
    <row r="3551" spans="3:14" x14ac:dyDescent="0.3">
      <c r="C3551" s="54"/>
      <c r="N3551" s="33"/>
    </row>
    <row r="3552" spans="3:14" x14ac:dyDescent="0.3">
      <c r="C3552" s="54"/>
      <c r="N3552" s="33"/>
    </row>
    <row r="3553" spans="3:14" x14ac:dyDescent="0.3">
      <c r="C3553" s="54"/>
      <c r="N3553" s="33"/>
    </row>
    <row r="3554" spans="3:14" x14ac:dyDescent="0.3">
      <c r="C3554" s="54"/>
      <c r="N3554" s="33"/>
    </row>
    <row r="3555" spans="3:14" x14ac:dyDescent="0.3">
      <c r="C3555" s="54"/>
      <c r="N3555" s="33"/>
    </row>
    <row r="3556" spans="3:14" x14ac:dyDescent="0.3">
      <c r="C3556" s="54"/>
      <c r="N3556" s="33"/>
    </row>
    <row r="3557" spans="3:14" x14ac:dyDescent="0.3">
      <c r="C3557" s="54"/>
      <c r="N3557" s="33"/>
    </row>
    <row r="3558" spans="3:14" x14ac:dyDescent="0.3">
      <c r="C3558" s="54"/>
      <c r="N3558" s="33"/>
    </row>
    <row r="3559" spans="3:14" x14ac:dyDescent="0.3">
      <c r="C3559" s="54"/>
      <c r="N3559" s="33"/>
    </row>
    <row r="3560" spans="3:14" x14ac:dyDescent="0.3">
      <c r="C3560" s="54"/>
      <c r="N3560" s="33"/>
    </row>
    <row r="3561" spans="3:14" x14ac:dyDescent="0.3">
      <c r="C3561" s="54"/>
      <c r="N3561" s="33"/>
    </row>
    <row r="3562" spans="3:14" x14ac:dyDescent="0.3">
      <c r="C3562" s="54"/>
      <c r="N3562" s="33"/>
    </row>
    <row r="3563" spans="3:14" x14ac:dyDescent="0.3">
      <c r="C3563" s="54"/>
      <c r="N3563" s="33"/>
    </row>
    <row r="3564" spans="3:14" x14ac:dyDescent="0.3">
      <c r="C3564" s="54"/>
      <c r="N3564" s="33"/>
    </row>
    <row r="3565" spans="3:14" x14ac:dyDescent="0.3">
      <c r="C3565" s="54"/>
      <c r="N3565" s="33"/>
    </row>
    <row r="3566" spans="3:14" x14ac:dyDescent="0.3">
      <c r="C3566" s="54"/>
      <c r="N3566" s="33"/>
    </row>
    <row r="3567" spans="3:14" x14ac:dyDescent="0.3">
      <c r="C3567" s="54"/>
      <c r="N3567" s="33"/>
    </row>
    <row r="3568" spans="3:14" x14ac:dyDescent="0.3">
      <c r="C3568" s="54"/>
      <c r="N3568" s="33"/>
    </row>
    <row r="3569" spans="3:14" x14ac:dyDescent="0.3">
      <c r="C3569" s="54"/>
      <c r="N3569" s="33"/>
    </row>
    <row r="3570" spans="3:14" x14ac:dyDescent="0.3">
      <c r="C3570" s="54"/>
      <c r="N3570" s="33"/>
    </row>
    <row r="3571" spans="3:14" x14ac:dyDescent="0.3">
      <c r="C3571" s="54"/>
      <c r="N3571" s="33"/>
    </row>
    <row r="3572" spans="3:14" x14ac:dyDescent="0.3">
      <c r="C3572" s="54"/>
      <c r="N3572" s="33"/>
    </row>
    <row r="3573" spans="3:14" x14ac:dyDescent="0.3">
      <c r="C3573" s="54"/>
      <c r="N3573" s="33"/>
    </row>
    <row r="3574" spans="3:14" x14ac:dyDescent="0.3">
      <c r="C3574" s="54"/>
      <c r="N3574" s="33"/>
    </row>
    <row r="3575" spans="3:14" x14ac:dyDescent="0.3">
      <c r="C3575" s="54"/>
      <c r="N3575" s="33"/>
    </row>
    <row r="3576" spans="3:14" x14ac:dyDescent="0.3">
      <c r="C3576" s="54"/>
      <c r="N3576" s="33"/>
    </row>
    <row r="3577" spans="3:14" x14ac:dyDescent="0.3">
      <c r="C3577" s="54"/>
      <c r="N3577" s="33"/>
    </row>
    <row r="3578" spans="3:14" x14ac:dyDescent="0.3">
      <c r="C3578" s="54"/>
      <c r="N3578" s="33"/>
    </row>
    <row r="3579" spans="3:14" x14ac:dyDescent="0.3">
      <c r="C3579" s="54"/>
      <c r="N3579" s="33"/>
    </row>
    <row r="3580" spans="3:14" x14ac:dyDescent="0.3">
      <c r="C3580" s="54"/>
      <c r="N3580" s="33"/>
    </row>
    <row r="3581" spans="3:14" x14ac:dyDescent="0.3">
      <c r="C3581" s="54"/>
      <c r="N3581" s="33"/>
    </row>
    <row r="3582" spans="3:14" x14ac:dyDescent="0.3">
      <c r="C3582" s="54"/>
      <c r="N3582" s="33"/>
    </row>
    <row r="3583" spans="3:14" x14ac:dyDescent="0.3">
      <c r="C3583" s="54"/>
      <c r="N3583" s="33"/>
    </row>
    <row r="3584" spans="3:14" x14ac:dyDescent="0.3">
      <c r="C3584" s="54"/>
      <c r="N3584" s="33"/>
    </row>
    <row r="3585" spans="3:14" x14ac:dyDescent="0.3">
      <c r="C3585" s="54"/>
      <c r="N3585" s="33"/>
    </row>
    <row r="3586" spans="3:14" x14ac:dyDescent="0.3">
      <c r="C3586" s="54"/>
      <c r="N3586" s="33"/>
    </row>
    <row r="3587" spans="3:14" x14ac:dyDescent="0.3">
      <c r="C3587" s="54"/>
      <c r="N3587" s="33"/>
    </row>
    <row r="3588" spans="3:14" x14ac:dyDescent="0.3">
      <c r="C3588" s="54"/>
      <c r="N3588" s="33"/>
    </row>
    <row r="3589" spans="3:14" x14ac:dyDescent="0.3">
      <c r="C3589" s="54"/>
      <c r="N3589" s="33"/>
    </row>
    <row r="3590" spans="3:14" x14ac:dyDescent="0.3">
      <c r="C3590" s="54"/>
      <c r="N3590" s="33"/>
    </row>
    <row r="3591" spans="3:14" x14ac:dyDescent="0.3">
      <c r="C3591" s="54"/>
      <c r="N3591" s="33"/>
    </row>
    <row r="3592" spans="3:14" x14ac:dyDescent="0.3">
      <c r="C3592" s="54"/>
      <c r="N3592" s="33"/>
    </row>
    <row r="3593" spans="3:14" x14ac:dyDescent="0.3">
      <c r="C3593" s="54"/>
      <c r="N3593" s="33"/>
    </row>
    <row r="3594" spans="3:14" x14ac:dyDescent="0.3">
      <c r="C3594" s="54"/>
      <c r="N3594" s="33"/>
    </row>
    <row r="3595" spans="3:14" x14ac:dyDescent="0.3">
      <c r="C3595" s="54"/>
      <c r="N3595" s="33"/>
    </row>
    <row r="3596" spans="3:14" x14ac:dyDescent="0.3">
      <c r="C3596" s="54"/>
      <c r="N3596" s="33"/>
    </row>
    <row r="3597" spans="3:14" x14ac:dyDescent="0.3">
      <c r="C3597" s="54"/>
      <c r="N3597" s="33"/>
    </row>
    <row r="3598" spans="3:14" x14ac:dyDescent="0.3">
      <c r="C3598" s="54"/>
      <c r="N3598" s="33"/>
    </row>
    <row r="3599" spans="3:14" x14ac:dyDescent="0.3">
      <c r="C3599" s="54"/>
      <c r="N3599" s="33"/>
    </row>
    <row r="3600" spans="3:14" x14ac:dyDescent="0.3">
      <c r="C3600" s="54"/>
      <c r="N3600" s="33"/>
    </row>
    <row r="3601" spans="3:14" x14ac:dyDescent="0.3">
      <c r="C3601" s="54"/>
      <c r="N3601" s="33"/>
    </row>
    <row r="3602" spans="3:14" x14ac:dyDescent="0.3">
      <c r="C3602" s="54"/>
      <c r="N3602" s="33"/>
    </row>
    <row r="3603" spans="3:14" x14ac:dyDescent="0.3">
      <c r="C3603" s="54"/>
      <c r="N3603" s="33"/>
    </row>
    <row r="3604" spans="3:14" x14ac:dyDescent="0.3">
      <c r="C3604" s="54"/>
      <c r="N3604" s="33"/>
    </row>
    <row r="3605" spans="3:14" x14ac:dyDescent="0.3">
      <c r="C3605" s="54"/>
      <c r="N3605" s="33"/>
    </row>
    <row r="3606" spans="3:14" x14ac:dyDescent="0.3">
      <c r="C3606" s="54"/>
      <c r="N3606" s="33"/>
    </row>
    <row r="3607" spans="3:14" x14ac:dyDescent="0.3">
      <c r="C3607" s="54"/>
      <c r="N3607" s="33"/>
    </row>
    <row r="3608" spans="3:14" x14ac:dyDescent="0.3">
      <c r="C3608" s="54"/>
      <c r="N3608" s="33"/>
    </row>
    <row r="3609" spans="3:14" x14ac:dyDescent="0.3">
      <c r="C3609" s="54"/>
      <c r="N3609" s="33"/>
    </row>
    <row r="3610" spans="3:14" x14ac:dyDescent="0.3">
      <c r="C3610" s="54"/>
      <c r="N3610" s="33"/>
    </row>
    <row r="3611" spans="3:14" x14ac:dyDescent="0.3">
      <c r="C3611" s="54"/>
      <c r="N3611" s="33"/>
    </row>
    <row r="3612" spans="3:14" x14ac:dyDescent="0.3">
      <c r="C3612" s="54"/>
      <c r="N3612" s="33"/>
    </row>
    <row r="3613" spans="3:14" x14ac:dyDescent="0.3">
      <c r="C3613" s="54"/>
      <c r="N3613" s="33"/>
    </row>
    <row r="3614" spans="3:14" x14ac:dyDescent="0.3">
      <c r="C3614" s="54"/>
      <c r="N3614" s="33"/>
    </row>
    <row r="3615" spans="3:14" x14ac:dyDescent="0.3">
      <c r="C3615" s="54"/>
      <c r="N3615" s="33"/>
    </row>
    <row r="3616" spans="3:14" x14ac:dyDescent="0.3">
      <c r="C3616" s="54"/>
      <c r="N3616" s="33"/>
    </row>
    <row r="3617" spans="3:14" x14ac:dyDescent="0.3">
      <c r="C3617" s="54"/>
      <c r="N3617" s="33"/>
    </row>
    <row r="3618" spans="3:14" x14ac:dyDescent="0.3">
      <c r="C3618" s="54"/>
      <c r="N3618" s="33"/>
    </row>
    <row r="3619" spans="3:14" x14ac:dyDescent="0.3">
      <c r="C3619" s="54"/>
      <c r="N3619" s="33"/>
    </row>
    <row r="3620" spans="3:14" x14ac:dyDescent="0.3">
      <c r="C3620" s="54"/>
      <c r="N3620" s="33"/>
    </row>
    <row r="3621" spans="3:14" x14ac:dyDescent="0.3">
      <c r="C3621" s="54"/>
      <c r="N3621" s="33"/>
    </row>
    <row r="3622" spans="3:14" x14ac:dyDescent="0.3">
      <c r="C3622" s="54"/>
      <c r="N3622" s="33"/>
    </row>
    <row r="3623" spans="3:14" x14ac:dyDescent="0.3">
      <c r="C3623" s="54"/>
      <c r="N3623" s="33"/>
    </row>
    <row r="3624" spans="3:14" x14ac:dyDescent="0.3">
      <c r="C3624" s="54"/>
      <c r="N3624" s="33"/>
    </row>
    <row r="3625" spans="3:14" x14ac:dyDescent="0.3">
      <c r="C3625" s="54"/>
      <c r="N3625" s="33"/>
    </row>
    <row r="3626" spans="3:14" x14ac:dyDescent="0.3">
      <c r="C3626" s="54"/>
      <c r="N3626" s="33"/>
    </row>
    <row r="3627" spans="3:14" x14ac:dyDescent="0.3">
      <c r="C3627" s="54"/>
      <c r="N3627" s="33"/>
    </row>
    <row r="3628" spans="3:14" x14ac:dyDescent="0.3">
      <c r="C3628" s="54"/>
      <c r="N3628" s="33"/>
    </row>
    <row r="3629" spans="3:14" x14ac:dyDescent="0.3">
      <c r="C3629" s="54"/>
      <c r="N3629" s="33"/>
    </row>
    <row r="3630" spans="3:14" x14ac:dyDescent="0.3">
      <c r="C3630" s="54"/>
      <c r="N3630" s="33"/>
    </row>
    <row r="3631" spans="3:14" x14ac:dyDescent="0.3">
      <c r="C3631" s="54"/>
      <c r="N3631" s="33"/>
    </row>
    <row r="3632" spans="3:14" x14ac:dyDescent="0.3">
      <c r="C3632" s="54"/>
      <c r="N3632" s="33"/>
    </row>
    <row r="3633" spans="3:14" x14ac:dyDescent="0.3">
      <c r="C3633" s="54"/>
      <c r="N3633" s="33"/>
    </row>
    <row r="3634" spans="3:14" x14ac:dyDescent="0.3">
      <c r="C3634" s="54"/>
      <c r="N3634" s="33"/>
    </row>
    <row r="3635" spans="3:14" x14ac:dyDescent="0.3">
      <c r="C3635" s="54"/>
      <c r="N3635" s="33"/>
    </row>
    <row r="3636" spans="3:14" x14ac:dyDescent="0.3">
      <c r="C3636" s="54"/>
      <c r="N3636" s="33"/>
    </row>
    <row r="3637" spans="3:14" x14ac:dyDescent="0.3">
      <c r="C3637" s="54"/>
      <c r="N3637" s="33"/>
    </row>
    <row r="3638" spans="3:14" x14ac:dyDescent="0.3">
      <c r="C3638" s="54"/>
      <c r="N3638" s="33"/>
    </row>
    <row r="3639" spans="3:14" x14ac:dyDescent="0.3">
      <c r="C3639" s="54"/>
      <c r="N3639" s="33"/>
    </row>
    <row r="3640" spans="3:14" x14ac:dyDescent="0.3">
      <c r="C3640" s="54"/>
      <c r="N3640" s="33"/>
    </row>
    <row r="3641" spans="3:14" x14ac:dyDescent="0.3">
      <c r="C3641" s="54"/>
      <c r="N3641" s="33"/>
    </row>
    <row r="3642" spans="3:14" x14ac:dyDescent="0.3">
      <c r="C3642" s="54"/>
      <c r="N3642" s="33"/>
    </row>
    <row r="3643" spans="3:14" x14ac:dyDescent="0.3">
      <c r="C3643" s="54"/>
      <c r="N3643" s="33"/>
    </row>
    <row r="3644" spans="3:14" x14ac:dyDescent="0.3">
      <c r="C3644" s="54"/>
      <c r="N3644" s="33"/>
    </row>
    <row r="3645" spans="3:14" x14ac:dyDescent="0.3">
      <c r="C3645" s="54"/>
      <c r="N3645" s="33"/>
    </row>
    <row r="3646" spans="3:14" x14ac:dyDescent="0.3">
      <c r="C3646" s="54"/>
      <c r="N3646" s="33"/>
    </row>
    <row r="3647" spans="3:14" x14ac:dyDescent="0.3">
      <c r="C3647" s="54"/>
      <c r="N3647" s="33"/>
    </row>
    <row r="3648" spans="3:14" x14ac:dyDescent="0.3">
      <c r="C3648" s="54"/>
      <c r="N3648" s="33"/>
    </row>
    <row r="3649" spans="3:14" x14ac:dyDescent="0.3">
      <c r="C3649" s="54"/>
      <c r="N3649" s="33"/>
    </row>
    <row r="3650" spans="3:14" x14ac:dyDescent="0.3">
      <c r="C3650" s="54"/>
      <c r="N3650" s="33"/>
    </row>
    <row r="3651" spans="3:14" x14ac:dyDescent="0.3">
      <c r="C3651" s="54"/>
      <c r="N3651" s="33"/>
    </row>
    <row r="3652" spans="3:14" x14ac:dyDescent="0.3">
      <c r="C3652" s="54"/>
      <c r="N3652" s="33"/>
    </row>
    <row r="3653" spans="3:14" x14ac:dyDescent="0.3">
      <c r="C3653" s="54"/>
      <c r="N3653" s="33"/>
    </row>
    <row r="3654" spans="3:14" x14ac:dyDescent="0.3">
      <c r="C3654" s="54"/>
      <c r="N3654" s="33"/>
    </row>
    <row r="3655" spans="3:14" x14ac:dyDescent="0.3">
      <c r="C3655" s="54"/>
      <c r="N3655" s="33"/>
    </row>
    <row r="3656" spans="3:14" x14ac:dyDescent="0.3">
      <c r="C3656" s="54"/>
      <c r="N3656" s="33"/>
    </row>
    <row r="3657" spans="3:14" x14ac:dyDescent="0.3">
      <c r="C3657" s="54"/>
      <c r="N3657" s="33"/>
    </row>
    <row r="3658" spans="3:14" x14ac:dyDescent="0.3">
      <c r="C3658" s="54"/>
      <c r="N3658" s="33"/>
    </row>
    <row r="3659" spans="3:14" x14ac:dyDescent="0.3">
      <c r="C3659" s="54"/>
      <c r="N3659" s="33"/>
    </row>
    <row r="3660" spans="3:14" x14ac:dyDescent="0.3">
      <c r="C3660" s="54"/>
      <c r="N3660" s="33"/>
    </row>
    <row r="3661" spans="3:14" x14ac:dyDescent="0.3">
      <c r="C3661" s="54"/>
      <c r="N3661" s="33"/>
    </row>
    <row r="3662" spans="3:14" x14ac:dyDescent="0.3">
      <c r="C3662" s="54"/>
      <c r="N3662" s="33"/>
    </row>
    <row r="3663" spans="3:14" x14ac:dyDescent="0.3">
      <c r="C3663" s="54"/>
      <c r="N3663" s="33"/>
    </row>
    <row r="3664" spans="3:14" x14ac:dyDescent="0.3">
      <c r="C3664" s="54"/>
      <c r="N3664" s="33"/>
    </row>
    <row r="3665" spans="3:14" x14ac:dyDescent="0.3">
      <c r="C3665" s="54"/>
      <c r="N3665" s="33"/>
    </row>
    <row r="3666" spans="3:14" x14ac:dyDescent="0.3">
      <c r="C3666" s="54"/>
      <c r="N3666" s="33"/>
    </row>
    <row r="3667" spans="3:14" x14ac:dyDescent="0.3">
      <c r="C3667" s="54"/>
      <c r="N3667" s="33"/>
    </row>
    <row r="3668" spans="3:14" x14ac:dyDescent="0.3">
      <c r="C3668" s="54"/>
      <c r="N3668" s="33"/>
    </row>
    <row r="3669" spans="3:14" x14ac:dyDescent="0.3">
      <c r="C3669" s="54"/>
      <c r="N3669" s="33"/>
    </row>
    <row r="3670" spans="3:14" x14ac:dyDescent="0.3">
      <c r="C3670" s="54"/>
      <c r="N3670" s="33"/>
    </row>
    <row r="3671" spans="3:14" x14ac:dyDescent="0.3">
      <c r="C3671" s="54"/>
      <c r="N3671" s="33"/>
    </row>
    <row r="3672" spans="3:14" x14ac:dyDescent="0.3">
      <c r="C3672" s="54"/>
      <c r="N3672" s="33"/>
    </row>
    <row r="3673" spans="3:14" x14ac:dyDescent="0.3">
      <c r="C3673" s="54"/>
      <c r="N3673" s="33"/>
    </row>
    <row r="3674" spans="3:14" x14ac:dyDescent="0.3">
      <c r="C3674" s="54"/>
      <c r="N3674" s="33"/>
    </row>
    <row r="3675" spans="3:14" x14ac:dyDescent="0.3">
      <c r="C3675" s="54"/>
      <c r="N3675" s="33"/>
    </row>
    <row r="3676" spans="3:14" x14ac:dyDescent="0.3">
      <c r="C3676" s="54"/>
      <c r="N3676" s="33"/>
    </row>
    <row r="3677" spans="3:14" x14ac:dyDescent="0.3">
      <c r="C3677" s="54"/>
      <c r="N3677" s="33"/>
    </row>
    <row r="3678" spans="3:14" x14ac:dyDescent="0.3">
      <c r="C3678" s="54"/>
      <c r="N3678" s="33"/>
    </row>
    <row r="3679" spans="3:14" x14ac:dyDescent="0.3">
      <c r="C3679" s="54"/>
      <c r="N3679" s="33"/>
    </row>
    <row r="3680" spans="3:14" x14ac:dyDescent="0.3">
      <c r="C3680" s="54"/>
      <c r="N3680" s="33"/>
    </row>
    <row r="3681" spans="3:14" x14ac:dyDescent="0.3">
      <c r="C3681" s="54"/>
      <c r="N3681" s="33"/>
    </row>
    <row r="3682" spans="3:14" x14ac:dyDescent="0.3">
      <c r="C3682" s="54"/>
      <c r="N3682" s="33"/>
    </row>
    <row r="3683" spans="3:14" x14ac:dyDescent="0.3">
      <c r="C3683" s="54"/>
      <c r="N3683" s="33"/>
    </row>
    <row r="3684" spans="3:14" x14ac:dyDescent="0.3">
      <c r="C3684" s="54"/>
      <c r="N3684" s="33"/>
    </row>
    <row r="3685" spans="3:14" x14ac:dyDescent="0.3">
      <c r="C3685" s="54"/>
      <c r="N3685" s="33"/>
    </row>
    <row r="3686" spans="3:14" x14ac:dyDescent="0.3">
      <c r="C3686" s="54"/>
      <c r="N3686" s="33"/>
    </row>
    <row r="3687" spans="3:14" x14ac:dyDescent="0.3">
      <c r="C3687" s="54"/>
      <c r="N3687" s="33"/>
    </row>
    <row r="3688" spans="3:14" x14ac:dyDescent="0.3">
      <c r="C3688" s="54"/>
      <c r="N3688" s="33"/>
    </row>
    <row r="3689" spans="3:14" x14ac:dyDescent="0.3">
      <c r="C3689" s="54"/>
      <c r="N3689" s="33"/>
    </row>
    <row r="3690" spans="3:14" x14ac:dyDescent="0.3">
      <c r="C3690" s="54"/>
      <c r="N3690" s="33"/>
    </row>
    <row r="3691" spans="3:14" x14ac:dyDescent="0.3">
      <c r="C3691" s="54"/>
      <c r="N3691" s="33"/>
    </row>
    <row r="3692" spans="3:14" x14ac:dyDescent="0.3">
      <c r="C3692" s="54"/>
      <c r="N3692" s="33"/>
    </row>
    <row r="3693" spans="3:14" x14ac:dyDescent="0.3">
      <c r="C3693" s="54"/>
      <c r="N3693" s="33"/>
    </row>
    <row r="3694" spans="3:14" x14ac:dyDescent="0.3">
      <c r="C3694" s="54"/>
      <c r="N3694" s="33"/>
    </row>
    <row r="3695" spans="3:14" x14ac:dyDescent="0.3">
      <c r="C3695" s="54"/>
      <c r="N3695" s="33"/>
    </row>
    <row r="3696" spans="3:14" x14ac:dyDescent="0.3">
      <c r="C3696" s="54"/>
      <c r="N3696" s="33"/>
    </row>
    <row r="3697" spans="3:14" x14ac:dyDescent="0.3">
      <c r="C3697" s="54"/>
      <c r="N3697" s="33"/>
    </row>
    <row r="3698" spans="3:14" x14ac:dyDescent="0.3">
      <c r="C3698" s="54"/>
      <c r="N3698" s="33"/>
    </row>
    <row r="3699" spans="3:14" x14ac:dyDescent="0.3">
      <c r="C3699" s="54"/>
      <c r="N3699" s="33"/>
    </row>
    <row r="3700" spans="3:14" x14ac:dyDescent="0.3">
      <c r="C3700" s="54"/>
      <c r="N3700" s="33"/>
    </row>
    <row r="3701" spans="3:14" x14ac:dyDescent="0.3">
      <c r="C3701" s="54"/>
      <c r="N3701" s="33"/>
    </row>
    <row r="3702" spans="3:14" x14ac:dyDescent="0.3">
      <c r="C3702" s="54"/>
      <c r="N3702" s="33"/>
    </row>
    <row r="3703" spans="3:14" x14ac:dyDescent="0.3">
      <c r="C3703" s="54"/>
      <c r="N3703" s="33"/>
    </row>
    <row r="3704" spans="3:14" x14ac:dyDescent="0.3">
      <c r="C3704" s="54"/>
      <c r="N3704" s="33"/>
    </row>
    <row r="3705" spans="3:14" x14ac:dyDescent="0.3">
      <c r="C3705" s="54"/>
      <c r="N3705" s="33"/>
    </row>
    <row r="3706" spans="3:14" x14ac:dyDescent="0.3">
      <c r="C3706" s="54"/>
      <c r="N3706" s="33"/>
    </row>
    <row r="3707" spans="3:14" x14ac:dyDescent="0.3">
      <c r="C3707" s="54"/>
      <c r="N3707" s="33"/>
    </row>
    <row r="3708" spans="3:14" x14ac:dyDescent="0.3">
      <c r="C3708" s="54"/>
      <c r="N3708" s="33"/>
    </row>
    <row r="3709" spans="3:14" x14ac:dyDescent="0.3">
      <c r="C3709" s="54"/>
      <c r="N3709" s="33"/>
    </row>
    <row r="3710" spans="3:14" x14ac:dyDescent="0.3">
      <c r="C3710" s="54"/>
      <c r="N3710" s="33"/>
    </row>
    <row r="3711" spans="3:14" x14ac:dyDescent="0.3">
      <c r="C3711" s="54"/>
      <c r="N3711" s="33"/>
    </row>
    <row r="3712" spans="3:14" x14ac:dyDescent="0.3">
      <c r="C3712" s="54"/>
      <c r="N3712" s="33"/>
    </row>
    <row r="3713" spans="3:14" x14ac:dyDescent="0.3">
      <c r="C3713" s="54"/>
      <c r="N3713" s="33"/>
    </row>
    <row r="3714" spans="3:14" x14ac:dyDescent="0.3">
      <c r="C3714" s="54"/>
      <c r="N3714" s="33"/>
    </row>
    <row r="3715" spans="3:14" x14ac:dyDescent="0.3">
      <c r="C3715" s="54"/>
      <c r="N3715" s="33"/>
    </row>
    <row r="3716" spans="3:14" x14ac:dyDescent="0.3">
      <c r="C3716" s="54"/>
      <c r="N3716" s="33"/>
    </row>
    <row r="3717" spans="3:14" x14ac:dyDescent="0.3">
      <c r="C3717" s="54"/>
      <c r="N3717" s="33"/>
    </row>
    <row r="3718" spans="3:14" x14ac:dyDescent="0.3">
      <c r="C3718" s="54"/>
      <c r="N3718" s="33"/>
    </row>
    <row r="3719" spans="3:14" x14ac:dyDescent="0.3">
      <c r="C3719" s="54"/>
      <c r="N3719" s="33"/>
    </row>
    <row r="3720" spans="3:14" x14ac:dyDescent="0.3">
      <c r="C3720" s="54"/>
      <c r="N3720" s="33"/>
    </row>
    <row r="3721" spans="3:14" x14ac:dyDescent="0.3">
      <c r="C3721" s="54"/>
      <c r="N3721" s="33"/>
    </row>
    <row r="3722" spans="3:14" x14ac:dyDescent="0.3">
      <c r="C3722" s="54"/>
      <c r="N3722" s="33"/>
    </row>
    <row r="3723" spans="3:14" x14ac:dyDescent="0.3">
      <c r="C3723" s="54"/>
      <c r="N3723" s="33"/>
    </row>
    <row r="3724" spans="3:14" x14ac:dyDescent="0.3">
      <c r="C3724" s="54"/>
      <c r="N3724" s="33"/>
    </row>
    <row r="3725" spans="3:14" x14ac:dyDescent="0.3">
      <c r="C3725" s="54"/>
      <c r="N3725" s="33"/>
    </row>
    <row r="3726" spans="3:14" x14ac:dyDescent="0.3">
      <c r="C3726" s="54"/>
      <c r="N3726" s="33"/>
    </row>
    <row r="3727" spans="3:14" x14ac:dyDescent="0.3">
      <c r="C3727" s="54"/>
      <c r="N3727" s="33"/>
    </row>
    <row r="3728" spans="3:14" x14ac:dyDescent="0.3">
      <c r="C3728" s="54"/>
      <c r="N3728" s="33"/>
    </row>
    <row r="3729" spans="3:14" x14ac:dyDescent="0.3">
      <c r="C3729" s="54"/>
      <c r="N3729" s="33"/>
    </row>
    <row r="3730" spans="3:14" x14ac:dyDescent="0.3">
      <c r="C3730" s="54"/>
      <c r="N3730" s="33"/>
    </row>
    <row r="3731" spans="3:14" x14ac:dyDescent="0.3">
      <c r="C3731" s="54"/>
      <c r="N3731" s="33"/>
    </row>
    <row r="3732" spans="3:14" x14ac:dyDescent="0.3">
      <c r="C3732" s="54"/>
      <c r="N3732" s="33"/>
    </row>
    <row r="3733" spans="3:14" x14ac:dyDescent="0.3">
      <c r="C3733" s="54"/>
      <c r="N3733" s="33"/>
    </row>
    <row r="3734" spans="3:14" x14ac:dyDescent="0.3">
      <c r="C3734" s="54"/>
      <c r="N3734" s="33"/>
    </row>
    <row r="3735" spans="3:14" x14ac:dyDescent="0.3">
      <c r="C3735" s="54"/>
      <c r="N3735" s="33"/>
    </row>
    <row r="3736" spans="3:14" x14ac:dyDescent="0.3">
      <c r="C3736" s="54"/>
      <c r="N3736" s="33"/>
    </row>
    <row r="3737" spans="3:14" x14ac:dyDescent="0.3">
      <c r="C3737" s="54"/>
      <c r="N3737" s="33"/>
    </row>
    <row r="3738" spans="3:14" x14ac:dyDescent="0.3">
      <c r="C3738" s="54"/>
      <c r="N3738" s="33"/>
    </row>
    <row r="3739" spans="3:14" x14ac:dyDescent="0.3">
      <c r="C3739" s="54"/>
      <c r="N3739" s="33"/>
    </row>
    <row r="3740" spans="3:14" x14ac:dyDescent="0.3">
      <c r="C3740" s="54"/>
      <c r="N3740" s="33"/>
    </row>
    <row r="3741" spans="3:14" x14ac:dyDescent="0.3">
      <c r="C3741" s="54"/>
      <c r="N3741" s="33"/>
    </row>
    <row r="3742" spans="3:14" x14ac:dyDescent="0.3">
      <c r="C3742" s="54"/>
      <c r="N3742" s="33"/>
    </row>
    <row r="3743" spans="3:14" x14ac:dyDescent="0.3">
      <c r="C3743" s="54"/>
      <c r="N3743" s="33"/>
    </row>
    <row r="3744" spans="3:14" x14ac:dyDescent="0.3">
      <c r="C3744" s="54"/>
      <c r="N3744" s="33"/>
    </row>
    <row r="3745" spans="3:14" x14ac:dyDescent="0.3">
      <c r="C3745" s="54"/>
      <c r="N3745" s="33"/>
    </row>
    <row r="3746" spans="3:14" x14ac:dyDescent="0.3">
      <c r="C3746" s="54"/>
      <c r="N3746" s="33"/>
    </row>
    <row r="3747" spans="3:14" x14ac:dyDescent="0.3">
      <c r="C3747" s="54"/>
      <c r="N3747" s="33"/>
    </row>
    <row r="3748" spans="3:14" x14ac:dyDescent="0.3">
      <c r="C3748" s="54"/>
      <c r="N3748" s="33"/>
    </row>
    <row r="3749" spans="3:14" x14ac:dyDescent="0.3">
      <c r="C3749" s="54"/>
      <c r="N3749" s="33"/>
    </row>
    <row r="3750" spans="3:14" x14ac:dyDescent="0.3">
      <c r="C3750" s="54"/>
      <c r="N3750" s="33"/>
    </row>
    <row r="3751" spans="3:14" x14ac:dyDescent="0.3">
      <c r="C3751" s="54"/>
      <c r="N3751" s="33"/>
    </row>
    <row r="3752" spans="3:14" x14ac:dyDescent="0.3">
      <c r="C3752" s="54"/>
      <c r="N3752" s="33"/>
    </row>
    <row r="3753" spans="3:14" x14ac:dyDescent="0.3">
      <c r="C3753" s="54"/>
      <c r="N3753" s="33"/>
    </row>
    <row r="3754" spans="3:14" x14ac:dyDescent="0.3">
      <c r="C3754" s="54"/>
      <c r="N3754" s="33"/>
    </row>
    <row r="3755" spans="3:14" x14ac:dyDescent="0.3">
      <c r="C3755" s="54"/>
      <c r="N3755" s="33"/>
    </row>
    <row r="3756" spans="3:14" x14ac:dyDescent="0.3">
      <c r="C3756" s="54"/>
      <c r="N3756" s="33"/>
    </row>
    <row r="3757" spans="3:14" x14ac:dyDescent="0.3">
      <c r="C3757" s="54"/>
      <c r="N3757" s="33"/>
    </row>
    <row r="3758" spans="3:14" x14ac:dyDescent="0.3">
      <c r="C3758" s="54"/>
      <c r="N3758" s="33"/>
    </row>
    <row r="3759" spans="3:14" x14ac:dyDescent="0.3">
      <c r="C3759" s="54"/>
      <c r="N3759" s="33"/>
    </row>
    <row r="3760" spans="3:14" x14ac:dyDescent="0.3">
      <c r="C3760" s="54"/>
      <c r="N3760" s="33"/>
    </row>
    <row r="3761" spans="3:14" x14ac:dyDescent="0.3">
      <c r="C3761" s="54"/>
      <c r="N3761" s="33"/>
    </row>
    <row r="3762" spans="3:14" x14ac:dyDescent="0.3">
      <c r="C3762" s="54"/>
      <c r="N3762" s="33"/>
    </row>
    <row r="3763" spans="3:14" x14ac:dyDescent="0.3">
      <c r="C3763" s="54"/>
      <c r="N3763" s="33"/>
    </row>
    <row r="3764" spans="3:14" x14ac:dyDescent="0.3">
      <c r="C3764" s="54"/>
      <c r="N3764" s="33"/>
    </row>
    <row r="3765" spans="3:14" x14ac:dyDescent="0.3">
      <c r="C3765" s="54"/>
      <c r="N3765" s="33"/>
    </row>
    <row r="3766" spans="3:14" x14ac:dyDescent="0.3">
      <c r="C3766" s="54"/>
      <c r="N3766" s="33"/>
    </row>
    <row r="3767" spans="3:14" x14ac:dyDescent="0.3">
      <c r="C3767" s="54"/>
      <c r="N3767" s="33"/>
    </row>
    <row r="3768" spans="3:14" x14ac:dyDescent="0.3">
      <c r="C3768" s="54"/>
      <c r="N3768" s="33"/>
    </row>
    <row r="3769" spans="3:14" x14ac:dyDescent="0.3">
      <c r="C3769" s="54"/>
      <c r="N3769" s="33"/>
    </row>
    <row r="3770" spans="3:14" x14ac:dyDescent="0.3">
      <c r="C3770" s="54"/>
      <c r="N3770" s="33"/>
    </row>
    <row r="3771" spans="3:14" x14ac:dyDescent="0.3">
      <c r="C3771" s="54"/>
      <c r="N3771" s="33"/>
    </row>
    <row r="3772" spans="3:14" x14ac:dyDescent="0.3">
      <c r="C3772" s="54"/>
      <c r="N3772" s="33"/>
    </row>
    <row r="3773" spans="3:14" x14ac:dyDescent="0.3">
      <c r="C3773" s="54"/>
      <c r="N3773" s="33"/>
    </row>
    <row r="3774" spans="3:14" x14ac:dyDescent="0.3">
      <c r="C3774" s="54"/>
      <c r="N3774" s="33"/>
    </row>
    <row r="3775" spans="3:14" x14ac:dyDescent="0.3">
      <c r="C3775" s="54"/>
      <c r="N3775" s="33"/>
    </row>
    <row r="3776" spans="3:14" x14ac:dyDescent="0.3">
      <c r="C3776" s="54"/>
      <c r="N3776" s="33"/>
    </row>
    <row r="3777" spans="3:14" x14ac:dyDescent="0.3">
      <c r="C3777" s="54"/>
      <c r="N3777" s="33"/>
    </row>
    <row r="3778" spans="3:14" x14ac:dyDescent="0.3">
      <c r="C3778" s="54"/>
      <c r="N3778" s="33"/>
    </row>
    <row r="3779" spans="3:14" x14ac:dyDescent="0.3">
      <c r="C3779" s="54"/>
      <c r="N3779" s="33"/>
    </row>
    <row r="3780" spans="3:14" x14ac:dyDescent="0.3">
      <c r="C3780" s="54"/>
      <c r="N3780" s="33"/>
    </row>
    <row r="3781" spans="3:14" x14ac:dyDescent="0.3">
      <c r="C3781" s="54"/>
      <c r="N3781" s="33"/>
    </row>
    <row r="3782" spans="3:14" x14ac:dyDescent="0.3">
      <c r="C3782" s="54"/>
      <c r="N3782" s="33"/>
    </row>
    <row r="3783" spans="3:14" x14ac:dyDescent="0.3">
      <c r="C3783" s="54"/>
      <c r="N3783" s="33"/>
    </row>
    <row r="3784" spans="3:14" x14ac:dyDescent="0.3">
      <c r="C3784" s="54"/>
      <c r="N3784" s="33"/>
    </row>
    <row r="3785" spans="3:14" x14ac:dyDescent="0.3">
      <c r="C3785" s="54"/>
      <c r="N3785" s="33"/>
    </row>
    <row r="3786" spans="3:14" x14ac:dyDescent="0.3">
      <c r="C3786" s="54"/>
      <c r="N3786" s="33"/>
    </row>
    <row r="3787" spans="3:14" x14ac:dyDescent="0.3">
      <c r="C3787" s="54"/>
      <c r="N3787" s="33"/>
    </row>
    <row r="3788" spans="3:14" x14ac:dyDescent="0.3">
      <c r="C3788" s="54"/>
      <c r="N3788" s="33"/>
    </row>
    <row r="3789" spans="3:14" x14ac:dyDescent="0.3">
      <c r="C3789" s="54"/>
      <c r="N3789" s="33"/>
    </row>
    <row r="3790" spans="3:14" x14ac:dyDescent="0.3">
      <c r="C3790" s="54"/>
      <c r="N3790" s="33"/>
    </row>
    <row r="3791" spans="3:14" x14ac:dyDescent="0.3">
      <c r="C3791" s="54"/>
      <c r="N3791" s="33"/>
    </row>
    <row r="3792" spans="3:14" x14ac:dyDescent="0.3">
      <c r="C3792" s="54"/>
      <c r="N3792" s="33"/>
    </row>
    <row r="3793" spans="3:14" x14ac:dyDescent="0.3">
      <c r="C3793" s="54"/>
      <c r="N3793" s="33"/>
    </row>
    <row r="3794" spans="3:14" x14ac:dyDescent="0.3">
      <c r="C3794" s="54"/>
      <c r="N3794" s="33"/>
    </row>
    <row r="3795" spans="3:14" x14ac:dyDescent="0.3">
      <c r="C3795" s="54"/>
      <c r="N3795" s="33"/>
    </row>
    <row r="3796" spans="3:14" x14ac:dyDescent="0.3">
      <c r="C3796" s="54"/>
      <c r="N3796" s="33"/>
    </row>
    <row r="3797" spans="3:14" x14ac:dyDescent="0.3">
      <c r="C3797" s="54"/>
      <c r="N3797" s="33"/>
    </row>
    <row r="3798" spans="3:14" x14ac:dyDescent="0.3">
      <c r="C3798" s="54"/>
      <c r="N3798" s="33"/>
    </row>
    <row r="3799" spans="3:14" x14ac:dyDescent="0.3">
      <c r="C3799" s="54"/>
      <c r="N3799" s="33"/>
    </row>
    <row r="3800" spans="3:14" x14ac:dyDescent="0.3">
      <c r="C3800" s="54"/>
      <c r="N3800" s="33"/>
    </row>
    <row r="3801" spans="3:14" x14ac:dyDescent="0.3">
      <c r="C3801" s="54"/>
      <c r="N3801" s="33"/>
    </row>
    <row r="3802" spans="3:14" x14ac:dyDescent="0.3">
      <c r="C3802" s="54"/>
      <c r="N3802" s="33"/>
    </row>
    <row r="3803" spans="3:14" x14ac:dyDescent="0.3">
      <c r="C3803" s="54"/>
      <c r="N3803" s="33"/>
    </row>
    <row r="3804" spans="3:14" x14ac:dyDescent="0.3">
      <c r="C3804" s="54"/>
      <c r="N3804" s="33"/>
    </row>
    <row r="3805" spans="3:14" x14ac:dyDescent="0.3">
      <c r="C3805" s="54"/>
      <c r="N3805" s="33"/>
    </row>
    <row r="3806" spans="3:14" x14ac:dyDescent="0.3">
      <c r="C3806" s="54"/>
      <c r="N3806" s="33"/>
    </row>
    <row r="3807" spans="3:14" x14ac:dyDescent="0.3">
      <c r="C3807" s="54"/>
      <c r="N3807" s="33"/>
    </row>
    <row r="3808" spans="3:14" x14ac:dyDescent="0.3">
      <c r="C3808" s="54"/>
      <c r="N3808" s="33"/>
    </row>
    <row r="3809" spans="3:14" x14ac:dyDescent="0.3">
      <c r="C3809" s="54"/>
      <c r="N3809" s="33"/>
    </row>
    <row r="3810" spans="3:14" x14ac:dyDescent="0.3">
      <c r="C3810" s="54"/>
      <c r="N3810" s="33"/>
    </row>
    <row r="3811" spans="3:14" x14ac:dyDescent="0.3">
      <c r="C3811" s="54"/>
      <c r="N3811" s="33"/>
    </row>
    <row r="3812" spans="3:14" x14ac:dyDescent="0.3">
      <c r="C3812" s="54"/>
      <c r="N3812" s="33"/>
    </row>
    <row r="3813" spans="3:14" x14ac:dyDescent="0.3">
      <c r="C3813" s="54"/>
      <c r="N3813" s="33"/>
    </row>
    <row r="3814" spans="3:14" x14ac:dyDescent="0.3">
      <c r="C3814" s="54"/>
      <c r="N3814" s="33"/>
    </row>
    <row r="3815" spans="3:14" x14ac:dyDescent="0.3">
      <c r="C3815" s="54"/>
      <c r="N3815" s="33"/>
    </row>
    <row r="3816" spans="3:14" x14ac:dyDescent="0.3">
      <c r="C3816" s="54"/>
      <c r="N3816" s="33"/>
    </row>
    <row r="3817" spans="3:14" x14ac:dyDescent="0.3">
      <c r="C3817" s="54"/>
      <c r="N3817" s="33"/>
    </row>
    <row r="3818" spans="3:14" x14ac:dyDescent="0.3">
      <c r="C3818" s="54"/>
      <c r="N3818" s="33"/>
    </row>
    <row r="3819" spans="3:14" x14ac:dyDescent="0.3">
      <c r="C3819" s="54"/>
      <c r="N3819" s="33"/>
    </row>
    <row r="3820" spans="3:14" x14ac:dyDescent="0.3">
      <c r="C3820" s="54"/>
      <c r="N3820" s="33"/>
    </row>
    <row r="3821" spans="3:14" x14ac:dyDescent="0.3">
      <c r="C3821" s="54"/>
      <c r="N3821" s="33"/>
    </row>
    <row r="3822" spans="3:14" x14ac:dyDescent="0.3">
      <c r="C3822" s="54"/>
      <c r="N3822" s="33"/>
    </row>
    <row r="3823" spans="3:14" x14ac:dyDescent="0.3">
      <c r="C3823" s="54"/>
      <c r="N3823" s="33"/>
    </row>
    <row r="3824" spans="3:14" x14ac:dyDescent="0.3">
      <c r="C3824" s="54"/>
      <c r="N3824" s="33"/>
    </row>
    <row r="3825" spans="3:14" x14ac:dyDescent="0.3">
      <c r="C3825" s="54"/>
      <c r="N3825" s="33"/>
    </row>
    <row r="3826" spans="3:14" x14ac:dyDescent="0.3">
      <c r="C3826" s="54"/>
      <c r="N3826" s="33"/>
    </row>
    <row r="3827" spans="3:14" x14ac:dyDescent="0.3">
      <c r="C3827" s="54"/>
      <c r="N3827" s="33"/>
    </row>
    <row r="3828" spans="3:14" x14ac:dyDescent="0.3">
      <c r="C3828" s="54"/>
      <c r="N3828" s="33"/>
    </row>
    <row r="3829" spans="3:14" x14ac:dyDescent="0.3">
      <c r="C3829" s="54"/>
      <c r="N3829" s="33"/>
    </row>
    <row r="3830" spans="3:14" x14ac:dyDescent="0.3">
      <c r="C3830" s="54"/>
      <c r="N3830" s="33"/>
    </row>
    <row r="3831" spans="3:14" x14ac:dyDescent="0.3">
      <c r="C3831" s="54"/>
      <c r="N3831" s="33"/>
    </row>
    <row r="3832" spans="3:14" x14ac:dyDescent="0.3">
      <c r="C3832" s="54"/>
      <c r="N3832" s="33"/>
    </row>
    <row r="3833" spans="3:14" x14ac:dyDescent="0.3">
      <c r="C3833" s="54"/>
      <c r="N3833" s="33"/>
    </row>
    <row r="3834" spans="3:14" x14ac:dyDescent="0.3">
      <c r="C3834" s="54"/>
      <c r="N3834" s="33"/>
    </row>
    <row r="3835" spans="3:14" x14ac:dyDescent="0.3">
      <c r="C3835" s="54"/>
      <c r="N3835" s="33"/>
    </row>
    <row r="3836" spans="3:14" x14ac:dyDescent="0.3">
      <c r="C3836" s="54"/>
      <c r="N3836" s="33"/>
    </row>
    <row r="3837" spans="3:14" x14ac:dyDescent="0.3">
      <c r="C3837" s="54"/>
      <c r="N3837" s="33"/>
    </row>
    <row r="3838" spans="3:14" x14ac:dyDescent="0.3">
      <c r="C3838" s="54"/>
      <c r="N3838" s="33"/>
    </row>
    <row r="3839" spans="3:14" x14ac:dyDescent="0.3">
      <c r="C3839" s="54"/>
      <c r="N3839" s="33"/>
    </row>
    <row r="3840" spans="3:14" x14ac:dyDescent="0.3">
      <c r="C3840" s="54"/>
      <c r="N3840" s="33"/>
    </row>
    <row r="3841" spans="3:14" x14ac:dyDescent="0.3">
      <c r="C3841" s="54"/>
      <c r="N3841" s="33"/>
    </row>
    <row r="3842" spans="3:14" x14ac:dyDescent="0.3">
      <c r="C3842" s="54"/>
      <c r="N3842" s="33"/>
    </row>
    <row r="3843" spans="3:14" x14ac:dyDescent="0.3">
      <c r="C3843" s="54"/>
      <c r="N3843" s="33"/>
    </row>
    <row r="3844" spans="3:14" x14ac:dyDescent="0.3">
      <c r="C3844" s="54"/>
      <c r="N3844" s="33"/>
    </row>
    <row r="3845" spans="3:14" x14ac:dyDescent="0.3">
      <c r="C3845" s="54"/>
      <c r="N3845" s="33"/>
    </row>
    <row r="3846" spans="3:14" x14ac:dyDescent="0.3">
      <c r="C3846" s="54"/>
      <c r="N3846" s="33"/>
    </row>
    <row r="3847" spans="3:14" x14ac:dyDescent="0.3">
      <c r="C3847" s="54"/>
      <c r="N3847" s="33"/>
    </row>
    <row r="3848" spans="3:14" x14ac:dyDescent="0.3">
      <c r="C3848" s="54"/>
      <c r="N3848" s="33"/>
    </row>
    <row r="3849" spans="3:14" x14ac:dyDescent="0.3">
      <c r="C3849" s="54"/>
      <c r="N3849" s="33"/>
    </row>
    <row r="3850" spans="3:14" x14ac:dyDescent="0.3">
      <c r="C3850" s="54"/>
      <c r="N3850" s="33"/>
    </row>
    <row r="3851" spans="3:14" x14ac:dyDescent="0.3">
      <c r="C3851" s="54"/>
      <c r="N3851" s="33"/>
    </row>
    <row r="3852" spans="3:14" x14ac:dyDescent="0.3">
      <c r="C3852" s="54"/>
      <c r="N3852" s="33"/>
    </row>
    <row r="3853" spans="3:14" x14ac:dyDescent="0.3">
      <c r="C3853" s="54"/>
      <c r="N3853" s="33"/>
    </row>
    <row r="3854" spans="3:14" x14ac:dyDescent="0.3">
      <c r="C3854" s="54"/>
      <c r="N3854" s="33"/>
    </row>
    <row r="3855" spans="3:14" x14ac:dyDescent="0.3">
      <c r="C3855" s="54"/>
      <c r="N3855" s="33"/>
    </row>
    <row r="3856" spans="3:14" x14ac:dyDescent="0.3">
      <c r="C3856" s="54"/>
      <c r="N3856" s="33"/>
    </row>
    <row r="3857" spans="3:14" x14ac:dyDescent="0.3">
      <c r="C3857" s="54"/>
      <c r="N3857" s="33"/>
    </row>
    <row r="3858" spans="3:14" x14ac:dyDescent="0.3">
      <c r="C3858" s="54"/>
      <c r="N3858" s="33"/>
    </row>
    <row r="3859" spans="3:14" x14ac:dyDescent="0.3">
      <c r="C3859" s="54"/>
      <c r="N3859" s="33"/>
    </row>
    <row r="3860" spans="3:14" x14ac:dyDescent="0.3">
      <c r="C3860" s="54"/>
      <c r="N3860" s="33"/>
    </row>
    <row r="3861" spans="3:14" x14ac:dyDescent="0.3">
      <c r="C3861" s="54"/>
      <c r="N3861" s="33"/>
    </row>
    <row r="3862" spans="3:14" x14ac:dyDescent="0.3">
      <c r="C3862" s="54"/>
      <c r="N3862" s="33"/>
    </row>
    <row r="3863" spans="3:14" x14ac:dyDescent="0.3">
      <c r="C3863" s="54"/>
      <c r="N3863" s="33"/>
    </row>
    <row r="3864" spans="3:14" x14ac:dyDescent="0.3">
      <c r="C3864" s="54"/>
      <c r="N3864" s="33"/>
    </row>
    <row r="3865" spans="3:14" x14ac:dyDescent="0.3">
      <c r="C3865" s="54"/>
      <c r="N3865" s="33"/>
    </row>
    <row r="3866" spans="3:14" x14ac:dyDescent="0.3">
      <c r="C3866" s="54"/>
      <c r="N3866" s="33"/>
    </row>
    <row r="3867" spans="3:14" x14ac:dyDescent="0.3">
      <c r="C3867" s="54"/>
      <c r="N3867" s="33"/>
    </row>
    <row r="3868" spans="3:14" x14ac:dyDescent="0.3">
      <c r="C3868" s="54"/>
      <c r="N3868" s="33"/>
    </row>
    <row r="3869" spans="3:14" x14ac:dyDescent="0.3">
      <c r="C3869" s="54"/>
      <c r="N3869" s="33"/>
    </row>
    <row r="3870" spans="3:14" x14ac:dyDescent="0.3">
      <c r="C3870" s="54"/>
      <c r="N3870" s="33"/>
    </row>
    <row r="3871" spans="3:14" x14ac:dyDescent="0.3">
      <c r="C3871" s="54"/>
      <c r="N3871" s="33"/>
    </row>
    <row r="3872" spans="3:14" x14ac:dyDescent="0.3">
      <c r="C3872" s="54"/>
      <c r="N3872" s="33"/>
    </row>
    <row r="3873" spans="3:14" x14ac:dyDescent="0.3">
      <c r="C3873" s="54"/>
      <c r="N3873" s="33"/>
    </row>
    <row r="3874" spans="3:14" x14ac:dyDescent="0.3">
      <c r="C3874" s="54"/>
      <c r="N3874" s="33"/>
    </row>
    <row r="3875" spans="3:14" x14ac:dyDescent="0.3">
      <c r="C3875" s="54"/>
      <c r="N3875" s="33"/>
    </row>
    <row r="3876" spans="3:14" x14ac:dyDescent="0.3">
      <c r="C3876" s="54"/>
      <c r="N3876" s="33"/>
    </row>
    <row r="3877" spans="3:14" x14ac:dyDescent="0.3">
      <c r="C3877" s="54"/>
      <c r="N3877" s="33"/>
    </row>
    <row r="3878" spans="3:14" x14ac:dyDescent="0.3">
      <c r="C3878" s="54"/>
      <c r="N3878" s="33"/>
    </row>
    <row r="3879" spans="3:14" x14ac:dyDescent="0.3">
      <c r="C3879" s="54"/>
      <c r="N3879" s="33"/>
    </row>
    <row r="3880" spans="3:14" x14ac:dyDescent="0.3">
      <c r="C3880" s="54"/>
      <c r="N3880" s="33"/>
    </row>
    <row r="3881" spans="3:14" x14ac:dyDescent="0.3">
      <c r="C3881" s="54"/>
      <c r="N3881" s="33"/>
    </row>
    <row r="3882" spans="3:14" x14ac:dyDescent="0.3">
      <c r="C3882" s="54"/>
      <c r="N3882" s="33"/>
    </row>
    <row r="3883" spans="3:14" x14ac:dyDescent="0.3">
      <c r="C3883" s="54"/>
      <c r="N3883" s="33"/>
    </row>
    <row r="3884" spans="3:14" x14ac:dyDescent="0.3">
      <c r="C3884" s="54"/>
      <c r="N3884" s="33"/>
    </row>
    <row r="3885" spans="3:14" x14ac:dyDescent="0.3">
      <c r="C3885" s="54"/>
      <c r="N3885" s="33"/>
    </row>
    <row r="3886" spans="3:14" x14ac:dyDescent="0.3">
      <c r="C3886" s="54"/>
      <c r="N3886" s="33"/>
    </row>
    <row r="3887" spans="3:14" x14ac:dyDescent="0.3">
      <c r="C3887" s="54"/>
      <c r="N3887" s="33"/>
    </row>
    <row r="3888" spans="3:14" x14ac:dyDescent="0.3">
      <c r="C3888" s="54"/>
      <c r="N3888" s="33"/>
    </row>
    <row r="3889" spans="3:14" x14ac:dyDescent="0.3">
      <c r="C3889" s="54"/>
      <c r="N3889" s="33"/>
    </row>
    <row r="3890" spans="3:14" x14ac:dyDescent="0.3">
      <c r="C3890" s="54"/>
      <c r="N3890" s="33"/>
    </row>
    <row r="3891" spans="3:14" x14ac:dyDescent="0.3">
      <c r="C3891" s="54"/>
      <c r="N3891" s="33"/>
    </row>
    <row r="3892" spans="3:14" x14ac:dyDescent="0.3">
      <c r="C3892" s="54"/>
      <c r="N3892" s="33"/>
    </row>
    <row r="3893" spans="3:14" x14ac:dyDescent="0.3">
      <c r="C3893" s="54"/>
      <c r="N3893" s="33"/>
    </row>
    <row r="3894" spans="3:14" x14ac:dyDescent="0.3">
      <c r="C3894" s="54"/>
      <c r="N3894" s="33"/>
    </row>
    <row r="3895" spans="3:14" x14ac:dyDescent="0.3">
      <c r="C3895" s="54"/>
      <c r="N3895" s="33"/>
    </row>
    <row r="3896" spans="3:14" x14ac:dyDescent="0.3">
      <c r="C3896" s="54"/>
      <c r="N3896" s="33"/>
    </row>
    <row r="3897" spans="3:14" x14ac:dyDescent="0.3">
      <c r="C3897" s="54"/>
      <c r="N3897" s="33"/>
    </row>
    <row r="3898" spans="3:14" x14ac:dyDescent="0.3">
      <c r="C3898" s="54"/>
      <c r="N3898" s="33"/>
    </row>
    <row r="3899" spans="3:14" x14ac:dyDescent="0.3">
      <c r="C3899" s="54"/>
      <c r="N3899" s="33"/>
    </row>
    <row r="3900" spans="3:14" x14ac:dyDescent="0.3">
      <c r="C3900" s="54"/>
      <c r="N3900" s="33"/>
    </row>
    <row r="3901" spans="3:14" x14ac:dyDescent="0.3">
      <c r="C3901" s="54"/>
      <c r="N3901" s="33"/>
    </row>
    <row r="3902" spans="3:14" x14ac:dyDescent="0.3">
      <c r="C3902" s="54"/>
      <c r="N3902" s="33"/>
    </row>
    <row r="3903" spans="3:14" x14ac:dyDescent="0.3">
      <c r="C3903" s="54"/>
      <c r="N3903" s="33"/>
    </row>
    <row r="3904" spans="3:14" x14ac:dyDescent="0.3">
      <c r="C3904" s="54"/>
      <c r="N3904" s="33"/>
    </row>
    <row r="3905" spans="3:14" x14ac:dyDescent="0.3">
      <c r="C3905" s="54"/>
      <c r="N3905" s="33"/>
    </row>
    <row r="3906" spans="3:14" x14ac:dyDescent="0.3">
      <c r="C3906" s="54"/>
      <c r="N3906" s="33"/>
    </row>
    <row r="3907" spans="3:14" x14ac:dyDescent="0.3">
      <c r="C3907" s="54"/>
      <c r="N3907" s="33"/>
    </row>
    <row r="3908" spans="3:14" x14ac:dyDescent="0.3">
      <c r="C3908" s="54"/>
      <c r="N3908" s="33"/>
    </row>
    <row r="3909" spans="3:14" x14ac:dyDescent="0.3">
      <c r="C3909" s="54"/>
      <c r="N3909" s="33"/>
    </row>
    <row r="3910" spans="3:14" x14ac:dyDescent="0.3">
      <c r="C3910" s="54"/>
      <c r="N3910" s="33"/>
    </row>
    <row r="3911" spans="3:14" x14ac:dyDescent="0.3">
      <c r="C3911" s="54"/>
      <c r="N3911" s="33"/>
    </row>
    <row r="3912" spans="3:14" x14ac:dyDescent="0.3">
      <c r="C3912" s="54"/>
      <c r="N3912" s="33"/>
    </row>
    <row r="3913" spans="3:14" x14ac:dyDescent="0.3">
      <c r="C3913" s="54"/>
      <c r="N3913" s="33"/>
    </row>
    <row r="3914" spans="3:14" x14ac:dyDescent="0.3">
      <c r="C3914" s="54"/>
      <c r="N3914" s="33"/>
    </row>
    <row r="3915" spans="3:14" x14ac:dyDescent="0.3">
      <c r="C3915" s="54"/>
      <c r="N3915" s="33"/>
    </row>
    <row r="3916" spans="3:14" x14ac:dyDescent="0.3">
      <c r="C3916" s="54"/>
      <c r="N3916" s="33"/>
    </row>
    <row r="3917" spans="3:14" x14ac:dyDescent="0.3">
      <c r="C3917" s="54"/>
      <c r="N3917" s="33"/>
    </row>
    <row r="3918" spans="3:14" x14ac:dyDescent="0.3">
      <c r="C3918" s="54"/>
      <c r="N3918" s="33"/>
    </row>
    <row r="3919" spans="3:14" x14ac:dyDescent="0.3">
      <c r="C3919" s="54"/>
      <c r="N3919" s="33"/>
    </row>
    <row r="3920" spans="3:14" x14ac:dyDescent="0.3">
      <c r="C3920" s="54"/>
      <c r="N3920" s="33"/>
    </row>
    <row r="3921" spans="3:14" x14ac:dyDescent="0.3">
      <c r="C3921" s="54"/>
      <c r="N3921" s="33"/>
    </row>
    <row r="3922" spans="3:14" x14ac:dyDescent="0.3">
      <c r="C3922" s="54"/>
      <c r="N3922" s="33"/>
    </row>
    <row r="3923" spans="3:14" x14ac:dyDescent="0.3">
      <c r="C3923" s="54"/>
      <c r="N3923" s="33"/>
    </row>
    <row r="3924" spans="3:14" x14ac:dyDescent="0.3">
      <c r="C3924" s="54"/>
      <c r="N3924" s="33"/>
    </row>
    <row r="3925" spans="3:14" x14ac:dyDescent="0.3">
      <c r="C3925" s="54"/>
      <c r="N3925" s="33"/>
    </row>
    <row r="3926" spans="3:14" x14ac:dyDescent="0.3">
      <c r="C3926" s="54"/>
      <c r="N3926" s="33"/>
    </row>
    <row r="3927" spans="3:14" x14ac:dyDescent="0.3">
      <c r="C3927" s="54"/>
      <c r="N3927" s="33"/>
    </row>
    <row r="3928" spans="3:14" x14ac:dyDescent="0.3">
      <c r="C3928" s="54"/>
      <c r="N3928" s="33"/>
    </row>
    <row r="3929" spans="3:14" x14ac:dyDescent="0.3">
      <c r="C3929" s="54"/>
      <c r="N3929" s="33"/>
    </row>
    <row r="3930" spans="3:14" x14ac:dyDescent="0.3">
      <c r="C3930" s="54"/>
      <c r="N3930" s="33"/>
    </row>
    <row r="3931" spans="3:14" x14ac:dyDescent="0.3">
      <c r="C3931" s="54"/>
      <c r="N3931" s="33"/>
    </row>
    <row r="3932" spans="3:14" x14ac:dyDescent="0.3">
      <c r="C3932" s="54"/>
      <c r="N3932" s="33"/>
    </row>
    <row r="3933" spans="3:14" x14ac:dyDescent="0.3">
      <c r="C3933" s="54"/>
      <c r="N3933" s="33"/>
    </row>
    <row r="3934" spans="3:14" x14ac:dyDescent="0.3">
      <c r="C3934" s="54"/>
      <c r="N3934" s="33"/>
    </row>
    <row r="3935" spans="3:14" x14ac:dyDescent="0.3">
      <c r="C3935" s="54"/>
      <c r="N3935" s="33"/>
    </row>
    <row r="3936" spans="3:14" x14ac:dyDescent="0.3">
      <c r="C3936" s="54"/>
      <c r="N3936" s="33"/>
    </row>
    <row r="3937" spans="3:14" x14ac:dyDescent="0.3">
      <c r="C3937" s="54"/>
      <c r="N3937" s="33"/>
    </row>
    <row r="3938" spans="3:14" x14ac:dyDescent="0.3">
      <c r="C3938" s="54"/>
      <c r="N3938" s="33"/>
    </row>
    <row r="3939" spans="3:14" x14ac:dyDescent="0.3">
      <c r="C3939" s="54"/>
      <c r="N3939" s="33"/>
    </row>
    <row r="3940" spans="3:14" x14ac:dyDescent="0.3">
      <c r="C3940" s="54"/>
      <c r="N3940" s="33"/>
    </row>
    <row r="3941" spans="3:14" x14ac:dyDescent="0.3">
      <c r="C3941" s="54"/>
      <c r="N3941" s="33"/>
    </row>
    <row r="3942" spans="3:14" x14ac:dyDescent="0.3">
      <c r="C3942" s="54"/>
      <c r="N3942" s="33"/>
    </row>
    <row r="3943" spans="3:14" x14ac:dyDescent="0.3">
      <c r="C3943" s="54"/>
      <c r="N3943" s="33"/>
    </row>
    <row r="3944" spans="3:14" x14ac:dyDescent="0.3">
      <c r="C3944" s="54"/>
      <c r="N3944" s="33"/>
    </row>
    <row r="3945" spans="3:14" x14ac:dyDescent="0.3">
      <c r="C3945" s="54"/>
      <c r="N3945" s="33"/>
    </row>
    <row r="3946" spans="3:14" x14ac:dyDescent="0.3">
      <c r="C3946" s="54"/>
      <c r="N3946" s="33"/>
    </row>
    <row r="3947" spans="3:14" x14ac:dyDescent="0.3">
      <c r="C3947" s="54"/>
      <c r="N3947" s="33"/>
    </row>
    <row r="3948" spans="3:14" x14ac:dyDescent="0.3">
      <c r="C3948" s="54"/>
      <c r="N3948" s="33"/>
    </row>
    <row r="3949" spans="3:14" x14ac:dyDescent="0.3">
      <c r="C3949" s="54"/>
      <c r="N3949" s="33"/>
    </row>
    <row r="3950" spans="3:14" x14ac:dyDescent="0.3">
      <c r="C3950" s="54"/>
      <c r="N3950" s="33"/>
    </row>
    <row r="3951" spans="3:14" x14ac:dyDescent="0.3">
      <c r="C3951" s="54"/>
      <c r="N3951" s="33"/>
    </row>
    <row r="3952" spans="3:14" x14ac:dyDescent="0.3">
      <c r="C3952" s="54"/>
      <c r="N3952" s="33"/>
    </row>
    <row r="3953" spans="3:14" x14ac:dyDescent="0.3">
      <c r="C3953" s="54"/>
      <c r="N3953" s="33"/>
    </row>
    <row r="3954" spans="3:14" x14ac:dyDescent="0.3">
      <c r="C3954" s="54"/>
      <c r="N3954" s="33"/>
    </row>
    <row r="3955" spans="3:14" x14ac:dyDescent="0.3">
      <c r="C3955" s="54"/>
      <c r="N3955" s="33"/>
    </row>
    <row r="3956" spans="3:14" x14ac:dyDescent="0.3">
      <c r="C3956" s="54"/>
      <c r="N3956" s="33"/>
    </row>
    <row r="3957" spans="3:14" x14ac:dyDescent="0.3">
      <c r="C3957" s="54"/>
      <c r="N3957" s="33"/>
    </row>
    <row r="3958" spans="3:14" x14ac:dyDescent="0.3">
      <c r="C3958" s="54"/>
      <c r="N3958" s="33"/>
    </row>
    <row r="3959" spans="3:14" x14ac:dyDescent="0.3">
      <c r="C3959" s="54"/>
      <c r="N3959" s="33"/>
    </row>
    <row r="3960" spans="3:14" x14ac:dyDescent="0.3">
      <c r="C3960" s="54"/>
      <c r="N3960" s="33"/>
    </row>
    <row r="3961" spans="3:14" x14ac:dyDescent="0.3">
      <c r="C3961" s="54"/>
      <c r="N3961" s="33"/>
    </row>
    <row r="3962" spans="3:14" x14ac:dyDescent="0.3">
      <c r="C3962" s="54"/>
      <c r="N3962" s="33"/>
    </row>
    <row r="3963" spans="3:14" x14ac:dyDescent="0.3">
      <c r="C3963" s="54"/>
      <c r="N3963" s="33"/>
    </row>
    <row r="3964" spans="3:14" x14ac:dyDescent="0.3">
      <c r="C3964" s="54"/>
      <c r="N3964" s="33"/>
    </row>
    <row r="3965" spans="3:14" x14ac:dyDescent="0.3">
      <c r="C3965" s="54"/>
      <c r="N3965" s="33"/>
    </row>
    <row r="3966" spans="3:14" x14ac:dyDescent="0.3">
      <c r="C3966" s="54"/>
      <c r="N3966" s="33"/>
    </row>
    <row r="3967" spans="3:14" x14ac:dyDescent="0.3">
      <c r="C3967" s="54"/>
      <c r="N3967" s="33"/>
    </row>
    <row r="3968" spans="3:14" x14ac:dyDescent="0.3">
      <c r="C3968" s="54"/>
      <c r="N3968" s="33"/>
    </row>
    <row r="3969" spans="3:14" x14ac:dyDescent="0.3">
      <c r="C3969" s="54"/>
      <c r="N3969" s="33"/>
    </row>
    <row r="3970" spans="3:14" x14ac:dyDescent="0.3">
      <c r="C3970" s="54"/>
      <c r="N3970" s="33"/>
    </row>
    <row r="3971" spans="3:14" x14ac:dyDescent="0.3">
      <c r="C3971" s="54"/>
      <c r="N3971" s="33"/>
    </row>
    <row r="3972" spans="3:14" x14ac:dyDescent="0.3">
      <c r="C3972" s="54"/>
      <c r="N3972" s="33"/>
    </row>
    <row r="3973" spans="3:14" x14ac:dyDescent="0.3">
      <c r="C3973" s="54"/>
      <c r="N3973" s="33"/>
    </row>
    <row r="3974" spans="3:14" x14ac:dyDescent="0.3">
      <c r="C3974" s="54"/>
      <c r="N3974" s="33"/>
    </row>
    <row r="3975" spans="3:14" x14ac:dyDescent="0.3">
      <c r="C3975" s="54"/>
      <c r="N3975" s="33"/>
    </row>
    <row r="3976" spans="3:14" x14ac:dyDescent="0.3">
      <c r="C3976" s="54"/>
      <c r="N3976" s="33"/>
    </row>
    <row r="3977" spans="3:14" x14ac:dyDescent="0.3">
      <c r="C3977" s="54"/>
      <c r="N3977" s="33"/>
    </row>
    <row r="3978" spans="3:14" x14ac:dyDescent="0.3">
      <c r="C3978" s="54"/>
      <c r="N3978" s="33"/>
    </row>
    <row r="3979" spans="3:14" x14ac:dyDescent="0.3">
      <c r="C3979" s="54"/>
      <c r="N3979" s="33"/>
    </row>
    <row r="3980" spans="3:14" x14ac:dyDescent="0.3">
      <c r="C3980" s="54"/>
      <c r="N3980" s="33"/>
    </row>
    <row r="3981" spans="3:14" x14ac:dyDescent="0.3">
      <c r="C3981" s="54"/>
      <c r="N3981" s="33"/>
    </row>
    <row r="3982" spans="3:14" x14ac:dyDescent="0.3">
      <c r="C3982" s="54"/>
      <c r="N3982" s="33"/>
    </row>
    <row r="3983" spans="3:14" x14ac:dyDescent="0.3">
      <c r="C3983" s="54"/>
      <c r="N3983" s="33"/>
    </row>
    <row r="3984" spans="3:14" x14ac:dyDescent="0.3">
      <c r="C3984" s="54"/>
      <c r="N3984" s="33"/>
    </row>
    <row r="3985" spans="3:14" x14ac:dyDescent="0.3">
      <c r="C3985" s="54"/>
      <c r="N3985" s="33"/>
    </row>
    <row r="3986" spans="3:14" x14ac:dyDescent="0.3">
      <c r="C3986" s="54"/>
      <c r="N3986" s="33"/>
    </row>
    <row r="3987" spans="3:14" x14ac:dyDescent="0.3">
      <c r="C3987" s="54"/>
      <c r="N3987" s="33"/>
    </row>
    <row r="3988" spans="3:14" x14ac:dyDescent="0.3">
      <c r="C3988" s="54"/>
      <c r="N3988" s="33"/>
    </row>
    <row r="3989" spans="3:14" x14ac:dyDescent="0.3">
      <c r="C3989" s="54"/>
      <c r="N3989" s="33"/>
    </row>
    <row r="3990" spans="3:14" x14ac:dyDescent="0.3">
      <c r="C3990" s="54"/>
      <c r="N3990" s="33"/>
    </row>
    <row r="3991" spans="3:14" x14ac:dyDescent="0.3">
      <c r="C3991" s="54"/>
      <c r="N3991" s="33"/>
    </row>
    <row r="3992" spans="3:14" x14ac:dyDescent="0.3">
      <c r="C3992" s="54"/>
      <c r="N3992" s="33"/>
    </row>
    <row r="3993" spans="3:14" x14ac:dyDescent="0.3">
      <c r="C3993" s="54"/>
      <c r="N3993" s="33"/>
    </row>
    <row r="3994" spans="3:14" x14ac:dyDescent="0.3">
      <c r="C3994" s="54"/>
      <c r="N3994" s="33"/>
    </row>
    <row r="3995" spans="3:14" x14ac:dyDescent="0.3">
      <c r="C3995" s="54"/>
      <c r="N3995" s="33"/>
    </row>
    <row r="3996" spans="3:14" x14ac:dyDescent="0.3">
      <c r="C3996" s="54"/>
      <c r="N3996" s="33"/>
    </row>
    <row r="3997" spans="3:14" x14ac:dyDescent="0.3">
      <c r="C3997" s="54"/>
      <c r="N3997" s="33"/>
    </row>
    <row r="3998" spans="3:14" x14ac:dyDescent="0.3">
      <c r="C3998" s="54"/>
      <c r="N3998" s="33"/>
    </row>
    <row r="3999" spans="3:14" x14ac:dyDescent="0.3">
      <c r="C3999" s="54"/>
      <c r="N3999" s="33"/>
    </row>
    <row r="4000" spans="3:14" x14ac:dyDescent="0.3">
      <c r="C4000" s="54"/>
      <c r="N4000" s="33"/>
    </row>
    <row r="4001" spans="3:14" x14ac:dyDescent="0.3">
      <c r="C4001" s="54"/>
      <c r="N4001" s="33"/>
    </row>
    <row r="4002" spans="3:14" x14ac:dyDescent="0.3">
      <c r="C4002" s="54"/>
      <c r="N4002" s="33"/>
    </row>
    <row r="4003" spans="3:14" x14ac:dyDescent="0.3">
      <c r="C4003" s="54"/>
      <c r="N4003" s="33"/>
    </row>
    <row r="4004" spans="3:14" x14ac:dyDescent="0.3">
      <c r="C4004" s="54"/>
      <c r="N4004" s="33"/>
    </row>
    <row r="4005" spans="3:14" x14ac:dyDescent="0.3">
      <c r="C4005" s="54"/>
      <c r="N4005" s="33"/>
    </row>
    <row r="4006" spans="3:14" x14ac:dyDescent="0.3">
      <c r="C4006" s="54"/>
      <c r="N4006" s="33"/>
    </row>
    <row r="4007" spans="3:14" x14ac:dyDescent="0.3">
      <c r="C4007" s="54"/>
      <c r="N4007" s="33"/>
    </row>
    <row r="4008" spans="3:14" x14ac:dyDescent="0.3">
      <c r="C4008" s="54"/>
      <c r="N4008" s="33"/>
    </row>
    <row r="4009" spans="3:14" x14ac:dyDescent="0.3">
      <c r="C4009" s="54"/>
      <c r="N4009" s="33"/>
    </row>
    <row r="4010" spans="3:14" x14ac:dyDescent="0.3">
      <c r="C4010" s="54"/>
      <c r="N4010" s="33"/>
    </row>
    <row r="4011" spans="3:14" x14ac:dyDescent="0.3">
      <c r="C4011" s="54"/>
      <c r="N4011" s="33"/>
    </row>
    <row r="4012" spans="3:14" x14ac:dyDescent="0.3">
      <c r="C4012" s="54"/>
      <c r="N4012" s="33"/>
    </row>
    <row r="4013" spans="3:14" x14ac:dyDescent="0.3">
      <c r="C4013" s="54"/>
      <c r="N4013" s="33"/>
    </row>
    <row r="4014" spans="3:14" x14ac:dyDescent="0.3">
      <c r="C4014" s="54"/>
      <c r="N4014" s="33"/>
    </row>
    <row r="4015" spans="3:14" x14ac:dyDescent="0.3">
      <c r="C4015" s="54"/>
      <c r="N4015" s="33"/>
    </row>
    <row r="4016" spans="3:14" x14ac:dyDescent="0.3">
      <c r="C4016" s="54"/>
      <c r="N4016" s="33"/>
    </row>
    <row r="4017" spans="3:14" x14ac:dyDescent="0.3">
      <c r="C4017" s="54"/>
      <c r="N4017" s="33"/>
    </row>
    <row r="4018" spans="3:14" x14ac:dyDescent="0.3">
      <c r="C4018" s="54"/>
      <c r="N4018" s="33"/>
    </row>
    <row r="4019" spans="3:14" x14ac:dyDescent="0.3">
      <c r="C4019" s="54"/>
      <c r="N4019" s="33"/>
    </row>
    <row r="4020" spans="3:14" x14ac:dyDescent="0.3">
      <c r="C4020" s="54"/>
      <c r="N4020" s="33"/>
    </row>
    <row r="4021" spans="3:14" x14ac:dyDescent="0.3">
      <c r="C4021" s="54"/>
      <c r="N4021" s="33"/>
    </row>
    <row r="4022" spans="3:14" x14ac:dyDescent="0.3">
      <c r="C4022" s="54"/>
      <c r="N4022" s="33"/>
    </row>
    <row r="4023" spans="3:14" x14ac:dyDescent="0.3">
      <c r="C4023" s="54"/>
      <c r="N4023" s="33"/>
    </row>
    <row r="4024" spans="3:14" x14ac:dyDescent="0.3">
      <c r="C4024" s="54"/>
      <c r="N4024" s="33"/>
    </row>
    <row r="4025" spans="3:14" x14ac:dyDescent="0.3">
      <c r="C4025" s="54"/>
      <c r="N4025" s="33"/>
    </row>
    <row r="4026" spans="3:14" x14ac:dyDescent="0.3">
      <c r="C4026" s="54"/>
      <c r="N4026" s="33"/>
    </row>
    <row r="4027" spans="3:14" x14ac:dyDescent="0.3">
      <c r="C4027" s="54"/>
      <c r="N4027" s="33"/>
    </row>
    <row r="4028" spans="3:14" x14ac:dyDescent="0.3">
      <c r="C4028" s="54"/>
      <c r="N4028" s="33"/>
    </row>
    <row r="4029" spans="3:14" x14ac:dyDescent="0.3">
      <c r="C4029" s="54"/>
      <c r="N4029" s="33"/>
    </row>
    <row r="4030" spans="3:14" x14ac:dyDescent="0.3">
      <c r="C4030" s="54"/>
      <c r="N4030" s="33"/>
    </row>
    <row r="4031" spans="3:14" x14ac:dyDescent="0.3">
      <c r="C4031" s="54"/>
      <c r="N4031" s="33"/>
    </row>
    <row r="4032" spans="3:14" x14ac:dyDescent="0.3">
      <c r="C4032" s="54"/>
      <c r="N4032" s="33"/>
    </row>
    <row r="4033" spans="3:14" x14ac:dyDescent="0.3">
      <c r="C4033" s="54"/>
      <c r="N4033" s="33"/>
    </row>
    <row r="4034" spans="3:14" x14ac:dyDescent="0.3">
      <c r="C4034" s="54"/>
      <c r="N4034" s="33"/>
    </row>
    <row r="4035" spans="3:14" x14ac:dyDescent="0.3">
      <c r="C4035" s="54"/>
      <c r="N4035" s="33"/>
    </row>
    <row r="4036" spans="3:14" x14ac:dyDescent="0.3">
      <c r="C4036" s="54"/>
      <c r="N4036" s="33"/>
    </row>
    <row r="4037" spans="3:14" x14ac:dyDescent="0.3">
      <c r="C4037" s="54"/>
      <c r="N4037" s="33"/>
    </row>
    <row r="4038" spans="3:14" x14ac:dyDescent="0.3">
      <c r="C4038" s="54"/>
      <c r="N4038" s="33"/>
    </row>
    <row r="4039" spans="3:14" x14ac:dyDescent="0.3">
      <c r="C4039" s="54"/>
      <c r="N4039" s="33"/>
    </row>
    <row r="4040" spans="3:14" x14ac:dyDescent="0.3">
      <c r="C4040" s="54"/>
      <c r="N4040" s="33"/>
    </row>
    <row r="4041" spans="3:14" x14ac:dyDescent="0.3">
      <c r="C4041" s="54"/>
      <c r="N4041" s="33"/>
    </row>
    <row r="4042" spans="3:14" x14ac:dyDescent="0.3">
      <c r="C4042" s="54"/>
      <c r="N4042" s="33"/>
    </row>
    <row r="4043" spans="3:14" x14ac:dyDescent="0.3">
      <c r="C4043" s="54"/>
      <c r="N4043" s="33"/>
    </row>
    <row r="4044" spans="3:14" x14ac:dyDescent="0.3">
      <c r="C4044" s="54"/>
      <c r="N4044" s="33"/>
    </row>
    <row r="4045" spans="3:14" x14ac:dyDescent="0.3">
      <c r="C4045" s="54"/>
      <c r="N4045" s="33"/>
    </row>
    <row r="4046" spans="3:14" x14ac:dyDescent="0.3">
      <c r="C4046" s="54"/>
      <c r="N4046" s="33"/>
    </row>
    <row r="4047" spans="3:14" x14ac:dyDescent="0.3">
      <c r="C4047" s="54"/>
      <c r="N4047" s="33"/>
    </row>
    <row r="4048" spans="3:14" x14ac:dyDescent="0.3">
      <c r="C4048" s="54"/>
      <c r="N4048" s="33"/>
    </row>
    <row r="4049" spans="3:14" x14ac:dyDescent="0.3">
      <c r="C4049" s="54"/>
      <c r="N4049" s="33"/>
    </row>
    <row r="4050" spans="3:14" x14ac:dyDescent="0.3">
      <c r="C4050" s="54"/>
      <c r="N4050" s="33"/>
    </row>
    <row r="4051" spans="3:14" x14ac:dyDescent="0.3">
      <c r="C4051" s="54"/>
      <c r="N4051" s="33"/>
    </row>
    <row r="4052" spans="3:14" x14ac:dyDescent="0.3">
      <c r="C4052" s="54"/>
      <c r="N4052" s="33"/>
    </row>
    <row r="4053" spans="3:14" x14ac:dyDescent="0.3">
      <c r="C4053" s="54"/>
      <c r="N4053" s="33"/>
    </row>
    <row r="4054" spans="3:14" x14ac:dyDescent="0.3">
      <c r="C4054" s="54"/>
      <c r="N4054" s="33"/>
    </row>
    <row r="4055" spans="3:14" x14ac:dyDescent="0.3">
      <c r="C4055" s="54"/>
      <c r="N4055" s="33"/>
    </row>
    <row r="4056" spans="3:14" x14ac:dyDescent="0.3">
      <c r="C4056" s="54"/>
      <c r="N4056" s="33"/>
    </row>
    <row r="4057" spans="3:14" x14ac:dyDescent="0.3">
      <c r="C4057" s="54"/>
      <c r="N4057" s="33"/>
    </row>
    <row r="4058" spans="3:14" x14ac:dyDescent="0.3">
      <c r="C4058" s="54"/>
      <c r="N4058" s="33"/>
    </row>
    <row r="4059" spans="3:14" x14ac:dyDescent="0.3">
      <c r="C4059" s="54"/>
      <c r="N4059" s="33"/>
    </row>
    <row r="4060" spans="3:14" x14ac:dyDescent="0.3">
      <c r="C4060" s="54"/>
      <c r="N4060" s="33"/>
    </row>
    <row r="4061" spans="3:14" x14ac:dyDescent="0.3">
      <c r="C4061" s="54"/>
      <c r="N4061" s="33"/>
    </row>
    <row r="4062" spans="3:14" x14ac:dyDescent="0.3">
      <c r="C4062" s="54"/>
      <c r="N4062" s="33"/>
    </row>
    <row r="4063" spans="3:14" x14ac:dyDescent="0.3">
      <c r="C4063" s="54"/>
      <c r="N4063" s="33"/>
    </row>
    <row r="4064" spans="3:14" x14ac:dyDescent="0.3">
      <c r="C4064" s="54"/>
      <c r="N4064" s="33"/>
    </row>
    <row r="4065" spans="3:14" x14ac:dyDescent="0.3">
      <c r="C4065" s="54"/>
      <c r="N4065" s="33"/>
    </row>
    <row r="4066" spans="3:14" x14ac:dyDescent="0.3">
      <c r="C4066" s="54"/>
      <c r="N4066" s="33"/>
    </row>
    <row r="4067" spans="3:14" x14ac:dyDescent="0.3">
      <c r="C4067" s="54"/>
      <c r="N4067" s="33"/>
    </row>
    <row r="4068" spans="3:14" x14ac:dyDescent="0.3">
      <c r="C4068" s="54"/>
      <c r="N4068" s="33"/>
    </row>
    <row r="4069" spans="3:14" x14ac:dyDescent="0.3">
      <c r="C4069" s="54"/>
      <c r="N4069" s="33"/>
    </row>
    <row r="4070" spans="3:14" x14ac:dyDescent="0.3">
      <c r="C4070" s="54"/>
      <c r="N4070" s="33"/>
    </row>
    <row r="4071" spans="3:14" x14ac:dyDescent="0.3">
      <c r="C4071" s="54"/>
      <c r="N4071" s="33"/>
    </row>
    <row r="4072" spans="3:14" x14ac:dyDescent="0.3">
      <c r="C4072" s="54"/>
      <c r="N4072" s="33"/>
    </row>
    <row r="4073" spans="3:14" x14ac:dyDescent="0.3">
      <c r="C4073" s="54"/>
      <c r="N4073" s="33"/>
    </row>
    <row r="4074" spans="3:14" x14ac:dyDescent="0.3">
      <c r="C4074" s="54"/>
      <c r="N4074" s="33"/>
    </row>
    <row r="4075" spans="3:14" x14ac:dyDescent="0.3">
      <c r="C4075" s="54"/>
      <c r="N4075" s="33"/>
    </row>
    <row r="4076" spans="3:14" x14ac:dyDescent="0.3">
      <c r="C4076" s="54"/>
      <c r="N4076" s="33"/>
    </row>
    <row r="4077" spans="3:14" x14ac:dyDescent="0.3">
      <c r="C4077" s="54"/>
      <c r="N4077" s="33"/>
    </row>
    <row r="4078" spans="3:14" x14ac:dyDescent="0.3">
      <c r="C4078" s="54"/>
      <c r="N4078" s="33"/>
    </row>
    <row r="4079" spans="3:14" x14ac:dyDescent="0.3">
      <c r="C4079" s="54"/>
      <c r="N4079" s="33"/>
    </row>
    <row r="4080" spans="3:14" x14ac:dyDescent="0.3">
      <c r="C4080" s="54"/>
      <c r="N4080" s="33"/>
    </row>
    <row r="4081" spans="3:14" x14ac:dyDescent="0.3">
      <c r="C4081" s="54"/>
      <c r="N4081" s="33"/>
    </row>
    <row r="4082" spans="3:14" x14ac:dyDescent="0.3">
      <c r="C4082" s="54"/>
      <c r="N4082" s="33"/>
    </row>
    <row r="4083" spans="3:14" x14ac:dyDescent="0.3">
      <c r="C4083" s="54"/>
      <c r="N4083" s="33"/>
    </row>
    <row r="4084" spans="3:14" x14ac:dyDescent="0.3">
      <c r="C4084" s="54"/>
      <c r="N4084" s="33"/>
    </row>
    <row r="4085" spans="3:14" x14ac:dyDescent="0.3">
      <c r="C4085" s="54"/>
      <c r="N4085" s="33"/>
    </row>
    <row r="4086" spans="3:14" x14ac:dyDescent="0.3">
      <c r="C4086" s="54"/>
      <c r="N4086" s="33"/>
    </row>
    <row r="4087" spans="3:14" x14ac:dyDescent="0.3">
      <c r="C4087" s="54"/>
      <c r="N4087" s="33"/>
    </row>
    <row r="4088" spans="3:14" x14ac:dyDescent="0.3">
      <c r="C4088" s="54"/>
      <c r="N4088" s="33"/>
    </row>
    <row r="4089" spans="3:14" x14ac:dyDescent="0.3">
      <c r="C4089" s="54"/>
      <c r="N4089" s="33"/>
    </row>
    <row r="4090" spans="3:14" x14ac:dyDescent="0.3">
      <c r="C4090" s="54"/>
      <c r="N4090" s="33"/>
    </row>
    <row r="4091" spans="3:14" x14ac:dyDescent="0.3">
      <c r="C4091" s="54"/>
      <c r="N4091" s="33"/>
    </row>
    <row r="4092" spans="3:14" x14ac:dyDescent="0.3">
      <c r="C4092" s="54"/>
      <c r="N4092" s="33"/>
    </row>
    <row r="4093" spans="3:14" x14ac:dyDescent="0.3">
      <c r="C4093" s="54"/>
      <c r="N4093" s="33"/>
    </row>
    <row r="4094" spans="3:14" x14ac:dyDescent="0.3">
      <c r="C4094" s="54"/>
      <c r="N4094" s="33"/>
    </row>
    <row r="4095" spans="3:14" x14ac:dyDescent="0.3">
      <c r="C4095" s="54"/>
      <c r="N4095" s="33"/>
    </row>
    <row r="4096" spans="3:14" x14ac:dyDescent="0.3">
      <c r="C4096" s="54"/>
      <c r="N4096" s="33"/>
    </row>
    <row r="4097" spans="3:14" x14ac:dyDescent="0.3">
      <c r="C4097" s="54"/>
      <c r="N4097" s="33"/>
    </row>
    <row r="4098" spans="3:14" x14ac:dyDescent="0.3">
      <c r="C4098" s="54"/>
      <c r="N4098" s="33"/>
    </row>
    <row r="4099" spans="3:14" x14ac:dyDescent="0.3">
      <c r="C4099" s="54"/>
      <c r="N4099" s="33"/>
    </row>
    <row r="4100" spans="3:14" x14ac:dyDescent="0.3">
      <c r="C4100" s="54"/>
      <c r="N4100" s="33"/>
    </row>
    <row r="4101" spans="3:14" x14ac:dyDescent="0.3">
      <c r="C4101" s="54"/>
      <c r="N4101" s="33"/>
    </row>
    <row r="4102" spans="3:14" x14ac:dyDescent="0.3">
      <c r="C4102" s="54"/>
      <c r="N4102" s="33"/>
    </row>
    <row r="4103" spans="3:14" x14ac:dyDescent="0.3">
      <c r="C4103" s="54"/>
      <c r="N4103" s="33"/>
    </row>
    <row r="4104" spans="3:14" x14ac:dyDescent="0.3">
      <c r="C4104" s="54"/>
      <c r="N4104" s="33"/>
    </row>
    <row r="4105" spans="3:14" x14ac:dyDescent="0.3">
      <c r="C4105" s="54"/>
      <c r="N4105" s="33"/>
    </row>
    <row r="4106" spans="3:14" x14ac:dyDescent="0.3">
      <c r="C4106" s="54"/>
      <c r="N4106" s="33"/>
    </row>
    <row r="4107" spans="3:14" x14ac:dyDescent="0.3">
      <c r="C4107" s="54"/>
      <c r="N4107" s="33"/>
    </row>
    <row r="4108" spans="3:14" x14ac:dyDescent="0.3">
      <c r="C4108" s="54"/>
      <c r="N4108" s="33"/>
    </row>
    <row r="4109" spans="3:14" x14ac:dyDescent="0.3">
      <c r="C4109" s="54"/>
      <c r="N4109" s="33"/>
    </row>
    <row r="4110" spans="3:14" x14ac:dyDescent="0.3">
      <c r="C4110" s="54"/>
      <c r="N4110" s="33"/>
    </row>
    <row r="4111" spans="3:14" x14ac:dyDescent="0.3">
      <c r="C4111" s="54"/>
      <c r="N4111" s="33"/>
    </row>
    <row r="4112" spans="3:14" x14ac:dyDescent="0.3">
      <c r="C4112" s="54"/>
      <c r="N4112" s="33"/>
    </row>
    <row r="4113" spans="3:14" x14ac:dyDescent="0.3">
      <c r="C4113" s="54"/>
      <c r="N4113" s="33"/>
    </row>
    <row r="4114" spans="3:14" x14ac:dyDescent="0.3">
      <c r="C4114" s="54"/>
      <c r="N4114" s="33"/>
    </row>
    <row r="4115" spans="3:14" x14ac:dyDescent="0.3">
      <c r="C4115" s="54"/>
      <c r="N4115" s="33"/>
    </row>
    <row r="4116" spans="3:14" x14ac:dyDescent="0.3">
      <c r="C4116" s="54"/>
      <c r="N4116" s="33"/>
    </row>
    <row r="4117" spans="3:14" x14ac:dyDescent="0.3">
      <c r="C4117" s="54"/>
      <c r="N4117" s="33"/>
    </row>
    <row r="4118" spans="3:14" x14ac:dyDescent="0.3">
      <c r="C4118" s="54"/>
      <c r="N4118" s="33"/>
    </row>
    <row r="4119" spans="3:14" x14ac:dyDescent="0.3">
      <c r="C4119" s="54"/>
      <c r="N4119" s="33"/>
    </row>
    <row r="4120" spans="3:14" x14ac:dyDescent="0.3">
      <c r="C4120" s="54"/>
      <c r="N4120" s="33"/>
    </row>
    <row r="4121" spans="3:14" x14ac:dyDescent="0.3">
      <c r="C4121" s="54"/>
      <c r="N4121" s="33"/>
    </row>
    <row r="4122" spans="3:14" x14ac:dyDescent="0.3">
      <c r="C4122" s="54"/>
      <c r="N4122" s="33"/>
    </row>
    <row r="4123" spans="3:14" x14ac:dyDescent="0.3">
      <c r="C4123" s="54"/>
      <c r="N4123" s="33"/>
    </row>
    <row r="4124" spans="3:14" x14ac:dyDescent="0.3">
      <c r="C4124" s="54"/>
      <c r="N4124" s="33"/>
    </row>
    <row r="4125" spans="3:14" x14ac:dyDescent="0.3">
      <c r="C4125" s="54"/>
      <c r="N4125" s="33"/>
    </row>
    <row r="4126" spans="3:14" x14ac:dyDescent="0.3">
      <c r="C4126" s="54"/>
      <c r="N4126" s="33"/>
    </row>
    <row r="4127" spans="3:14" x14ac:dyDescent="0.3">
      <c r="C4127" s="54"/>
      <c r="N4127" s="33"/>
    </row>
    <row r="4128" spans="3:14" x14ac:dyDescent="0.3">
      <c r="C4128" s="54"/>
      <c r="N4128" s="33"/>
    </row>
    <row r="4129" spans="3:14" x14ac:dyDescent="0.3">
      <c r="C4129" s="54"/>
      <c r="N4129" s="33"/>
    </row>
    <row r="4130" spans="3:14" x14ac:dyDescent="0.3">
      <c r="C4130" s="54"/>
      <c r="N4130" s="33"/>
    </row>
    <row r="4131" spans="3:14" x14ac:dyDescent="0.3">
      <c r="C4131" s="54"/>
      <c r="N4131" s="33"/>
    </row>
    <row r="4132" spans="3:14" x14ac:dyDescent="0.3">
      <c r="C4132" s="54"/>
      <c r="N4132" s="33"/>
    </row>
    <row r="4133" spans="3:14" x14ac:dyDescent="0.3">
      <c r="C4133" s="54"/>
      <c r="N4133" s="33"/>
    </row>
    <row r="4134" spans="3:14" x14ac:dyDescent="0.3">
      <c r="C4134" s="54"/>
      <c r="N4134" s="33"/>
    </row>
    <row r="4135" spans="3:14" x14ac:dyDescent="0.3">
      <c r="C4135" s="54"/>
      <c r="N4135" s="33"/>
    </row>
    <row r="4136" spans="3:14" x14ac:dyDescent="0.3">
      <c r="C4136" s="54"/>
      <c r="N4136" s="33"/>
    </row>
    <row r="4137" spans="3:14" x14ac:dyDescent="0.3">
      <c r="C4137" s="54"/>
      <c r="N4137" s="33"/>
    </row>
    <row r="4138" spans="3:14" x14ac:dyDescent="0.3">
      <c r="C4138" s="54"/>
      <c r="N4138" s="33"/>
    </row>
    <row r="4139" spans="3:14" x14ac:dyDescent="0.3">
      <c r="C4139" s="54"/>
      <c r="N4139" s="33"/>
    </row>
    <row r="4140" spans="3:14" x14ac:dyDescent="0.3">
      <c r="C4140" s="54"/>
      <c r="N4140" s="33"/>
    </row>
    <row r="4141" spans="3:14" x14ac:dyDescent="0.3">
      <c r="C4141" s="54"/>
      <c r="N4141" s="33"/>
    </row>
    <row r="4142" spans="3:14" x14ac:dyDescent="0.3">
      <c r="C4142" s="54"/>
      <c r="N4142" s="33"/>
    </row>
    <row r="4143" spans="3:14" x14ac:dyDescent="0.3">
      <c r="C4143" s="54"/>
      <c r="N4143" s="33"/>
    </row>
    <row r="4144" spans="3:14" x14ac:dyDescent="0.3">
      <c r="C4144" s="54"/>
      <c r="N4144" s="33"/>
    </row>
    <row r="4145" spans="3:14" x14ac:dyDescent="0.3">
      <c r="C4145" s="54"/>
      <c r="N4145" s="33"/>
    </row>
    <row r="4146" spans="3:14" x14ac:dyDescent="0.3">
      <c r="C4146" s="54"/>
      <c r="N4146" s="33"/>
    </row>
    <row r="4147" spans="3:14" x14ac:dyDescent="0.3">
      <c r="C4147" s="54"/>
      <c r="N4147" s="33"/>
    </row>
    <row r="4148" spans="3:14" x14ac:dyDescent="0.3">
      <c r="C4148" s="54"/>
      <c r="N4148" s="33"/>
    </row>
    <row r="4149" spans="3:14" x14ac:dyDescent="0.3">
      <c r="C4149" s="54"/>
      <c r="N4149" s="33"/>
    </row>
    <row r="4150" spans="3:14" x14ac:dyDescent="0.3">
      <c r="C4150" s="54"/>
      <c r="N4150" s="33"/>
    </row>
    <row r="4151" spans="3:14" x14ac:dyDescent="0.3">
      <c r="C4151" s="54"/>
      <c r="N4151" s="33"/>
    </row>
    <row r="4152" spans="3:14" x14ac:dyDescent="0.3">
      <c r="C4152" s="54"/>
      <c r="N4152" s="33"/>
    </row>
    <row r="4153" spans="3:14" x14ac:dyDescent="0.3">
      <c r="C4153" s="54"/>
      <c r="N4153" s="33"/>
    </row>
    <row r="4154" spans="3:14" x14ac:dyDescent="0.3">
      <c r="C4154" s="54"/>
      <c r="N4154" s="33"/>
    </row>
    <row r="4155" spans="3:14" x14ac:dyDescent="0.3">
      <c r="C4155" s="54"/>
      <c r="N4155" s="33"/>
    </row>
    <row r="4156" spans="3:14" x14ac:dyDescent="0.3">
      <c r="C4156" s="54"/>
      <c r="N4156" s="33"/>
    </row>
    <row r="4157" spans="3:14" x14ac:dyDescent="0.3">
      <c r="C4157" s="54"/>
      <c r="N4157" s="33"/>
    </row>
    <row r="4158" spans="3:14" x14ac:dyDescent="0.3">
      <c r="C4158" s="54"/>
      <c r="N4158" s="33"/>
    </row>
    <row r="4159" spans="3:14" x14ac:dyDescent="0.3">
      <c r="C4159" s="54"/>
      <c r="N4159" s="33"/>
    </row>
    <row r="4160" spans="3:14" x14ac:dyDescent="0.3">
      <c r="C4160" s="54"/>
      <c r="N4160" s="33"/>
    </row>
    <row r="4161" spans="3:14" x14ac:dyDescent="0.3">
      <c r="C4161" s="54"/>
      <c r="N4161" s="33"/>
    </row>
    <row r="4162" spans="3:14" x14ac:dyDescent="0.3">
      <c r="C4162" s="54"/>
      <c r="N4162" s="33"/>
    </row>
    <row r="4163" spans="3:14" x14ac:dyDescent="0.3">
      <c r="C4163" s="54"/>
      <c r="N4163" s="33"/>
    </row>
    <row r="4164" spans="3:14" x14ac:dyDescent="0.3">
      <c r="C4164" s="54"/>
      <c r="N4164" s="33"/>
    </row>
    <row r="4165" spans="3:14" x14ac:dyDescent="0.3">
      <c r="C4165" s="54"/>
      <c r="N4165" s="33"/>
    </row>
    <row r="4166" spans="3:14" x14ac:dyDescent="0.3">
      <c r="C4166" s="54"/>
      <c r="N4166" s="33"/>
    </row>
    <row r="4167" spans="3:14" x14ac:dyDescent="0.3">
      <c r="C4167" s="54"/>
      <c r="N4167" s="33"/>
    </row>
    <row r="4168" spans="3:14" x14ac:dyDescent="0.3">
      <c r="C4168" s="54"/>
      <c r="N4168" s="33"/>
    </row>
    <row r="4169" spans="3:14" x14ac:dyDescent="0.3">
      <c r="C4169" s="54"/>
      <c r="N4169" s="33"/>
    </row>
    <row r="4170" spans="3:14" x14ac:dyDescent="0.3">
      <c r="C4170" s="54"/>
      <c r="N4170" s="33"/>
    </row>
    <row r="4171" spans="3:14" x14ac:dyDescent="0.3">
      <c r="C4171" s="54"/>
      <c r="N4171" s="33"/>
    </row>
    <row r="4172" spans="3:14" x14ac:dyDescent="0.3">
      <c r="C4172" s="54"/>
      <c r="N4172" s="33"/>
    </row>
    <row r="4173" spans="3:14" x14ac:dyDescent="0.3">
      <c r="C4173" s="54"/>
      <c r="N4173" s="33"/>
    </row>
    <row r="4174" spans="3:14" x14ac:dyDescent="0.3">
      <c r="C4174" s="54"/>
      <c r="N4174" s="33"/>
    </row>
    <row r="4175" spans="3:14" x14ac:dyDescent="0.3">
      <c r="C4175" s="54"/>
      <c r="N4175" s="33"/>
    </row>
    <row r="4176" spans="3:14" x14ac:dyDescent="0.3">
      <c r="C4176" s="54"/>
      <c r="N4176" s="33"/>
    </row>
    <row r="4177" spans="3:14" x14ac:dyDescent="0.3">
      <c r="C4177" s="54"/>
      <c r="N4177" s="33"/>
    </row>
    <row r="4178" spans="3:14" x14ac:dyDescent="0.3">
      <c r="C4178" s="54"/>
      <c r="N4178" s="33"/>
    </row>
    <row r="4179" spans="3:14" x14ac:dyDescent="0.3">
      <c r="C4179" s="54"/>
      <c r="N4179" s="33"/>
    </row>
    <row r="4180" spans="3:14" x14ac:dyDescent="0.3">
      <c r="C4180" s="54"/>
      <c r="N4180" s="33"/>
    </row>
    <row r="4181" spans="3:14" x14ac:dyDescent="0.3">
      <c r="C4181" s="54"/>
      <c r="N4181" s="33"/>
    </row>
    <row r="4182" spans="3:14" x14ac:dyDescent="0.3">
      <c r="C4182" s="54"/>
      <c r="N4182" s="33"/>
    </row>
    <row r="4183" spans="3:14" x14ac:dyDescent="0.3">
      <c r="C4183" s="54"/>
      <c r="N4183" s="33"/>
    </row>
    <row r="4184" spans="3:14" x14ac:dyDescent="0.3">
      <c r="C4184" s="54"/>
      <c r="N4184" s="33"/>
    </row>
    <row r="4185" spans="3:14" x14ac:dyDescent="0.3">
      <c r="C4185" s="54"/>
      <c r="N4185" s="33"/>
    </row>
    <row r="4186" spans="3:14" x14ac:dyDescent="0.3">
      <c r="C4186" s="54"/>
      <c r="N4186" s="33"/>
    </row>
    <row r="4187" spans="3:14" x14ac:dyDescent="0.3">
      <c r="C4187" s="54"/>
      <c r="N4187" s="33"/>
    </row>
    <row r="4188" spans="3:14" x14ac:dyDescent="0.3">
      <c r="C4188" s="54"/>
      <c r="N4188" s="33"/>
    </row>
    <row r="4189" spans="3:14" x14ac:dyDescent="0.3">
      <c r="C4189" s="54"/>
      <c r="N4189" s="33"/>
    </row>
    <row r="4190" spans="3:14" x14ac:dyDescent="0.3">
      <c r="C4190" s="54"/>
      <c r="N4190" s="33"/>
    </row>
    <row r="4191" spans="3:14" x14ac:dyDescent="0.3">
      <c r="C4191" s="54"/>
      <c r="N4191" s="33"/>
    </row>
    <row r="4192" spans="3:14" x14ac:dyDescent="0.3">
      <c r="C4192" s="54"/>
      <c r="N4192" s="33"/>
    </row>
    <row r="4193" spans="3:14" x14ac:dyDescent="0.3">
      <c r="C4193" s="54"/>
      <c r="N4193" s="33"/>
    </row>
    <row r="4194" spans="3:14" x14ac:dyDescent="0.3">
      <c r="C4194" s="54"/>
      <c r="N4194" s="33"/>
    </row>
    <row r="4195" spans="3:14" x14ac:dyDescent="0.3">
      <c r="C4195" s="54"/>
      <c r="N4195" s="33"/>
    </row>
    <row r="4196" spans="3:14" x14ac:dyDescent="0.3">
      <c r="C4196" s="54"/>
      <c r="N4196" s="33"/>
    </row>
    <row r="4197" spans="3:14" x14ac:dyDescent="0.3">
      <c r="C4197" s="54"/>
      <c r="N4197" s="33"/>
    </row>
    <row r="4198" spans="3:14" x14ac:dyDescent="0.3">
      <c r="C4198" s="54"/>
      <c r="N4198" s="33"/>
    </row>
    <row r="4199" spans="3:14" x14ac:dyDescent="0.3">
      <c r="C4199" s="54"/>
      <c r="N4199" s="33"/>
    </row>
    <row r="4200" spans="3:14" x14ac:dyDescent="0.3">
      <c r="C4200" s="54"/>
      <c r="N4200" s="33"/>
    </row>
    <row r="4201" spans="3:14" x14ac:dyDescent="0.3">
      <c r="C4201" s="54"/>
      <c r="N4201" s="33"/>
    </row>
    <row r="4202" spans="3:14" x14ac:dyDescent="0.3">
      <c r="C4202" s="54"/>
      <c r="N4202" s="33"/>
    </row>
    <row r="4203" spans="3:14" x14ac:dyDescent="0.3">
      <c r="C4203" s="54"/>
      <c r="N4203" s="33"/>
    </row>
    <row r="4204" spans="3:14" x14ac:dyDescent="0.3">
      <c r="C4204" s="54"/>
      <c r="N4204" s="33"/>
    </row>
    <row r="4205" spans="3:14" x14ac:dyDescent="0.3">
      <c r="C4205" s="54"/>
      <c r="N4205" s="33"/>
    </row>
    <row r="4206" spans="3:14" x14ac:dyDescent="0.3">
      <c r="C4206" s="54"/>
      <c r="N4206" s="33"/>
    </row>
    <row r="4207" spans="3:14" x14ac:dyDescent="0.3">
      <c r="C4207" s="54"/>
      <c r="N4207" s="33"/>
    </row>
    <row r="4208" spans="3:14" x14ac:dyDescent="0.3">
      <c r="C4208" s="54"/>
      <c r="N4208" s="33"/>
    </row>
    <row r="4209" spans="3:14" x14ac:dyDescent="0.3">
      <c r="C4209" s="54"/>
      <c r="N4209" s="33"/>
    </row>
    <row r="4210" spans="3:14" x14ac:dyDescent="0.3">
      <c r="C4210" s="54"/>
      <c r="N4210" s="33"/>
    </row>
    <row r="4211" spans="3:14" x14ac:dyDescent="0.3">
      <c r="C4211" s="54"/>
      <c r="N4211" s="33"/>
    </row>
    <row r="4212" spans="3:14" x14ac:dyDescent="0.3">
      <c r="C4212" s="54"/>
      <c r="N4212" s="33"/>
    </row>
    <row r="4213" spans="3:14" x14ac:dyDescent="0.3">
      <c r="C4213" s="54"/>
      <c r="N4213" s="33"/>
    </row>
    <row r="4214" spans="3:14" x14ac:dyDescent="0.3">
      <c r="C4214" s="54"/>
      <c r="N4214" s="33"/>
    </row>
    <row r="4215" spans="3:14" x14ac:dyDescent="0.3">
      <c r="C4215" s="54"/>
      <c r="N4215" s="33"/>
    </row>
    <row r="4216" spans="3:14" x14ac:dyDescent="0.3">
      <c r="C4216" s="54"/>
      <c r="N4216" s="33"/>
    </row>
    <row r="4217" spans="3:14" x14ac:dyDescent="0.3">
      <c r="C4217" s="54"/>
      <c r="N4217" s="33"/>
    </row>
    <row r="4218" spans="3:14" x14ac:dyDescent="0.3">
      <c r="C4218" s="54"/>
      <c r="N4218" s="33"/>
    </row>
    <row r="4219" spans="3:14" x14ac:dyDescent="0.3">
      <c r="C4219" s="54"/>
      <c r="N4219" s="33"/>
    </row>
    <row r="4220" spans="3:14" x14ac:dyDescent="0.3">
      <c r="C4220" s="54"/>
      <c r="N4220" s="33"/>
    </row>
    <row r="4221" spans="3:14" x14ac:dyDescent="0.3">
      <c r="C4221" s="54"/>
      <c r="N4221" s="33"/>
    </row>
    <row r="4222" spans="3:14" x14ac:dyDescent="0.3">
      <c r="C4222" s="54"/>
      <c r="N4222" s="33"/>
    </row>
    <row r="4223" spans="3:14" x14ac:dyDescent="0.3">
      <c r="C4223" s="54"/>
      <c r="N4223" s="33"/>
    </row>
    <row r="4224" spans="3:14" x14ac:dyDescent="0.3">
      <c r="C4224" s="54"/>
      <c r="N4224" s="33"/>
    </row>
    <row r="4225" spans="3:14" x14ac:dyDescent="0.3">
      <c r="C4225" s="54"/>
      <c r="N4225" s="33"/>
    </row>
    <row r="4226" spans="3:14" x14ac:dyDescent="0.3">
      <c r="C4226" s="54"/>
      <c r="N4226" s="33"/>
    </row>
    <row r="4227" spans="3:14" x14ac:dyDescent="0.3">
      <c r="C4227" s="54"/>
      <c r="N4227" s="33"/>
    </row>
    <row r="4228" spans="3:14" x14ac:dyDescent="0.3">
      <c r="C4228" s="54"/>
      <c r="N4228" s="33"/>
    </row>
    <row r="4229" spans="3:14" x14ac:dyDescent="0.3">
      <c r="C4229" s="54"/>
      <c r="N4229" s="33"/>
    </row>
    <row r="4230" spans="3:14" x14ac:dyDescent="0.3">
      <c r="C4230" s="54"/>
      <c r="N4230" s="33"/>
    </row>
    <row r="4231" spans="3:14" x14ac:dyDescent="0.3">
      <c r="C4231" s="54"/>
      <c r="N4231" s="33"/>
    </row>
    <row r="4232" spans="3:14" x14ac:dyDescent="0.3">
      <c r="C4232" s="54"/>
      <c r="N4232" s="33"/>
    </row>
    <row r="4233" spans="3:14" x14ac:dyDescent="0.3">
      <c r="C4233" s="54"/>
      <c r="N4233" s="33"/>
    </row>
    <row r="4234" spans="3:14" x14ac:dyDescent="0.3">
      <c r="C4234" s="54"/>
      <c r="N4234" s="33"/>
    </row>
    <row r="4235" spans="3:14" x14ac:dyDescent="0.3">
      <c r="C4235" s="54"/>
      <c r="N4235" s="33"/>
    </row>
    <row r="4236" spans="3:14" x14ac:dyDescent="0.3">
      <c r="C4236" s="54"/>
      <c r="N4236" s="33"/>
    </row>
    <row r="4237" spans="3:14" x14ac:dyDescent="0.3">
      <c r="C4237" s="54"/>
      <c r="N4237" s="33"/>
    </row>
    <row r="4238" spans="3:14" x14ac:dyDescent="0.3">
      <c r="C4238" s="54"/>
      <c r="N4238" s="33"/>
    </row>
    <row r="4239" spans="3:14" x14ac:dyDescent="0.3">
      <c r="C4239" s="54"/>
      <c r="N4239" s="33"/>
    </row>
    <row r="4240" spans="3:14" x14ac:dyDescent="0.3">
      <c r="C4240" s="54"/>
      <c r="N4240" s="33"/>
    </row>
    <row r="4241" spans="3:14" x14ac:dyDescent="0.3">
      <c r="C4241" s="54"/>
      <c r="N4241" s="33"/>
    </row>
    <row r="4242" spans="3:14" x14ac:dyDescent="0.3">
      <c r="C4242" s="54"/>
      <c r="N4242" s="33"/>
    </row>
    <row r="4243" spans="3:14" x14ac:dyDescent="0.3">
      <c r="C4243" s="54"/>
      <c r="N4243" s="33"/>
    </row>
    <row r="4244" spans="3:14" x14ac:dyDescent="0.3">
      <c r="C4244" s="54"/>
      <c r="N4244" s="33"/>
    </row>
    <row r="4245" spans="3:14" x14ac:dyDescent="0.3">
      <c r="C4245" s="54"/>
      <c r="N4245" s="33"/>
    </row>
    <row r="4246" spans="3:14" x14ac:dyDescent="0.3">
      <c r="C4246" s="54"/>
      <c r="N4246" s="33"/>
    </row>
    <row r="4247" spans="3:14" x14ac:dyDescent="0.3">
      <c r="C4247" s="54"/>
      <c r="N4247" s="33"/>
    </row>
    <row r="4248" spans="3:14" x14ac:dyDescent="0.3">
      <c r="C4248" s="54"/>
      <c r="N4248" s="33"/>
    </row>
    <row r="4249" spans="3:14" x14ac:dyDescent="0.3">
      <c r="C4249" s="54"/>
      <c r="N4249" s="33"/>
    </row>
    <row r="4250" spans="3:14" x14ac:dyDescent="0.3">
      <c r="C4250" s="54"/>
      <c r="N4250" s="33"/>
    </row>
    <row r="4251" spans="3:14" x14ac:dyDescent="0.3">
      <c r="C4251" s="54"/>
      <c r="N4251" s="33"/>
    </row>
    <row r="4252" spans="3:14" x14ac:dyDescent="0.3">
      <c r="C4252" s="54"/>
      <c r="N4252" s="33"/>
    </row>
    <row r="4253" spans="3:14" x14ac:dyDescent="0.3">
      <c r="C4253" s="54"/>
      <c r="N4253" s="33"/>
    </row>
    <row r="4254" spans="3:14" x14ac:dyDescent="0.3">
      <c r="C4254" s="54"/>
      <c r="N4254" s="33"/>
    </row>
    <row r="4255" spans="3:14" x14ac:dyDescent="0.3">
      <c r="C4255" s="54"/>
      <c r="N4255" s="33"/>
    </row>
    <row r="4256" spans="3:14" x14ac:dyDescent="0.3">
      <c r="C4256" s="54"/>
      <c r="N4256" s="33"/>
    </row>
    <row r="4257" spans="3:14" x14ac:dyDescent="0.3">
      <c r="C4257" s="54"/>
      <c r="N4257" s="33"/>
    </row>
    <row r="4258" spans="3:14" x14ac:dyDescent="0.3">
      <c r="C4258" s="54"/>
      <c r="N4258" s="33"/>
    </row>
    <row r="4259" spans="3:14" x14ac:dyDescent="0.3">
      <c r="C4259" s="54"/>
      <c r="N4259" s="33"/>
    </row>
    <row r="4260" spans="3:14" x14ac:dyDescent="0.3">
      <c r="C4260" s="54"/>
      <c r="N4260" s="33"/>
    </row>
    <row r="4261" spans="3:14" x14ac:dyDescent="0.3">
      <c r="C4261" s="54"/>
      <c r="N4261" s="33"/>
    </row>
    <row r="4262" spans="3:14" x14ac:dyDescent="0.3">
      <c r="C4262" s="54"/>
      <c r="N4262" s="33"/>
    </row>
    <row r="4263" spans="3:14" x14ac:dyDescent="0.3">
      <c r="C4263" s="54"/>
      <c r="N4263" s="33"/>
    </row>
    <row r="4264" spans="3:14" x14ac:dyDescent="0.3">
      <c r="C4264" s="54"/>
      <c r="N4264" s="33"/>
    </row>
    <row r="4265" spans="3:14" x14ac:dyDescent="0.3">
      <c r="C4265" s="54"/>
      <c r="N4265" s="33"/>
    </row>
    <row r="4266" spans="3:14" x14ac:dyDescent="0.3">
      <c r="C4266" s="54"/>
      <c r="N4266" s="33"/>
    </row>
    <row r="4267" spans="3:14" x14ac:dyDescent="0.3">
      <c r="C4267" s="54"/>
      <c r="N4267" s="33"/>
    </row>
    <row r="4268" spans="3:14" x14ac:dyDescent="0.3">
      <c r="C4268" s="54"/>
      <c r="N4268" s="33"/>
    </row>
    <row r="4269" spans="3:14" x14ac:dyDescent="0.3">
      <c r="C4269" s="54"/>
      <c r="N4269" s="33"/>
    </row>
    <row r="4270" spans="3:14" x14ac:dyDescent="0.3">
      <c r="C4270" s="54"/>
      <c r="N4270" s="33"/>
    </row>
    <row r="4271" spans="3:14" x14ac:dyDescent="0.3">
      <c r="C4271" s="54"/>
      <c r="N4271" s="33"/>
    </row>
    <row r="4272" spans="3:14" x14ac:dyDescent="0.3">
      <c r="C4272" s="54"/>
      <c r="N4272" s="33"/>
    </row>
    <row r="4273" spans="3:14" x14ac:dyDescent="0.3">
      <c r="C4273" s="54"/>
      <c r="N4273" s="33"/>
    </row>
    <row r="4274" spans="3:14" x14ac:dyDescent="0.3">
      <c r="C4274" s="54"/>
      <c r="N4274" s="33"/>
    </row>
    <row r="4275" spans="3:14" x14ac:dyDescent="0.3">
      <c r="C4275" s="54"/>
      <c r="N4275" s="33"/>
    </row>
    <row r="4276" spans="3:14" x14ac:dyDescent="0.3">
      <c r="C4276" s="54"/>
      <c r="N4276" s="33"/>
    </row>
    <row r="4277" spans="3:14" x14ac:dyDescent="0.3">
      <c r="C4277" s="54"/>
      <c r="N4277" s="33"/>
    </row>
    <row r="4278" spans="3:14" x14ac:dyDescent="0.3">
      <c r="C4278" s="54"/>
      <c r="N4278" s="33"/>
    </row>
    <row r="4279" spans="3:14" x14ac:dyDescent="0.3">
      <c r="C4279" s="54"/>
      <c r="N4279" s="33"/>
    </row>
    <row r="4280" spans="3:14" x14ac:dyDescent="0.3">
      <c r="C4280" s="54"/>
      <c r="N4280" s="33"/>
    </row>
    <row r="4281" spans="3:14" x14ac:dyDescent="0.3">
      <c r="C4281" s="54"/>
      <c r="N4281" s="33"/>
    </row>
    <row r="4282" spans="3:14" x14ac:dyDescent="0.3">
      <c r="C4282" s="54"/>
      <c r="N4282" s="33"/>
    </row>
    <row r="4283" spans="3:14" x14ac:dyDescent="0.3">
      <c r="C4283" s="54"/>
      <c r="N4283" s="33"/>
    </row>
    <row r="4284" spans="3:14" x14ac:dyDescent="0.3">
      <c r="C4284" s="54"/>
      <c r="N4284" s="33"/>
    </row>
    <row r="4285" spans="3:14" x14ac:dyDescent="0.3">
      <c r="C4285" s="54"/>
      <c r="N4285" s="33"/>
    </row>
    <row r="4286" spans="3:14" x14ac:dyDescent="0.3">
      <c r="C4286" s="54"/>
      <c r="N4286" s="33"/>
    </row>
    <row r="4287" spans="3:14" x14ac:dyDescent="0.3">
      <c r="C4287" s="54"/>
      <c r="N4287" s="33"/>
    </row>
    <row r="4288" spans="3:14" x14ac:dyDescent="0.3">
      <c r="C4288" s="54"/>
      <c r="N4288" s="33"/>
    </row>
    <row r="4289" spans="3:14" x14ac:dyDescent="0.3">
      <c r="C4289" s="54"/>
      <c r="N4289" s="33"/>
    </row>
    <row r="4290" spans="3:14" x14ac:dyDescent="0.3">
      <c r="C4290" s="54"/>
      <c r="N4290" s="33"/>
    </row>
    <row r="4291" spans="3:14" x14ac:dyDescent="0.3">
      <c r="C4291" s="54"/>
      <c r="N4291" s="33"/>
    </row>
    <row r="4292" spans="3:14" x14ac:dyDescent="0.3">
      <c r="C4292" s="54"/>
      <c r="N4292" s="33"/>
    </row>
    <row r="4293" spans="3:14" x14ac:dyDescent="0.3">
      <c r="C4293" s="54"/>
      <c r="N4293" s="33"/>
    </row>
    <row r="4294" spans="3:14" x14ac:dyDescent="0.3">
      <c r="C4294" s="54"/>
      <c r="N4294" s="33"/>
    </row>
    <row r="4295" spans="3:14" x14ac:dyDescent="0.3">
      <c r="C4295" s="54"/>
      <c r="N4295" s="33"/>
    </row>
    <row r="4296" spans="3:14" x14ac:dyDescent="0.3">
      <c r="C4296" s="54"/>
      <c r="N4296" s="33"/>
    </row>
    <row r="4297" spans="3:14" x14ac:dyDescent="0.3">
      <c r="C4297" s="54"/>
      <c r="N4297" s="33"/>
    </row>
    <row r="4298" spans="3:14" x14ac:dyDescent="0.3">
      <c r="C4298" s="54"/>
      <c r="N4298" s="33"/>
    </row>
    <row r="4299" spans="3:14" x14ac:dyDescent="0.3">
      <c r="C4299" s="54"/>
      <c r="N4299" s="33"/>
    </row>
    <row r="4300" spans="3:14" x14ac:dyDescent="0.3">
      <c r="C4300" s="54"/>
      <c r="N4300" s="33"/>
    </row>
    <row r="4301" spans="3:14" x14ac:dyDescent="0.3">
      <c r="C4301" s="54"/>
      <c r="N4301" s="33"/>
    </row>
    <row r="4302" spans="3:14" x14ac:dyDescent="0.3">
      <c r="C4302" s="54"/>
      <c r="N4302" s="33"/>
    </row>
    <row r="4303" spans="3:14" x14ac:dyDescent="0.3">
      <c r="C4303" s="54"/>
      <c r="N4303" s="33"/>
    </row>
    <row r="4304" spans="3:14" x14ac:dyDescent="0.3">
      <c r="C4304" s="54"/>
      <c r="N4304" s="33"/>
    </row>
    <row r="4305" spans="3:14" x14ac:dyDescent="0.3">
      <c r="C4305" s="54"/>
      <c r="N4305" s="33"/>
    </row>
    <row r="4306" spans="3:14" x14ac:dyDescent="0.3">
      <c r="C4306" s="54"/>
      <c r="N4306" s="33"/>
    </row>
    <row r="4307" spans="3:14" x14ac:dyDescent="0.3">
      <c r="C4307" s="54"/>
      <c r="N4307" s="33"/>
    </row>
    <row r="4308" spans="3:14" x14ac:dyDescent="0.3">
      <c r="C4308" s="54"/>
      <c r="N4308" s="33"/>
    </row>
    <row r="4309" spans="3:14" x14ac:dyDescent="0.3">
      <c r="C4309" s="54"/>
      <c r="N4309" s="33"/>
    </row>
    <row r="4310" spans="3:14" x14ac:dyDescent="0.3">
      <c r="C4310" s="54"/>
      <c r="N4310" s="33"/>
    </row>
    <row r="4311" spans="3:14" x14ac:dyDescent="0.3">
      <c r="C4311" s="54"/>
      <c r="N4311" s="33"/>
    </row>
    <row r="4312" spans="3:14" x14ac:dyDescent="0.3">
      <c r="C4312" s="54"/>
      <c r="N4312" s="33"/>
    </row>
    <row r="4313" spans="3:14" x14ac:dyDescent="0.3">
      <c r="C4313" s="54"/>
      <c r="N4313" s="33"/>
    </row>
    <row r="4314" spans="3:14" x14ac:dyDescent="0.3">
      <c r="C4314" s="54"/>
      <c r="N4314" s="33"/>
    </row>
    <row r="4315" spans="3:14" x14ac:dyDescent="0.3">
      <c r="C4315" s="54"/>
      <c r="N4315" s="33"/>
    </row>
    <row r="4316" spans="3:14" x14ac:dyDescent="0.3">
      <c r="C4316" s="54"/>
      <c r="N4316" s="33"/>
    </row>
    <row r="4317" spans="3:14" x14ac:dyDescent="0.3">
      <c r="C4317" s="54"/>
      <c r="N4317" s="33"/>
    </row>
    <row r="4318" spans="3:14" x14ac:dyDescent="0.3">
      <c r="C4318" s="54"/>
      <c r="N4318" s="33"/>
    </row>
    <row r="4319" spans="3:14" x14ac:dyDescent="0.3">
      <c r="C4319" s="54"/>
      <c r="N4319" s="33"/>
    </row>
    <row r="4320" spans="3:14" x14ac:dyDescent="0.3">
      <c r="C4320" s="54"/>
      <c r="N4320" s="33"/>
    </row>
    <row r="4321" spans="3:14" x14ac:dyDescent="0.3">
      <c r="C4321" s="54"/>
      <c r="N4321" s="33"/>
    </row>
    <row r="4322" spans="3:14" x14ac:dyDescent="0.3">
      <c r="C4322" s="54"/>
      <c r="N4322" s="33"/>
    </row>
    <row r="4323" spans="3:14" x14ac:dyDescent="0.3">
      <c r="C4323" s="54"/>
      <c r="N4323" s="33"/>
    </row>
    <row r="4324" spans="3:14" x14ac:dyDescent="0.3">
      <c r="C4324" s="54"/>
      <c r="N4324" s="33"/>
    </row>
    <row r="4325" spans="3:14" x14ac:dyDescent="0.3">
      <c r="C4325" s="54"/>
      <c r="N4325" s="33"/>
    </row>
    <row r="4326" spans="3:14" x14ac:dyDescent="0.3">
      <c r="C4326" s="54"/>
      <c r="N4326" s="33"/>
    </row>
    <row r="4327" spans="3:14" x14ac:dyDescent="0.3">
      <c r="C4327" s="54"/>
      <c r="N4327" s="33"/>
    </row>
    <row r="4328" spans="3:14" x14ac:dyDescent="0.3">
      <c r="C4328" s="54"/>
      <c r="N4328" s="33"/>
    </row>
    <row r="4329" spans="3:14" x14ac:dyDescent="0.3">
      <c r="C4329" s="54"/>
      <c r="N4329" s="33"/>
    </row>
    <row r="4330" spans="3:14" x14ac:dyDescent="0.3">
      <c r="C4330" s="54"/>
      <c r="N4330" s="33"/>
    </row>
    <row r="4331" spans="3:14" x14ac:dyDescent="0.3">
      <c r="C4331" s="54"/>
      <c r="N4331" s="33"/>
    </row>
    <row r="4332" spans="3:14" x14ac:dyDescent="0.3">
      <c r="C4332" s="54"/>
      <c r="N4332" s="33"/>
    </row>
    <row r="4333" spans="3:14" x14ac:dyDescent="0.3">
      <c r="C4333" s="54"/>
      <c r="N4333" s="33"/>
    </row>
    <row r="4334" spans="3:14" x14ac:dyDescent="0.3">
      <c r="C4334" s="54"/>
      <c r="N4334" s="33"/>
    </row>
    <row r="4335" spans="3:14" x14ac:dyDescent="0.3">
      <c r="C4335" s="54"/>
      <c r="N4335" s="33"/>
    </row>
    <row r="4336" spans="3:14" x14ac:dyDescent="0.3">
      <c r="C4336" s="54"/>
      <c r="N4336" s="33"/>
    </row>
    <row r="4337" spans="3:14" x14ac:dyDescent="0.3">
      <c r="C4337" s="54"/>
      <c r="N4337" s="33"/>
    </row>
    <row r="4338" spans="3:14" x14ac:dyDescent="0.3">
      <c r="C4338" s="54"/>
      <c r="N4338" s="33"/>
    </row>
    <row r="4339" spans="3:14" x14ac:dyDescent="0.3">
      <c r="C4339" s="54"/>
      <c r="N4339" s="33"/>
    </row>
    <row r="4340" spans="3:14" x14ac:dyDescent="0.3">
      <c r="C4340" s="54"/>
      <c r="N4340" s="33"/>
    </row>
    <row r="4341" spans="3:14" x14ac:dyDescent="0.3">
      <c r="C4341" s="54"/>
      <c r="N4341" s="33"/>
    </row>
    <row r="4342" spans="3:14" x14ac:dyDescent="0.3">
      <c r="C4342" s="54"/>
      <c r="N4342" s="33"/>
    </row>
    <row r="4343" spans="3:14" x14ac:dyDescent="0.3">
      <c r="C4343" s="54"/>
      <c r="N4343" s="33"/>
    </row>
    <row r="4344" spans="3:14" x14ac:dyDescent="0.3">
      <c r="C4344" s="54"/>
      <c r="N4344" s="33"/>
    </row>
    <row r="4345" spans="3:14" x14ac:dyDescent="0.3">
      <c r="C4345" s="54"/>
      <c r="N4345" s="33"/>
    </row>
    <row r="4346" spans="3:14" x14ac:dyDescent="0.3">
      <c r="C4346" s="54"/>
      <c r="N4346" s="33"/>
    </row>
    <row r="4347" spans="3:14" x14ac:dyDescent="0.3">
      <c r="C4347" s="54"/>
      <c r="N4347" s="33"/>
    </row>
    <row r="4348" spans="3:14" x14ac:dyDescent="0.3">
      <c r="C4348" s="54"/>
      <c r="N4348" s="33"/>
    </row>
    <row r="4349" spans="3:14" x14ac:dyDescent="0.3">
      <c r="C4349" s="54"/>
      <c r="N4349" s="33"/>
    </row>
    <row r="4350" spans="3:14" x14ac:dyDescent="0.3">
      <c r="C4350" s="54"/>
      <c r="N4350" s="33"/>
    </row>
    <row r="4351" spans="3:14" x14ac:dyDescent="0.3">
      <c r="C4351" s="54"/>
      <c r="N4351" s="33"/>
    </row>
    <row r="4352" spans="3:14" x14ac:dyDescent="0.3">
      <c r="C4352" s="54"/>
      <c r="N4352" s="33"/>
    </row>
    <row r="4353" spans="3:14" x14ac:dyDescent="0.3">
      <c r="C4353" s="54"/>
      <c r="N4353" s="33"/>
    </row>
    <row r="4354" spans="3:14" x14ac:dyDescent="0.3">
      <c r="C4354" s="54"/>
      <c r="N4354" s="33"/>
    </row>
    <row r="4355" spans="3:14" x14ac:dyDescent="0.3">
      <c r="C4355" s="54"/>
      <c r="N4355" s="33"/>
    </row>
    <row r="4356" spans="3:14" x14ac:dyDescent="0.3">
      <c r="C4356" s="54"/>
      <c r="N4356" s="33"/>
    </row>
    <row r="4357" spans="3:14" x14ac:dyDescent="0.3">
      <c r="C4357" s="54"/>
      <c r="N4357" s="33"/>
    </row>
    <row r="4358" spans="3:14" x14ac:dyDescent="0.3">
      <c r="C4358" s="54"/>
      <c r="N4358" s="33"/>
    </row>
    <row r="4359" spans="3:14" x14ac:dyDescent="0.3">
      <c r="C4359" s="54"/>
      <c r="N4359" s="33"/>
    </row>
    <row r="4360" spans="3:14" x14ac:dyDescent="0.3">
      <c r="C4360" s="54"/>
      <c r="N4360" s="33"/>
    </row>
    <row r="4361" spans="3:14" x14ac:dyDescent="0.3">
      <c r="C4361" s="54"/>
      <c r="N4361" s="33"/>
    </row>
    <row r="4362" spans="3:14" x14ac:dyDescent="0.3">
      <c r="C4362" s="54"/>
      <c r="N4362" s="33"/>
    </row>
    <row r="4363" spans="3:14" x14ac:dyDescent="0.3">
      <c r="C4363" s="54"/>
      <c r="N4363" s="33"/>
    </row>
    <row r="4364" spans="3:14" x14ac:dyDescent="0.3">
      <c r="C4364" s="54"/>
      <c r="N4364" s="33"/>
    </row>
    <row r="4365" spans="3:14" x14ac:dyDescent="0.3">
      <c r="C4365" s="54"/>
      <c r="N4365" s="33"/>
    </row>
    <row r="4366" spans="3:14" x14ac:dyDescent="0.3">
      <c r="C4366" s="54"/>
      <c r="N4366" s="33"/>
    </row>
    <row r="4367" spans="3:14" x14ac:dyDescent="0.3">
      <c r="C4367" s="54"/>
      <c r="N4367" s="33"/>
    </row>
    <row r="4368" spans="3:14" x14ac:dyDescent="0.3">
      <c r="C4368" s="54"/>
      <c r="N4368" s="33"/>
    </row>
    <row r="4369" spans="3:14" x14ac:dyDescent="0.3">
      <c r="C4369" s="54"/>
      <c r="N4369" s="33"/>
    </row>
    <row r="4370" spans="3:14" x14ac:dyDescent="0.3">
      <c r="C4370" s="54"/>
      <c r="N4370" s="33"/>
    </row>
    <row r="4371" spans="3:14" x14ac:dyDescent="0.3">
      <c r="C4371" s="54"/>
      <c r="N4371" s="33"/>
    </row>
    <row r="4372" spans="3:14" x14ac:dyDescent="0.3">
      <c r="C4372" s="54"/>
      <c r="N4372" s="33"/>
    </row>
    <row r="4373" spans="3:14" x14ac:dyDescent="0.3">
      <c r="C4373" s="54"/>
      <c r="N4373" s="33"/>
    </row>
    <row r="4374" spans="3:14" x14ac:dyDescent="0.3">
      <c r="C4374" s="54"/>
      <c r="N4374" s="33"/>
    </row>
    <row r="4375" spans="3:14" x14ac:dyDescent="0.3">
      <c r="C4375" s="54"/>
      <c r="N4375" s="33"/>
    </row>
    <row r="4376" spans="3:14" x14ac:dyDescent="0.3">
      <c r="C4376" s="54"/>
      <c r="N4376" s="33"/>
    </row>
    <row r="4377" spans="3:14" x14ac:dyDescent="0.3">
      <c r="C4377" s="54"/>
      <c r="N4377" s="33"/>
    </row>
    <row r="4378" spans="3:14" x14ac:dyDescent="0.3">
      <c r="C4378" s="54"/>
      <c r="N4378" s="33"/>
    </row>
    <row r="4379" spans="3:14" x14ac:dyDescent="0.3">
      <c r="C4379" s="54"/>
      <c r="N4379" s="33"/>
    </row>
    <row r="4380" spans="3:14" x14ac:dyDescent="0.3">
      <c r="C4380" s="54"/>
      <c r="N4380" s="33"/>
    </row>
    <row r="4381" spans="3:14" x14ac:dyDescent="0.3">
      <c r="C4381" s="54"/>
      <c r="N4381" s="33"/>
    </row>
    <row r="4382" spans="3:14" x14ac:dyDescent="0.3">
      <c r="C4382" s="54"/>
      <c r="N4382" s="33"/>
    </row>
    <row r="4383" spans="3:14" x14ac:dyDescent="0.3">
      <c r="C4383" s="54"/>
      <c r="N4383" s="33"/>
    </row>
    <row r="4384" spans="3:14" x14ac:dyDescent="0.3">
      <c r="C4384" s="54"/>
      <c r="N4384" s="33"/>
    </row>
    <row r="4385" spans="3:14" x14ac:dyDescent="0.3">
      <c r="C4385" s="54"/>
      <c r="N4385" s="33"/>
    </row>
    <row r="4386" spans="3:14" x14ac:dyDescent="0.3">
      <c r="C4386" s="54"/>
      <c r="N4386" s="33"/>
    </row>
    <row r="4387" spans="3:14" x14ac:dyDescent="0.3">
      <c r="C4387" s="54"/>
      <c r="N4387" s="33"/>
    </row>
    <row r="4388" spans="3:14" x14ac:dyDescent="0.3">
      <c r="C4388" s="54"/>
      <c r="N4388" s="33"/>
    </row>
    <row r="4389" spans="3:14" x14ac:dyDescent="0.3">
      <c r="C4389" s="54"/>
      <c r="N4389" s="33"/>
    </row>
    <row r="4390" spans="3:14" x14ac:dyDescent="0.3">
      <c r="C4390" s="54"/>
      <c r="N4390" s="33"/>
    </row>
    <row r="4391" spans="3:14" x14ac:dyDescent="0.3">
      <c r="C4391" s="54"/>
      <c r="N4391" s="33"/>
    </row>
    <row r="4392" spans="3:14" x14ac:dyDescent="0.3">
      <c r="C4392" s="54"/>
      <c r="N4392" s="33"/>
    </row>
    <row r="4393" spans="3:14" x14ac:dyDescent="0.3">
      <c r="C4393" s="54"/>
      <c r="N4393" s="33"/>
    </row>
    <row r="4394" spans="3:14" x14ac:dyDescent="0.3">
      <c r="C4394" s="54"/>
      <c r="N4394" s="33"/>
    </row>
    <row r="4395" spans="3:14" x14ac:dyDescent="0.3">
      <c r="C4395" s="54"/>
      <c r="N4395" s="33"/>
    </row>
    <row r="4396" spans="3:14" x14ac:dyDescent="0.3">
      <c r="C4396" s="54"/>
      <c r="N4396" s="33"/>
    </row>
    <row r="4397" spans="3:14" x14ac:dyDescent="0.3">
      <c r="C4397" s="54"/>
      <c r="N4397" s="33"/>
    </row>
    <row r="4398" spans="3:14" x14ac:dyDescent="0.3">
      <c r="C4398" s="54"/>
      <c r="N4398" s="33"/>
    </row>
    <row r="4399" spans="3:14" x14ac:dyDescent="0.3">
      <c r="C4399" s="54"/>
      <c r="N4399" s="33"/>
    </row>
    <row r="4400" spans="3:14" x14ac:dyDescent="0.3">
      <c r="C4400" s="54"/>
      <c r="N4400" s="33"/>
    </row>
    <row r="4401" spans="3:14" x14ac:dyDescent="0.3">
      <c r="C4401" s="54"/>
      <c r="N4401" s="33"/>
    </row>
    <row r="4402" spans="3:14" x14ac:dyDescent="0.3">
      <c r="C4402" s="54"/>
      <c r="N4402" s="33"/>
    </row>
    <row r="4403" spans="3:14" x14ac:dyDescent="0.3">
      <c r="C4403" s="54"/>
      <c r="N4403" s="33"/>
    </row>
    <row r="4404" spans="3:14" x14ac:dyDescent="0.3">
      <c r="C4404" s="54"/>
      <c r="N4404" s="33"/>
    </row>
    <row r="4405" spans="3:14" x14ac:dyDescent="0.3">
      <c r="C4405" s="54"/>
      <c r="N4405" s="33"/>
    </row>
    <row r="4406" spans="3:14" x14ac:dyDescent="0.3">
      <c r="C4406" s="54"/>
      <c r="N4406" s="33"/>
    </row>
    <row r="4407" spans="3:14" x14ac:dyDescent="0.3">
      <c r="C4407" s="54"/>
      <c r="N4407" s="33"/>
    </row>
    <row r="4408" spans="3:14" x14ac:dyDescent="0.3">
      <c r="C4408" s="54"/>
      <c r="N4408" s="33"/>
    </row>
    <row r="4409" spans="3:14" x14ac:dyDescent="0.3">
      <c r="C4409" s="54"/>
      <c r="N4409" s="33"/>
    </row>
    <row r="4410" spans="3:14" x14ac:dyDescent="0.3">
      <c r="C4410" s="54"/>
      <c r="N4410" s="33"/>
    </row>
    <row r="4411" spans="3:14" x14ac:dyDescent="0.3">
      <c r="C4411" s="54"/>
      <c r="N4411" s="33"/>
    </row>
    <row r="4412" spans="3:14" x14ac:dyDescent="0.3">
      <c r="C4412" s="54"/>
      <c r="N4412" s="33"/>
    </row>
    <row r="4413" spans="3:14" x14ac:dyDescent="0.3">
      <c r="C4413" s="54"/>
      <c r="N4413" s="33"/>
    </row>
    <row r="4414" spans="3:14" x14ac:dyDescent="0.3">
      <c r="C4414" s="54"/>
      <c r="N4414" s="33"/>
    </row>
    <row r="4415" spans="3:14" x14ac:dyDescent="0.3">
      <c r="C4415" s="54"/>
      <c r="N4415" s="33"/>
    </row>
    <row r="4416" spans="3:14" x14ac:dyDescent="0.3">
      <c r="C4416" s="54"/>
      <c r="N4416" s="33"/>
    </row>
    <row r="4417" spans="3:14" x14ac:dyDescent="0.3">
      <c r="C4417" s="54"/>
      <c r="N4417" s="33"/>
    </row>
    <row r="4418" spans="3:14" x14ac:dyDescent="0.3">
      <c r="C4418" s="54"/>
      <c r="N4418" s="33"/>
    </row>
    <row r="4419" spans="3:14" x14ac:dyDescent="0.3">
      <c r="C4419" s="54"/>
      <c r="N4419" s="33"/>
    </row>
    <row r="4420" spans="3:14" x14ac:dyDescent="0.3">
      <c r="C4420" s="54"/>
      <c r="N4420" s="33"/>
    </row>
    <row r="4421" spans="3:14" x14ac:dyDescent="0.3">
      <c r="C4421" s="54"/>
      <c r="N4421" s="33"/>
    </row>
    <row r="4422" spans="3:14" x14ac:dyDescent="0.3">
      <c r="C4422" s="54"/>
      <c r="N4422" s="33"/>
    </row>
    <row r="4423" spans="3:14" x14ac:dyDescent="0.3">
      <c r="C4423" s="54"/>
      <c r="N4423" s="33"/>
    </row>
    <row r="4424" spans="3:14" x14ac:dyDescent="0.3">
      <c r="C4424" s="54"/>
      <c r="N4424" s="33"/>
    </row>
    <row r="4425" spans="3:14" x14ac:dyDescent="0.3">
      <c r="C4425" s="54"/>
      <c r="N4425" s="33"/>
    </row>
    <row r="4426" spans="3:14" x14ac:dyDescent="0.3">
      <c r="C4426" s="54"/>
      <c r="N4426" s="33"/>
    </row>
    <row r="4427" spans="3:14" x14ac:dyDescent="0.3">
      <c r="C4427" s="54"/>
      <c r="N4427" s="33"/>
    </row>
    <row r="4428" spans="3:14" x14ac:dyDescent="0.3">
      <c r="C4428" s="54"/>
      <c r="N4428" s="33"/>
    </row>
    <row r="4429" spans="3:14" x14ac:dyDescent="0.3">
      <c r="C4429" s="54"/>
      <c r="N4429" s="33"/>
    </row>
    <row r="4430" spans="3:14" x14ac:dyDescent="0.3">
      <c r="C4430" s="54"/>
      <c r="N4430" s="33"/>
    </row>
    <row r="4431" spans="3:14" x14ac:dyDescent="0.3">
      <c r="C4431" s="54"/>
      <c r="N4431" s="33"/>
    </row>
    <row r="4432" spans="3:14" x14ac:dyDescent="0.3">
      <c r="C4432" s="54"/>
      <c r="N4432" s="33"/>
    </row>
    <row r="4433" spans="3:14" x14ac:dyDescent="0.3">
      <c r="C4433" s="54"/>
      <c r="N4433" s="33"/>
    </row>
    <row r="4434" spans="3:14" x14ac:dyDescent="0.3">
      <c r="C4434" s="54"/>
      <c r="N4434" s="33"/>
    </row>
    <row r="4435" spans="3:14" x14ac:dyDescent="0.3">
      <c r="C4435" s="54"/>
      <c r="N4435" s="33"/>
    </row>
    <row r="4436" spans="3:14" x14ac:dyDescent="0.3">
      <c r="C4436" s="54"/>
      <c r="N4436" s="33"/>
    </row>
    <row r="4437" spans="3:14" x14ac:dyDescent="0.3">
      <c r="C4437" s="54"/>
      <c r="N4437" s="33"/>
    </row>
    <row r="4438" spans="3:14" x14ac:dyDescent="0.3">
      <c r="C4438" s="54"/>
      <c r="N4438" s="33"/>
    </row>
    <row r="4439" spans="3:14" x14ac:dyDescent="0.3">
      <c r="C4439" s="54"/>
      <c r="N4439" s="33"/>
    </row>
    <row r="4440" spans="3:14" x14ac:dyDescent="0.3">
      <c r="C4440" s="54"/>
      <c r="N4440" s="33"/>
    </row>
    <row r="4441" spans="3:14" x14ac:dyDescent="0.3">
      <c r="C4441" s="54"/>
      <c r="N4441" s="33"/>
    </row>
    <row r="4442" spans="3:14" x14ac:dyDescent="0.3">
      <c r="C4442" s="54"/>
      <c r="N4442" s="33"/>
    </row>
    <row r="4443" spans="3:14" x14ac:dyDescent="0.3">
      <c r="C4443" s="54"/>
      <c r="N4443" s="33"/>
    </row>
    <row r="4444" spans="3:14" x14ac:dyDescent="0.3">
      <c r="C4444" s="54"/>
      <c r="N4444" s="33"/>
    </row>
    <row r="4445" spans="3:14" x14ac:dyDescent="0.3">
      <c r="C4445" s="54"/>
      <c r="N4445" s="33"/>
    </row>
    <row r="4446" spans="3:14" x14ac:dyDescent="0.3">
      <c r="C4446" s="54"/>
      <c r="N4446" s="33"/>
    </row>
    <row r="4447" spans="3:14" x14ac:dyDescent="0.3">
      <c r="C4447" s="54"/>
      <c r="N4447" s="33"/>
    </row>
    <row r="4448" spans="3:14" x14ac:dyDescent="0.3">
      <c r="C4448" s="54"/>
      <c r="N4448" s="33"/>
    </row>
    <row r="4449" spans="3:14" x14ac:dyDescent="0.3">
      <c r="C4449" s="54"/>
      <c r="N4449" s="33"/>
    </row>
    <row r="4450" spans="3:14" x14ac:dyDescent="0.3">
      <c r="C4450" s="54"/>
      <c r="N4450" s="33"/>
    </row>
    <row r="4451" spans="3:14" x14ac:dyDescent="0.3">
      <c r="C4451" s="54"/>
      <c r="N4451" s="33"/>
    </row>
    <row r="4452" spans="3:14" x14ac:dyDescent="0.3">
      <c r="C4452" s="54"/>
      <c r="N4452" s="33"/>
    </row>
    <row r="4453" spans="3:14" x14ac:dyDescent="0.3">
      <c r="C4453" s="54"/>
      <c r="N4453" s="33"/>
    </row>
    <row r="4454" spans="3:14" x14ac:dyDescent="0.3">
      <c r="C4454" s="54"/>
      <c r="N4454" s="33"/>
    </row>
    <row r="4455" spans="3:14" x14ac:dyDescent="0.3">
      <c r="C4455" s="54"/>
      <c r="N4455" s="33"/>
    </row>
    <row r="4456" spans="3:14" x14ac:dyDescent="0.3">
      <c r="C4456" s="54"/>
      <c r="N4456" s="33"/>
    </row>
    <row r="4457" spans="3:14" x14ac:dyDescent="0.3">
      <c r="C4457" s="54"/>
      <c r="N4457" s="33"/>
    </row>
    <row r="4458" spans="3:14" x14ac:dyDescent="0.3">
      <c r="C4458" s="54"/>
      <c r="N4458" s="33"/>
    </row>
    <row r="4459" spans="3:14" x14ac:dyDescent="0.3">
      <c r="C4459" s="54"/>
      <c r="N4459" s="33"/>
    </row>
    <row r="4460" spans="3:14" x14ac:dyDescent="0.3">
      <c r="C4460" s="54"/>
      <c r="N4460" s="33"/>
    </row>
    <row r="4461" spans="3:14" x14ac:dyDescent="0.3">
      <c r="C4461" s="54"/>
      <c r="N4461" s="33"/>
    </row>
    <row r="4462" spans="3:14" x14ac:dyDescent="0.3">
      <c r="C4462" s="54"/>
      <c r="N4462" s="33"/>
    </row>
    <row r="4463" spans="3:14" x14ac:dyDescent="0.3">
      <c r="C4463" s="54"/>
      <c r="N4463" s="33"/>
    </row>
    <row r="4464" spans="3:14" x14ac:dyDescent="0.3">
      <c r="C4464" s="54"/>
      <c r="N4464" s="33"/>
    </row>
    <row r="4465" spans="3:14" x14ac:dyDescent="0.3">
      <c r="C4465" s="54"/>
      <c r="N4465" s="33"/>
    </row>
    <row r="4466" spans="3:14" x14ac:dyDescent="0.3">
      <c r="C4466" s="54"/>
      <c r="N4466" s="33"/>
    </row>
    <row r="4467" spans="3:14" x14ac:dyDescent="0.3">
      <c r="C4467" s="54"/>
      <c r="N4467" s="33"/>
    </row>
    <row r="4468" spans="3:14" x14ac:dyDescent="0.3">
      <c r="C4468" s="54"/>
      <c r="N4468" s="33"/>
    </row>
    <row r="4469" spans="3:14" x14ac:dyDescent="0.3">
      <c r="C4469" s="54"/>
      <c r="N4469" s="33"/>
    </row>
    <row r="4470" spans="3:14" x14ac:dyDescent="0.3">
      <c r="C4470" s="54"/>
      <c r="N4470" s="33"/>
    </row>
    <row r="4471" spans="3:14" x14ac:dyDescent="0.3">
      <c r="C4471" s="54"/>
      <c r="N4471" s="33"/>
    </row>
    <row r="4472" spans="3:14" x14ac:dyDescent="0.3">
      <c r="C4472" s="54"/>
      <c r="N4472" s="33"/>
    </row>
    <row r="4473" spans="3:14" x14ac:dyDescent="0.3">
      <c r="C4473" s="54"/>
      <c r="N4473" s="33"/>
    </row>
    <row r="4474" spans="3:14" x14ac:dyDescent="0.3">
      <c r="C4474" s="54"/>
      <c r="N4474" s="33"/>
    </row>
    <row r="4475" spans="3:14" x14ac:dyDescent="0.3">
      <c r="C4475" s="54"/>
      <c r="N4475" s="33"/>
    </row>
    <row r="4476" spans="3:14" x14ac:dyDescent="0.3">
      <c r="C4476" s="54"/>
      <c r="N4476" s="33"/>
    </row>
    <row r="4477" spans="3:14" x14ac:dyDescent="0.3">
      <c r="C4477" s="54"/>
      <c r="N4477" s="33"/>
    </row>
    <row r="4478" spans="3:14" x14ac:dyDescent="0.3">
      <c r="C4478" s="54"/>
      <c r="N4478" s="33"/>
    </row>
    <row r="4479" spans="3:14" x14ac:dyDescent="0.3">
      <c r="C4479" s="54"/>
      <c r="N4479" s="33"/>
    </row>
    <row r="4480" spans="3:14" x14ac:dyDescent="0.3">
      <c r="C4480" s="54"/>
      <c r="N4480" s="33"/>
    </row>
    <row r="4481" spans="3:14" x14ac:dyDescent="0.3">
      <c r="C4481" s="54"/>
      <c r="N4481" s="33"/>
    </row>
    <row r="4482" spans="3:14" x14ac:dyDescent="0.3">
      <c r="C4482" s="54"/>
      <c r="N4482" s="33"/>
    </row>
    <row r="4483" spans="3:14" x14ac:dyDescent="0.3">
      <c r="C4483" s="54"/>
      <c r="N4483" s="33"/>
    </row>
    <row r="4484" spans="3:14" x14ac:dyDescent="0.3">
      <c r="C4484" s="54"/>
      <c r="N4484" s="33"/>
    </row>
    <row r="4485" spans="3:14" x14ac:dyDescent="0.3">
      <c r="C4485" s="54"/>
      <c r="N4485" s="33"/>
    </row>
    <row r="4486" spans="3:14" x14ac:dyDescent="0.3">
      <c r="C4486" s="54"/>
      <c r="N4486" s="33"/>
    </row>
    <row r="4487" spans="3:14" x14ac:dyDescent="0.3">
      <c r="C4487" s="54"/>
      <c r="N4487" s="33"/>
    </row>
    <row r="4488" spans="3:14" x14ac:dyDescent="0.3">
      <c r="C4488" s="54"/>
      <c r="N4488" s="33"/>
    </row>
    <row r="4489" spans="3:14" x14ac:dyDescent="0.3">
      <c r="C4489" s="54"/>
      <c r="N4489" s="33"/>
    </row>
    <row r="4490" spans="3:14" x14ac:dyDescent="0.3">
      <c r="C4490" s="54"/>
      <c r="N4490" s="33"/>
    </row>
    <row r="4491" spans="3:14" x14ac:dyDescent="0.3">
      <c r="C4491" s="54"/>
      <c r="N4491" s="33"/>
    </row>
    <row r="4492" spans="3:14" x14ac:dyDescent="0.3">
      <c r="C4492" s="54"/>
      <c r="N4492" s="33"/>
    </row>
    <row r="4493" spans="3:14" x14ac:dyDescent="0.3">
      <c r="C4493" s="54"/>
      <c r="N4493" s="33"/>
    </row>
    <row r="4494" spans="3:14" x14ac:dyDescent="0.3">
      <c r="C4494" s="54"/>
      <c r="N4494" s="33"/>
    </row>
    <row r="4495" spans="3:14" x14ac:dyDescent="0.3">
      <c r="C4495" s="54"/>
      <c r="N4495" s="33"/>
    </row>
    <row r="4496" spans="3:14" x14ac:dyDescent="0.3">
      <c r="C4496" s="54"/>
      <c r="N4496" s="33"/>
    </row>
    <row r="4497" spans="3:14" x14ac:dyDescent="0.3">
      <c r="C4497" s="54"/>
      <c r="N4497" s="33"/>
    </row>
    <row r="4498" spans="3:14" x14ac:dyDescent="0.3">
      <c r="C4498" s="54"/>
      <c r="N4498" s="33"/>
    </row>
    <row r="4499" spans="3:14" x14ac:dyDescent="0.3">
      <c r="C4499" s="54"/>
      <c r="N4499" s="33"/>
    </row>
    <row r="4500" spans="3:14" x14ac:dyDescent="0.3">
      <c r="C4500" s="54"/>
      <c r="N4500" s="33"/>
    </row>
    <row r="4501" spans="3:14" x14ac:dyDescent="0.3">
      <c r="C4501" s="54"/>
      <c r="N4501" s="33"/>
    </row>
    <row r="4502" spans="3:14" x14ac:dyDescent="0.3">
      <c r="C4502" s="54"/>
      <c r="N4502" s="33"/>
    </row>
    <row r="4503" spans="3:14" x14ac:dyDescent="0.3">
      <c r="C4503" s="54"/>
      <c r="N4503" s="33"/>
    </row>
    <row r="4504" spans="3:14" x14ac:dyDescent="0.3">
      <c r="C4504" s="54"/>
      <c r="N4504" s="33"/>
    </row>
    <row r="4505" spans="3:14" x14ac:dyDescent="0.3">
      <c r="C4505" s="54"/>
      <c r="N4505" s="33"/>
    </row>
    <row r="4506" spans="3:14" x14ac:dyDescent="0.3">
      <c r="C4506" s="54"/>
      <c r="N4506" s="33"/>
    </row>
    <row r="4507" spans="3:14" x14ac:dyDescent="0.3">
      <c r="C4507" s="54"/>
      <c r="N4507" s="33"/>
    </row>
    <row r="4508" spans="3:14" x14ac:dyDescent="0.3">
      <c r="C4508" s="54"/>
      <c r="N4508" s="33"/>
    </row>
    <row r="4509" spans="3:14" x14ac:dyDescent="0.3">
      <c r="C4509" s="54"/>
      <c r="N4509" s="33"/>
    </row>
    <row r="4510" spans="3:14" x14ac:dyDescent="0.3">
      <c r="C4510" s="54"/>
      <c r="N4510" s="33"/>
    </row>
    <row r="4511" spans="3:14" x14ac:dyDescent="0.3">
      <c r="C4511" s="54"/>
      <c r="N4511" s="33"/>
    </row>
    <row r="4512" spans="3:14" x14ac:dyDescent="0.3">
      <c r="C4512" s="54"/>
      <c r="N4512" s="33"/>
    </row>
    <row r="4513" spans="3:14" x14ac:dyDescent="0.3">
      <c r="C4513" s="54"/>
      <c r="N4513" s="33"/>
    </row>
    <row r="4514" spans="3:14" x14ac:dyDescent="0.3">
      <c r="C4514" s="54"/>
      <c r="N4514" s="33"/>
    </row>
    <row r="4515" spans="3:14" x14ac:dyDescent="0.3">
      <c r="C4515" s="54"/>
      <c r="N4515" s="33"/>
    </row>
    <row r="4516" spans="3:14" x14ac:dyDescent="0.3">
      <c r="C4516" s="54"/>
      <c r="N4516" s="33"/>
    </row>
    <row r="4517" spans="3:14" x14ac:dyDescent="0.3">
      <c r="C4517" s="54"/>
      <c r="N4517" s="33"/>
    </row>
    <row r="4518" spans="3:14" x14ac:dyDescent="0.3">
      <c r="C4518" s="54"/>
      <c r="N4518" s="33"/>
    </row>
    <row r="4519" spans="3:14" x14ac:dyDescent="0.3">
      <c r="C4519" s="54"/>
      <c r="N4519" s="33"/>
    </row>
    <row r="4520" spans="3:14" x14ac:dyDescent="0.3">
      <c r="C4520" s="54"/>
      <c r="N4520" s="33"/>
    </row>
    <row r="4521" spans="3:14" x14ac:dyDescent="0.3">
      <c r="C4521" s="54"/>
      <c r="N4521" s="33"/>
    </row>
    <row r="4522" spans="3:14" x14ac:dyDescent="0.3">
      <c r="C4522" s="54"/>
      <c r="N4522" s="33"/>
    </row>
    <row r="4523" spans="3:14" x14ac:dyDescent="0.3">
      <c r="C4523" s="54"/>
      <c r="N4523" s="33"/>
    </row>
    <row r="4524" spans="3:14" x14ac:dyDescent="0.3">
      <c r="C4524" s="54"/>
      <c r="N4524" s="33"/>
    </row>
    <row r="4525" spans="3:14" x14ac:dyDescent="0.3">
      <c r="C4525" s="54"/>
      <c r="N4525" s="33"/>
    </row>
    <row r="4526" spans="3:14" x14ac:dyDescent="0.3">
      <c r="C4526" s="54"/>
      <c r="N4526" s="33"/>
    </row>
    <row r="4527" spans="3:14" x14ac:dyDescent="0.3">
      <c r="C4527" s="54"/>
      <c r="N4527" s="33"/>
    </row>
    <row r="4528" spans="3:14" x14ac:dyDescent="0.3">
      <c r="C4528" s="54"/>
      <c r="N4528" s="33"/>
    </row>
    <row r="4529" spans="3:14" x14ac:dyDescent="0.3">
      <c r="C4529" s="54"/>
      <c r="N4529" s="33"/>
    </row>
    <row r="4530" spans="3:14" x14ac:dyDescent="0.3">
      <c r="C4530" s="54"/>
      <c r="N4530" s="33"/>
    </row>
    <row r="4531" spans="3:14" x14ac:dyDescent="0.3">
      <c r="C4531" s="54"/>
      <c r="N4531" s="33"/>
    </row>
    <row r="4532" spans="3:14" x14ac:dyDescent="0.3">
      <c r="C4532" s="54"/>
      <c r="N4532" s="33"/>
    </row>
    <row r="4533" spans="3:14" x14ac:dyDescent="0.3">
      <c r="C4533" s="54"/>
      <c r="N4533" s="33"/>
    </row>
    <row r="4534" spans="3:14" x14ac:dyDescent="0.3">
      <c r="C4534" s="54"/>
      <c r="N4534" s="33"/>
    </row>
    <row r="4535" spans="3:14" x14ac:dyDescent="0.3">
      <c r="C4535" s="54"/>
      <c r="N4535" s="33"/>
    </row>
    <row r="4536" spans="3:14" x14ac:dyDescent="0.3">
      <c r="C4536" s="54"/>
      <c r="N4536" s="33"/>
    </row>
    <row r="4537" spans="3:14" x14ac:dyDescent="0.3">
      <c r="C4537" s="54"/>
      <c r="N4537" s="33"/>
    </row>
    <row r="4538" spans="3:14" x14ac:dyDescent="0.3">
      <c r="C4538" s="54"/>
      <c r="N4538" s="33"/>
    </row>
    <row r="4539" spans="3:14" x14ac:dyDescent="0.3">
      <c r="C4539" s="54"/>
      <c r="N4539" s="33"/>
    </row>
    <row r="4540" spans="3:14" x14ac:dyDescent="0.3">
      <c r="C4540" s="54"/>
      <c r="N4540" s="33"/>
    </row>
    <row r="4541" spans="3:14" x14ac:dyDescent="0.3">
      <c r="C4541" s="54"/>
      <c r="N4541" s="33"/>
    </row>
    <row r="4542" spans="3:14" x14ac:dyDescent="0.3">
      <c r="C4542" s="54"/>
      <c r="N4542" s="33"/>
    </row>
    <row r="4543" spans="3:14" x14ac:dyDescent="0.3">
      <c r="C4543" s="54"/>
      <c r="N4543" s="33"/>
    </row>
    <row r="4544" spans="3:14" x14ac:dyDescent="0.3">
      <c r="C4544" s="54"/>
      <c r="N4544" s="33"/>
    </row>
    <row r="4545" spans="3:14" x14ac:dyDescent="0.3">
      <c r="C4545" s="54"/>
      <c r="N4545" s="33"/>
    </row>
    <row r="4546" spans="3:14" x14ac:dyDescent="0.3">
      <c r="C4546" s="54"/>
      <c r="N4546" s="33"/>
    </row>
    <row r="4547" spans="3:14" x14ac:dyDescent="0.3">
      <c r="C4547" s="54"/>
      <c r="N4547" s="33"/>
    </row>
    <row r="4548" spans="3:14" x14ac:dyDescent="0.3">
      <c r="C4548" s="54"/>
      <c r="N4548" s="33"/>
    </row>
    <row r="4549" spans="3:14" x14ac:dyDescent="0.3">
      <c r="C4549" s="54"/>
      <c r="N4549" s="33"/>
    </row>
    <row r="4550" spans="3:14" x14ac:dyDescent="0.3">
      <c r="C4550" s="54"/>
      <c r="N4550" s="33"/>
    </row>
    <row r="4551" spans="3:14" x14ac:dyDescent="0.3">
      <c r="C4551" s="54"/>
      <c r="N4551" s="33"/>
    </row>
    <row r="4552" spans="3:14" x14ac:dyDescent="0.3">
      <c r="C4552" s="54"/>
      <c r="N4552" s="33"/>
    </row>
    <row r="4553" spans="3:14" x14ac:dyDescent="0.3">
      <c r="C4553" s="54"/>
      <c r="N4553" s="33"/>
    </row>
    <row r="4554" spans="3:14" x14ac:dyDescent="0.3">
      <c r="C4554" s="54"/>
      <c r="N4554" s="33"/>
    </row>
    <row r="4555" spans="3:14" x14ac:dyDescent="0.3">
      <c r="C4555" s="54"/>
      <c r="N4555" s="33"/>
    </row>
    <row r="4556" spans="3:14" x14ac:dyDescent="0.3">
      <c r="C4556" s="54"/>
      <c r="N4556" s="33"/>
    </row>
    <row r="4557" spans="3:14" x14ac:dyDescent="0.3">
      <c r="C4557" s="54"/>
      <c r="N4557" s="33"/>
    </row>
    <row r="4558" spans="3:14" x14ac:dyDescent="0.3">
      <c r="C4558" s="54"/>
      <c r="N4558" s="33"/>
    </row>
    <row r="4559" spans="3:14" x14ac:dyDescent="0.3">
      <c r="C4559" s="54"/>
      <c r="N4559" s="33"/>
    </row>
    <row r="4560" spans="3:14" x14ac:dyDescent="0.3">
      <c r="C4560" s="54"/>
      <c r="N4560" s="33"/>
    </row>
    <row r="4561" spans="3:14" x14ac:dyDescent="0.3">
      <c r="C4561" s="54"/>
      <c r="N4561" s="33"/>
    </row>
    <row r="4562" spans="3:14" x14ac:dyDescent="0.3">
      <c r="C4562" s="54"/>
      <c r="N4562" s="33"/>
    </row>
    <row r="4563" spans="3:14" x14ac:dyDescent="0.3">
      <c r="C4563" s="54"/>
      <c r="N4563" s="33"/>
    </row>
    <row r="4564" spans="3:14" x14ac:dyDescent="0.3">
      <c r="C4564" s="54"/>
      <c r="N4564" s="33"/>
    </row>
    <row r="4565" spans="3:14" x14ac:dyDescent="0.3">
      <c r="C4565" s="54"/>
      <c r="N4565" s="33"/>
    </row>
    <row r="4566" spans="3:14" x14ac:dyDescent="0.3">
      <c r="C4566" s="54"/>
      <c r="N4566" s="33"/>
    </row>
    <row r="4567" spans="3:14" x14ac:dyDescent="0.3">
      <c r="C4567" s="54"/>
      <c r="N4567" s="33"/>
    </row>
    <row r="4568" spans="3:14" x14ac:dyDescent="0.3">
      <c r="C4568" s="54"/>
      <c r="N4568" s="33"/>
    </row>
    <row r="4569" spans="3:14" x14ac:dyDescent="0.3">
      <c r="C4569" s="54"/>
      <c r="N4569" s="33"/>
    </row>
    <row r="4570" spans="3:14" x14ac:dyDescent="0.3">
      <c r="C4570" s="54"/>
      <c r="N4570" s="33"/>
    </row>
    <row r="4571" spans="3:14" x14ac:dyDescent="0.3">
      <c r="C4571" s="54"/>
      <c r="N4571" s="33"/>
    </row>
    <row r="4572" spans="3:14" x14ac:dyDescent="0.3">
      <c r="C4572" s="54"/>
      <c r="N4572" s="33"/>
    </row>
    <row r="4573" spans="3:14" x14ac:dyDescent="0.3">
      <c r="C4573" s="54"/>
      <c r="N4573" s="33"/>
    </row>
    <row r="4574" spans="3:14" x14ac:dyDescent="0.3">
      <c r="C4574" s="54"/>
      <c r="N4574" s="33"/>
    </row>
    <row r="4575" spans="3:14" x14ac:dyDescent="0.3">
      <c r="C4575" s="54"/>
      <c r="N4575" s="33"/>
    </row>
    <row r="4576" spans="3:14" x14ac:dyDescent="0.3">
      <c r="C4576" s="54"/>
      <c r="N4576" s="33"/>
    </row>
    <row r="4577" spans="3:14" x14ac:dyDescent="0.3">
      <c r="C4577" s="54"/>
      <c r="N4577" s="33"/>
    </row>
    <row r="4578" spans="3:14" x14ac:dyDescent="0.3">
      <c r="C4578" s="54"/>
      <c r="N4578" s="33"/>
    </row>
    <row r="4579" spans="3:14" x14ac:dyDescent="0.3">
      <c r="C4579" s="54"/>
      <c r="N4579" s="33"/>
    </row>
    <row r="4580" spans="3:14" x14ac:dyDescent="0.3">
      <c r="C4580" s="54"/>
      <c r="N4580" s="33"/>
    </row>
    <row r="4581" spans="3:14" x14ac:dyDescent="0.3">
      <c r="C4581" s="54"/>
      <c r="N4581" s="33"/>
    </row>
    <row r="4582" spans="3:14" x14ac:dyDescent="0.3">
      <c r="C4582" s="54"/>
      <c r="N4582" s="33"/>
    </row>
    <row r="4583" spans="3:14" x14ac:dyDescent="0.3">
      <c r="C4583" s="54"/>
      <c r="N4583" s="33"/>
    </row>
    <row r="4584" spans="3:14" x14ac:dyDescent="0.3">
      <c r="C4584" s="54"/>
      <c r="N4584" s="33"/>
    </row>
    <row r="4585" spans="3:14" x14ac:dyDescent="0.3">
      <c r="C4585" s="54"/>
      <c r="N4585" s="33"/>
    </row>
    <row r="4586" spans="3:14" x14ac:dyDescent="0.3">
      <c r="C4586" s="54"/>
      <c r="N4586" s="33"/>
    </row>
    <row r="4587" spans="3:14" x14ac:dyDescent="0.3">
      <c r="C4587" s="54"/>
      <c r="N4587" s="33"/>
    </row>
    <row r="4588" spans="3:14" x14ac:dyDescent="0.3">
      <c r="C4588" s="54"/>
      <c r="N4588" s="33"/>
    </row>
    <row r="4589" spans="3:14" x14ac:dyDescent="0.3">
      <c r="C4589" s="54"/>
      <c r="N4589" s="33"/>
    </row>
    <row r="4590" spans="3:14" x14ac:dyDescent="0.3">
      <c r="C4590" s="54"/>
      <c r="N4590" s="33"/>
    </row>
    <row r="4591" spans="3:14" x14ac:dyDescent="0.3">
      <c r="C4591" s="54"/>
      <c r="N4591" s="33"/>
    </row>
    <row r="4592" spans="3:14" x14ac:dyDescent="0.3">
      <c r="C4592" s="54"/>
      <c r="N4592" s="33"/>
    </row>
    <row r="4593" spans="3:14" x14ac:dyDescent="0.3">
      <c r="C4593" s="54"/>
      <c r="N4593" s="33"/>
    </row>
    <row r="4594" spans="3:14" x14ac:dyDescent="0.3">
      <c r="C4594" s="54"/>
      <c r="N4594" s="33"/>
    </row>
    <row r="4595" spans="3:14" x14ac:dyDescent="0.3">
      <c r="C4595" s="54"/>
      <c r="N4595" s="33"/>
    </row>
    <row r="4596" spans="3:14" x14ac:dyDescent="0.3">
      <c r="C4596" s="54"/>
      <c r="N4596" s="33"/>
    </row>
    <row r="4597" spans="3:14" x14ac:dyDescent="0.3">
      <c r="C4597" s="54"/>
      <c r="N4597" s="33"/>
    </row>
    <row r="4598" spans="3:14" x14ac:dyDescent="0.3">
      <c r="C4598" s="54"/>
      <c r="N4598" s="33"/>
    </row>
    <row r="4599" spans="3:14" x14ac:dyDescent="0.3">
      <c r="C4599" s="54"/>
      <c r="N4599" s="33"/>
    </row>
    <row r="4600" spans="3:14" x14ac:dyDescent="0.3">
      <c r="C4600" s="54"/>
      <c r="N4600" s="33"/>
    </row>
    <row r="4601" spans="3:14" x14ac:dyDescent="0.3">
      <c r="C4601" s="54"/>
      <c r="N4601" s="33"/>
    </row>
    <row r="4602" spans="3:14" x14ac:dyDescent="0.3">
      <c r="C4602" s="54"/>
      <c r="N4602" s="33"/>
    </row>
    <row r="4603" spans="3:14" x14ac:dyDescent="0.3">
      <c r="C4603" s="54"/>
      <c r="N4603" s="33"/>
    </row>
    <row r="4604" spans="3:14" x14ac:dyDescent="0.3">
      <c r="C4604" s="54"/>
      <c r="N4604" s="33"/>
    </row>
    <row r="4605" spans="3:14" x14ac:dyDescent="0.3">
      <c r="C4605" s="54"/>
      <c r="N4605" s="33"/>
    </row>
    <row r="4606" spans="3:14" x14ac:dyDescent="0.3">
      <c r="C4606" s="54"/>
      <c r="N4606" s="33"/>
    </row>
    <row r="4607" spans="3:14" x14ac:dyDescent="0.3">
      <c r="C4607" s="54"/>
      <c r="N4607" s="33"/>
    </row>
    <row r="4608" spans="3:14" x14ac:dyDescent="0.3">
      <c r="C4608" s="54"/>
      <c r="N4608" s="33"/>
    </row>
    <row r="4609" spans="3:14" x14ac:dyDescent="0.3">
      <c r="C4609" s="54"/>
      <c r="N4609" s="33"/>
    </row>
    <row r="4610" spans="3:14" x14ac:dyDescent="0.3">
      <c r="C4610" s="54"/>
      <c r="N4610" s="33"/>
    </row>
    <row r="4611" spans="3:14" x14ac:dyDescent="0.3">
      <c r="C4611" s="54"/>
      <c r="N4611" s="33"/>
    </row>
    <row r="4612" spans="3:14" x14ac:dyDescent="0.3">
      <c r="C4612" s="54"/>
      <c r="N4612" s="33"/>
    </row>
    <row r="4613" spans="3:14" x14ac:dyDescent="0.3">
      <c r="C4613" s="54"/>
      <c r="N4613" s="33"/>
    </row>
    <row r="4614" spans="3:14" x14ac:dyDescent="0.3">
      <c r="C4614" s="54"/>
      <c r="N4614" s="33"/>
    </row>
    <row r="4615" spans="3:14" x14ac:dyDescent="0.3">
      <c r="C4615" s="54"/>
      <c r="N4615" s="33"/>
    </row>
    <row r="4616" spans="3:14" x14ac:dyDescent="0.3">
      <c r="C4616" s="54"/>
      <c r="N4616" s="33"/>
    </row>
    <row r="4617" spans="3:14" x14ac:dyDescent="0.3">
      <c r="C4617" s="54"/>
      <c r="N4617" s="33"/>
    </row>
    <row r="4618" spans="3:14" x14ac:dyDescent="0.3">
      <c r="C4618" s="54"/>
      <c r="N4618" s="33"/>
    </row>
    <row r="4619" spans="3:14" x14ac:dyDescent="0.3">
      <c r="C4619" s="54"/>
      <c r="N4619" s="33"/>
    </row>
    <row r="4620" spans="3:14" x14ac:dyDescent="0.3">
      <c r="C4620" s="54"/>
      <c r="N4620" s="33"/>
    </row>
    <row r="4621" spans="3:14" x14ac:dyDescent="0.3">
      <c r="C4621" s="54"/>
      <c r="N4621" s="33"/>
    </row>
    <row r="4622" spans="3:14" x14ac:dyDescent="0.3">
      <c r="C4622" s="54"/>
      <c r="N4622" s="33"/>
    </row>
    <row r="4623" spans="3:14" x14ac:dyDescent="0.3">
      <c r="C4623" s="54"/>
      <c r="N4623" s="33"/>
    </row>
    <row r="4624" spans="3:14" x14ac:dyDescent="0.3">
      <c r="C4624" s="54"/>
      <c r="N4624" s="33"/>
    </row>
    <row r="4625" spans="3:14" x14ac:dyDescent="0.3">
      <c r="C4625" s="54"/>
      <c r="N4625" s="33"/>
    </row>
    <row r="4626" spans="3:14" x14ac:dyDescent="0.3">
      <c r="C4626" s="54"/>
      <c r="N4626" s="33"/>
    </row>
    <row r="4627" spans="3:14" x14ac:dyDescent="0.3">
      <c r="C4627" s="54"/>
      <c r="N4627" s="33"/>
    </row>
    <row r="4628" spans="3:14" x14ac:dyDescent="0.3">
      <c r="C4628" s="54"/>
      <c r="N4628" s="33"/>
    </row>
    <row r="4629" spans="3:14" x14ac:dyDescent="0.3">
      <c r="C4629" s="54"/>
      <c r="N4629" s="33"/>
    </row>
    <row r="4630" spans="3:14" x14ac:dyDescent="0.3">
      <c r="C4630" s="54"/>
      <c r="N4630" s="33"/>
    </row>
    <row r="4631" spans="3:14" x14ac:dyDescent="0.3">
      <c r="C4631" s="54"/>
      <c r="N4631" s="33"/>
    </row>
    <row r="4632" spans="3:14" x14ac:dyDescent="0.3">
      <c r="C4632" s="54"/>
      <c r="N4632" s="33"/>
    </row>
    <row r="4633" spans="3:14" x14ac:dyDescent="0.3">
      <c r="C4633" s="54"/>
      <c r="N4633" s="33"/>
    </row>
    <row r="4634" spans="3:14" x14ac:dyDescent="0.3">
      <c r="C4634" s="54"/>
      <c r="N4634" s="33"/>
    </row>
    <row r="4635" spans="3:14" x14ac:dyDescent="0.3">
      <c r="C4635" s="54"/>
      <c r="N4635" s="33"/>
    </row>
    <row r="4636" spans="3:14" x14ac:dyDescent="0.3">
      <c r="C4636" s="54"/>
      <c r="N4636" s="33"/>
    </row>
    <row r="4637" spans="3:14" x14ac:dyDescent="0.3">
      <c r="C4637" s="54"/>
      <c r="N4637" s="33"/>
    </row>
    <row r="4638" spans="3:14" x14ac:dyDescent="0.3">
      <c r="C4638" s="54"/>
      <c r="N4638" s="33"/>
    </row>
    <row r="4639" spans="3:14" x14ac:dyDescent="0.3">
      <c r="C4639" s="54"/>
      <c r="N4639" s="33"/>
    </row>
    <row r="4640" spans="3:14" x14ac:dyDescent="0.3">
      <c r="C4640" s="54"/>
      <c r="N4640" s="33"/>
    </row>
    <row r="4641" spans="3:14" x14ac:dyDescent="0.3">
      <c r="C4641" s="54"/>
      <c r="N4641" s="33"/>
    </row>
    <row r="4642" spans="3:14" x14ac:dyDescent="0.3">
      <c r="C4642" s="54"/>
      <c r="N4642" s="33"/>
    </row>
    <row r="4643" spans="3:14" x14ac:dyDescent="0.3">
      <c r="C4643" s="54"/>
      <c r="N4643" s="33"/>
    </row>
    <row r="4644" spans="3:14" x14ac:dyDescent="0.3">
      <c r="C4644" s="54"/>
      <c r="N4644" s="33"/>
    </row>
    <row r="4645" spans="3:14" x14ac:dyDescent="0.3">
      <c r="C4645" s="54"/>
      <c r="N4645" s="33"/>
    </row>
    <row r="4646" spans="3:14" x14ac:dyDescent="0.3">
      <c r="C4646" s="54"/>
      <c r="N4646" s="33"/>
    </row>
    <row r="4647" spans="3:14" x14ac:dyDescent="0.3">
      <c r="C4647" s="54"/>
      <c r="N4647" s="33"/>
    </row>
    <row r="4648" spans="3:14" x14ac:dyDescent="0.3">
      <c r="C4648" s="54"/>
      <c r="N4648" s="33"/>
    </row>
    <row r="4649" spans="3:14" x14ac:dyDescent="0.3">
      <c r="C4649" s="54"/>
      <c r="N4649" s="33"/>
    </row>
    <row r="4650" spans="3:14" x14ac:dyDescent="0.3">
      <c r="C4650" s="54"/>
      <c r="N4650" s="33"/>
    </row>
    <row r="4651" spans="3:14" x14ac:dyDescent="0.3">
      <c r="C4651" s="54"/>
      <c r="N4651" s="33"/>
    </row>
    <row r="4652" spans="3:14" x14ac:dyDescent="0.3">
      <c r="C4652" s="54"/>
      <c r="N4652" s="33"/>
    </row>
    <row r="4653" spans="3:14" x14ac:dyDescent="0.3">
      <c r="C4653" s="54"/>
      <c r="N4653" s="33"/>
    </row>
    <row r="4654" spans="3:14" x14ac:dyDescent="0.3">
      <c r="C4654" s="54"/>
      <c r="N4654" s="33"/>
    </row>
    <row r="4655" spans="3:14" x14ac:dyDescent="0.3">
      <c r="C4655" s="54"/>
      <c r="N4655" s="33"/>
    </row>
    <row r="4656" spans="3:14" x14ac:dyDescent="0.3">
      <c r="C4656" s="54"/>
      <c r="N4656" s="33"/>
    </row>
    <row r="4657" spans="3:14" x14ac:dyDescent="0.3">
      <c r="C4657" s="54"/>
      <c r="N4657" s="33"/>
    </row>
    <row r="4658" spans="3:14" x14ac:dyDescent="0.3">
      <c r="C4658" s="54"/>
      <c r="N4658" s="33"/>
    </row>
    <row r="4659" spans="3:14" x14ac:dyDescent="0.3">
      <c r="C4659" s="54"/>
      <c r="N4659" s="33"/>
    </row>
    <row r="4660" spans="3:14" x14ac:dyDescent="0.3">
      <c r="C4660" s="54"/>
      <c r="N4660" s="33"/>
    </row>
    <row r="4661" spans="3:14" x14ac:dyDescent="0.3">
      <c r="C4661" s="54"/>
      <c r="N4661" s="33"/>
    </row>
    <row r="4662" spans="3:14" x14ac:dyDescent="0.3">
      <c r="C4662" s="54"/>
      <c r="N4662" s="33"/>
    </row>
    <row r="4663" spans="3:14" x14ac:dyDescent="0.3">
      <c r="C4663" s="54"/>
      <c r="N4663" s="33"/>
    </row>
    <row r="4664" spans="3:14" x14ac:dyDescent="0.3">
      <c r="C4664" s="54"/>
      <c r="N4664" s="33"/>
    </row>
    <row r="4665" spans="3:14" x14ac:dyDescent="0.3">
      <c r="C4665" s="54"/>
      <c r="N4665" s="33"/>
    </row>
    <row r="4666" spans="3:14" x14ac:dyDescent="0.3">
      <c r="C4666" s="54"/>
      <c r="N4666" s="33"/>
    </row>
    <row r="4667" spans="3:14" x14ac:dyDescent="0.3">
      <c r="C4667" s="54"/>
      <c r="N4667" s="33"/>
    </row>
    <row r="4668" spans="3:14" x14ac:dyDescent="0.3">
      <c r="C4668" s="54"/>
      <c r="N4668" s="33"/>
    </row>
    <row r="4669" spans="3:14" x14ac:dyDescent="0.3">
      <c r="C4669" s="54"/>
      <c r="N4669" s="33"/>
    </row>
    <row r="4670" spans="3:14" x14ac:dyDescent="0.3">
      <c r="C4670" s="54"/>
      <c r="N4670" s="33"/>
    </row>
    <row r="4671" spans="3:14" x14ac:dyDescent="0.3">
      <c r="C4671" s="54"/>
      <c r="N4671" s="33"/>
    </row>
    <row r="4672" spans="3:14" x14ac:dyDescent="0.3">
      <c r="C4672" s="54"/>
      <c r="N4672" s="33"/>
    </row>
    <row r="4673" spans="3:14" x14ac:dyDescent="0.3">
      <c r="C4673" s="54"/>
      <c r="N4673" s="33"/>
    </row>
    <row r="4674" spans="3:14" x14ac:dyDescent="0.3">
      <c r="C4674" s="54"/>
      <c r="N4674" s="33"/>
    </row>
    <row r="4675" spans="3:14" x14ac:dyDescent="0.3">
      <c r="C4675" s="54"/>
      <c r="N4675" s="33"/>
    </row>
    <row r="4676" spans="3:14" x14ac:dyDescent="0.3">
      <c r="C4676" s="54"/>
      <c r="N4676" s="33"/>
    </row>
    <row r="4677" spans="3:14" x14ac:dyDescent="0.3">
      <c r="C4677" s="54"/>
      <c r="N4677" s="33"/>
    </row>
    <row r="4678" spans="3:14" x14ac:dyDescent="0.3">
      <c r="C4678" s="54"/>
      <c r="N4678" s="33"/>
    </row>
    <row r="4679" spans="3:14" x14ac:dyDescent="0.3">
      <c r="C4679" s="54"/>
      <c r="N4679" s="33"/>
    </row>
    <row r="4680" spans="3:14" x14ac:dyDescent="0.3">
      <c r="C4680" s="54"/>
      <c r="N4680" s="33"/>
    </row>
    <row r="4681" spans="3:14" x14ac:dyDescent="0.3">
      <c r="C4681" s="54"/>
      <c r="N4681" s="33"/>
    </row>
    <row r="4682" spans="3:14" x14ac:dyDescent="0.3">
      <c r="C4682" s="54"/>
      <c r="N4682" s="33"/>
    </row>
    <row r="4683" spans="3:14" x14ac:dyDescent="0.3">
      <c r="C4683" s="54"/>
      <c r="N4683" s="33"/>
    </row>
    <row r="4684" spans="3:14" x14ac:dyDescent="0.3">
      <c r="C4684" s="54"/>
      <c r="N4684" s="33"/>
    </row>
    <row r="4685" spans="3:14" x14ac:dyDescent="0.3">
      <c r="C4685" s="54"/>
      <c r="N4685" s="33"/>
    </row>
    <row r="4686" spans="3:14" x14ac:dyDescent="0.3">
      <c r="C4686" s="54"/>
      <c r="N4686" s="33"/>
    </row>
    <row r="4687" spans="3:14" x14ac:dyDescent="0.3">
      <c r="C4687" s="54"/>
      <c r="N4687" s="33"/>
    </row>
    <row r="4688" spans="3:14" x14ac:dyDescent="0.3">
      <c r="C4688" s="54"/>
      <c r="N4688" s="33"/>
    </row>
    <row r="4689" spans="3:14" x14ac:dyDescent="0.3">
      <c r="C4689" s="54"/>
      <c r="N4689" s="33"/>
    </row>
    <row r="4690" spans="3:14" x14ac:dyDescent="0.3">
      <c r="C4690" s="54"/>
      <c r="N4690" s="33"/>
    </row>
    <row r="4691" spans="3:14" x14ac:dyDescent="0.3">
      <c r="C4691" s="54"/>
      <c r="N4691" s="33"/>
    </row>
    <row r="4692" spans="3:14" x14ac:dyDescent="0.3">
      <c r="C4692" s="54"/>
      <c r="N4692" s="33"/>
    </row>
    <row r="4693" spans="3:14" x14ac:dyDescent="0.3">
      <c r="C4693" s="54"/>
      <c r="N4693" s="33"/>
    </row>
    <row r="4694" spans="3:14" x14ac:dyDescent="0.3">
      <c r="C4694" s="54"/>
      <c r="N4694" s="33"/>
    </row>
    <row r="4695" spans="3:14" x14ac:dyDescent="0.3">
      <c r="C4695" s="54"/>
      <c r="N4695" s="33"/>
    </row>
    <row r="4696" spans="3:14" x14ac:dyDescent="0.3">
      <c r="C4696" s="54"/>
      <c r="N4696" s="33"/>
    </row>
    <row r="4697" spans="3:14" x14ac:dyDescent="0.3">
      <c r="C4697" s="54"/>
      <c r="N4697" s="33"/>
    </row>
    <row r="4698" spans="3:14" x14ac:dyDescent="0.3">
      <c r="C4698" s="54"/>
      <c r="N4698" s="33"/>
    </row>
    <row r="4699" spans="3:14" x14ac:dyDescent="0.3">
      <c r="C4699" s="54"/>
      <c r="N4699" s="33"/>
    </row>
    <row r="4700" spans="3:14" x14ac:dyDescent="0.3">
      <c r="C4700" s="54"/>
      <c r="N4700" s="33"/>
    </row>
    <row r="4701" spans="3:14" x14ac:dyDescent="0.3">
      <c r="C4701" s="54"/>
      <c r="N4701" s="33"/>
    </row>
    <row r="4702" spans="3:14" x14ac:dyDescent="0.3">
      <c r="C4702" s="54"/>
      <c r="N4702" s="33"/>
    </row>
    <row r="4703" spans="3:14" x14ac:dyDescent="0.3">
      <c r="C4703" s="54"/>
      <c r="N4703" s="33"/>
    </row>
    <row r="4704" spans="3:14" x14ac:dyDescent="0.3">
      <c r="C4704" s="54"/>
      <c r="N4704" s="33"/>
    </row>
    <row r="4705" spans="3:14" x14ac:dyDescent="0.3">
      <c r="C4705" s="54"/>
      <c r="N4705" s="33"/>
    </row>
    <row r="4706" spans="3:14" x14ac:dyDescent="0.3">
      <c r="C4706" s="54"/>
      <c r="N4706" s="33"/>
    </row>
    <row r="4707" spans="3:14" x14ac:dyDescent="0.3">
      <c r="C4707" s="54"/>
      <c r="N4707" s="33"/>
    </row>
    <row r="4708" spans="3:14" x14ac:dyDescent="0.3">
      <c r="C4708" s="54"/>
      <c r="N4708" s="33"/>
    </row>
    <row r="4709" spans="3:14" x14ac:dyDescent="0.3">
      <c r="C4709" s="54"/>
      <c r="N4709" s="33"/>
    </row>
    <row r="4710" spans="3:14" x14ac:dyDescent="0.3">
      <c r="C4710" s="54"/>
      <c r="N4710" s="33"/>
    </row>
    <row r="4711" spans="3:14" x14ac:dyDescent="0.3">
      <c r="C4711" s="54"/>
      <c r="N4711" s="33"/>
    </row>
    <row r="4712" spans="3:14" x14ac:dyDescent="0.3">
      <c r="C4712" s="54"/>
      <c r="N4712" s="33"/>
    </row>
    <row r="4713" spans="3:14" x14ac:dyDescent="0.3">
      <c r="C4713" s="54"/>
      <c r="N4713" s="33"/>
    </row>
    <row r="4714" spans="3:14" x14ac:dyDescent="0.3">
      <c r="C4714" s="54"/>
      <c r="N4714" s="33"/>
    </row>
    <row r="4715" spans="3:14" x14ac:dyDescent="0.3">
      <c r="C4715" s="54"/>
      <c r="N4715" s="33"/>
    </row>
    <row r="4716" spans="3:14" x14ac:dyDescent="0.3">
      <c r="C4716" s="54"/>
      <c r="N4716" s="33"/>
    </row>
    <row r="4717" spans="3:14" x14ac:dyDescent="0.3">
      <c r="C4717" s="54"/>
      <c r="N4717" s="33"/>
    </row>
    <row r="4718" spans="3:14" x14ac:dyDescent="0.3">
      <c r="C4718" s="54"/>
      <c r="N4718" s="33"/>
    </row>
    <row r="4719" spans="3:14" x14ac:dyDescent="0.3">
      <c r="C4719" s="54"/>
      <c r="N4719" s="33"/>
    </row>
    <row r="4720" spans="3:14" x14ac:dyDescent="0.3">
      <c r="C4720" s="54"/>
      <c r="N4720" s="33"/>
    </row>
    <row r="4721" spans="3:14" x14ac:dyDescent="0.3">
      <c r="C4721" s="54"/>
      <c r="N4721" s="33"/>
    </row>
    <row r="4722" spans="3:14" x14ac:dyDescent="0.3">
      <c r="C4722" s="54"/>
      <c r="N4722" s="33"/>
    </row>
    <row r="4723" spans="3:14" x14ac:dyDescent="0.3">
      <c r="C4723" s="54"/>
      <c r="N4723" s="33"/>
    </row>
    <row r="4724" spans="3:14" x14ac:dyDescent="0.3">
      <c r="C4724" s="54"/>
      <c r="N4724" s="33"/>
    </row>
    <row r="4725" spans="3:14" x14ac:dyDescent="0.3">
      <c r="C4725" s="54"/>
      <c r="N4725" s="33"/>
    </row>
    <row r="4726" spans="3:14" x14ac:dyDescent="0.3">
      <c r="C4726" s="54"/>
      <c r="N4726" s="33"/>
    </row>
    <row r="4727" spans="3:14" x14ac:dyDescent="0.3">
      <c r="C4727" s="54"/>
      <c r="N4727" s="33"/>
    </row>
    <row r="4728" spans="3:14" x14ac:dyDescent="0.3">
      <c r="C4728" s="54"/>
      <c r="N4728" s="33"/>
    </row>
    <row r="4729" spans="3:14" x14ac:dyDescent="0.3">
      <c r="C4729" s="54"/>
      <c r="N4729" s="33"/>
    </row>
    <row r="4730" spans="3:14" x14ac:dyDescent="0.3">
      <c r="C4730" s="54"/>
      <c r="N4730" s="33"/>
    </row>
    <row r="4731" spans="3:14" x14ac:dyDescent="0.3">
      <c r="C4731" s="54"/>
      <c r="N4731" s="33"/>
    </row>
    <row r="4732" spans="3:14" x14ac:dyDescent="0.3">
      <c r="C4732" s="54"/>
      <c r="N4732" s="33"/>
    </row>
    <row r="4733" spans="3:14" x14ac:dyDescent="0.3">
      <c r="C4733" s="54"/>
      <c r="N4733" s="33"/>
    </row>
    <row r="4734" spans="3:14" x14ac:dyDescent="0.3">
      <c r="C4734" s="54"/>
      <c r="N4734" s="33"/>
    </row>
    <row r="4735" spans="3:14" x14ac:dyDescent="0.3">
      <c r="C4735" s="54"/>
      <c r="N4735" s="33"/>
    </row>
    <row r="4736" spans="3:14" x14ac:dyDescent="0.3">
      <c r="C4736" s="54"/>
      <c r="N4736" s="33"/>
    </row>
    <row r="4737" spans="3:14" x14ac:dyDescent="0.3">
      <c r="C4737" s="54"/>
      <c r="N4737" s="33"/>
    </row>
    <row r="4738" spans="3:14" x14ac:dyDescent="0.3">
      <c r="C4738" s="54"/>
      <c r="N4738" s="33"/>
    </row>
    <row r="4739" spans="3:14" x14ac:dyDescent="0.3">
      <c r="C4739" s="54"/>
      <c r="N4739" s="33"/>
    </row>
    <row r="4740" spans="3:14" x14ac:dyDescent="0.3">
      <c r="C4740" s="54"/>
      <c r="N4740" s="33"/>
    </row>
    <row r="4741" spans="3:14" x14ac:dyDescent="0.3">
      <c r="C4741" s="54"/>
      <c r="N4741" s="33"/>
    </row>
    <row r="4742" spans="3:14" x14ac:dyDescent="0.3">
      <c r="C4742" s="54"/>
      <c r="N4742" s="33"/>
    </row>
    <row r="4743" spans="3:14" x14ac:dyDescent="0.3">
      <c r="C4743" s="54"/>
      <c r="N4743" s="33"/>
    </row>
    <row r="4744" spans="3:14" x14ac:dyDescent="0.3">
      <c r="C4744" s="54"/>
      <c r="N4744" s="33"/>
    </row>
    <row r="4745" spans="3:14" x14ac:dyDescent="0.3">
      <c r="C4745" s="54"/>
      <c r="N4745" s="33"/>
    </row>
    <row r="4746" spans="3:14" x14ac:dyDescent="0.3">
      <c r="C4746" s="54"/>
      <c r="N4746" s="33"/>
    </row>
    <row r="4747" spans="3:14" x14ac:dyDescent="0.3">
      <c r="C4747" s="54"/>
      <c r="N4747" s="33"/>
    </row>
    <row r="4748" spans="3:14" x14ac:dyDescent="0.3">
      <c r="C4748" s="54"/>
      <c r="N4748" s="33"/>
    </row>
    <row r="4749" spans="3:14" x14ac:dyDescent="0.3">
      <c r="C4749" s="54"/>
      <c r="N4749" s="33"/>
    </row>
    <row r="4750" spans="3:14" x14ac:dyDescent="0.3">
      <c r="C4750" s="54"/>
      <c r="N4750" s="33"/>
    </row>
    <row r="4751" spans="3:14" x14ac:dyDescent="0.3">
      <c r="C4751" s="54"/>
      <c r="N4751" s="33"/>
    </row>
    <row r="4752" spans="3:14" x14ac:dyDescent="0.3">
      <c r="C4752" s="54"/>
      <c r="N4752" s="33"/>
    </row>
    <row r="4753" spans="3:14" x14ac:dyDescent="0.3">
      <c r="C4753" s="54"/>
      <c r="N4753" s="33"/>
    </row>
    <row r="4754" spans="3:14" x14ac:dyDescent="0.3">
      <c r="C4754" s="54"/>
      <c r="N4754" s="33"/>
    </row>
    <row r="4755" spans="3:14" x14ac:dyDescent="0.3">
      <c r="C4755" s="54"/>
      <c r="N4755" s="33"/>
    </row>
    <row r="4756" spans="3:14" x14ac:dyDescent="0.3">
      <c r="C4756" s="54"/>
      <c r="N4756" s="33"/>
    </row>
    <row r="4757" spans="3:14" x14ac:dyDescent="0.3">
      <c r="C4757" s="54"/>
      <c r="N4757" s="33"/>
    </row>
    <row r="4758" spans="3:14" x14ac:dyDescent="0.3">
      <c r="C4758" s="54"/>
      <c r="N4758" s="33"/>
    </row>
    <row r="4759" spans="3:14" x14ac:dyDescent="0.3">
      <c r="C4759" s="54"/>
      <c r="N4759" s="33"/>
    </row>
    <row r="4760" spans="3:14" x14ac:dyDescent="0.3">
      <c r="C4760" s="54"/>
      <c r="N4760" s="33"/>
    </row>
    <row r="4761" spans="3:14" x14ac:dyDescent="0.3">
      <c r="C4761" s="54"/>
      <c r="N4761" s="33"/>
    </row>
    <row r="4762" spans="3:14" x14ac:dyDescent="0.3">
      <c r="C4762" s="54"/>
      <c r="N4762" s="33"/>
    </row>
    <row r="4763" spans="3:14" x14ac:dyDescent="0.3">
      <c r="C4763" s="54"/>
      <c r="N4763" s="33"/>
    </row>
    <row r="4764" spans="3:14" x14ac:dyDescent="0.3">
      <c r="C4764" s="54"/>
      <c r="N4764" s="33"/>
    </row>
    <row r="4765" spans="3:14" x14ac:dyDescent="0.3">
      <c r="C4765" s="54"/>
      <c r="N4765" s="33"/>
    </row>
    <row r="4766" spans="3:14" x14ac:dyDescent="0.3">
      <c r="C4766" s="54"/>
      <c r="N4766" s="33"/>
    </row>
    <row r="4767" spans="3:14" x14ac:dyDescent="0.3">
      <c r="C4767" s="54"/>
      <c r="N4767" s="33"/>
    </row>
    <row r="4768" spans="3:14" x14ac:dyDescent="0.3">
      <c r="C4768" s="54"/>
      <c r="N4768" s="33"/>
    </row>
    <row r="4769" spans="3:14" x14ac:dyDescent="0.3">
      <c r="C4769" s="54"/>
      <c r="N4769" s="33"/>
    </row>
    <row r="4770" spans="3:14" x14ac:dyDescent="0.3">
      <c r="C4770" s="54"/>
      <c r="N4770" s="33"/>
    </row>
    <row r="4771" spans="3:14" x14ac:dyDescent="0.3">
      <c r="C4771" s="54"/>
      <c r="N4771" s="33"/>
    </row>
    <row r="4772" spans="3:14" x14ac:dyDescent="0.3">
      <c r="C4772" s="54"/>
      <c r="N4772" s="33"/>
    </row>
    <row r="4773" spans="3:14" x14ac:dyDescent="0.3">
      <c r="C4773" s="54"/>
      <c r="N4773" s="33"/>
    </row>
    <row r="4774" spans="3:14" x14ac:dyDescent="0.3">
      <c r="C4774" s="54"/>
      <c r="N4774" s="33"/>
    </row>
    <row r="4775" spans="3:14" x14ac:dyDescent="0.3">
      <c r="C4775" s="54"/>
      <c r="N4775" s="33"/>
    </row>
    <row r="4776" spans="3:14" x14ac:dyDescent="0.3">
      <c r="C4776" s="54"/>
      <c r="N4776" s="33"/>
    </row>
    <row r="4777" spans="3:14" x14ac:dyDescent="0.3">
      <c r="C4777" s="54"/>
      <c r="N4777" s="33"/>
    </row>
    <row r="4778" spans="3:14" x14ac:dyDescent="0.3">
      <c r="C4778" s="54"/>
      <c r="N4778" s="33"/>
    </row>
    <row r="4779" spans="3:14" x14ac:dyDescent="0.3">
      <c r="C4779" s="54"/>
      <c r="N4779" s="33"/>
    </row>
    <row r="4780" spans="3:14" x14ac:dyDescent="0.3">
      <c r="C4780" s="54"/>
      <c r="N4780" s="33"/>
    </row>
    <row r="4781" spans="3:14" x14ac:dyDescent="0.3">
      <c r="C4781" s="54"/>
      <c r="N4781" s="33"/>
    </row>
    <row r="4782" spans="3:14" x14ac:dyDescent="0.3">
      <c r="C4782" s="54"/>
      <c r="N4782" s="33"/>
    </row>
    <row r="4783" spans="3:14" x14ac:dyDescent="0.3">
      <c r="C4783" s="54"/>
      <c r="N4783" s="33"/>
    </row>
    <row r="4784" spans="3:14" x14ac:dyDescent="0.3">
      <c r="C4784" s="54"/>
      <c r="N4784" s="33"/>
    </row>
    <row r="4785" spans="3:14" x14ac:dyDescent="0.3">
      <c r="C4785" s="54"/>
      <c r="N4785" s="33"/>
    </row>
    <row r="4786" spans="3:14" x14ac:dyDescent="0.3">
      <c r="C4786" s="54"/>
      <c r="N4786" s="33"/>
    </row>
    <row r="4787" spans="3:14" x14ac:dyDescent="0.3">
      <c r="C4787" s="54"/>
      <c r="N4787" s="33"/>
    </row>
    <row r="4788" spans="3:14" x14ac:dyDescent="0.3">
      <c r="C4788" s="54"/>
      <c r="N4788" s="33"/>
    </row>
    <row r="4789" spans="3:14" x14ac:dyDescent="0.3">
      <c r="C4789" s="54"/>
      <c r="N4789" s="33"/>
    </row>
    <row r="4790" spans="3:14" x14ac:dyDescent="0.3">
      <c r="C4790" s="54"/>
      <c r="N4790" s="33"/>
    </row>
    <row r="4791" spans="3:14" x14ac:dyDescent="0.3">
      <c r="C4791" s="54"/>
      <c r="N4791" s="33"/>
    </row>
    <row r="4792" spans="3:14" x14ac:dyDescent="0.3">
      <c r="C4792" s="54"/>
      <c r="N4792" s="33"/>
    </row>
    <row r="4793" spans="3:14" x14ac:dyDescent="0.3">
      <c r="C4793" s="54"/>
      <c r="N4793" s="33"/>
    </row>
    <row r="4794" spans="3:14" x14ac:dyDescent="0.3">
      <c r="C4794" s="54"/>
      <c r="N4794" s="33"/>
    </row>
    <row r="4795" spans="3:14" x14ac:dyDescent="0.3">
      <c r="C4795" s="54"/>
      <c r="N4795" s="33"/>
    </row>
    <row r="4796" spans="3:14" x14ac:dyDescent="0.3">
      <c r="C4796" s="54"/>
      <c r="N4796" s="33"/>
    </row>
    <row r="4797" spans="3:14" x14ac:dyDescent="0.3">
      <c r="C4797" s="54"/>
      <c r="N4797" s="33"/>
    </row>
    <row r="4798" spans="3:14" x14ac:dyDescent="0.3">
      <c r="C4798" s="54"/>
      <c r="N4798" s="33"/>
    </row>
    <row r="4799" spans="3:14" x14ac:dyDescent="0.3">
      <c r="C4799" s="54"/>
      <c r="N4799" s="33"/>
    </row>
    <row r="4800" spans="3:14" x14ac:dyDescent="0.3">
      <c r="C4800" s="54"/>
      <c r="N4800" s="33"/>
    </row>
    <row r="4801" spans="3:14" x14ac:dyDescent="0.3">
      <c r="C4801" s="54"/>
      <c r="N4801" s="33"/>
    </row>
    <row r="4802" spans="3:14" x14ac:dyDescent="0.3">
      <c r="C4802" s="54"/>
      <c r="N4802" s="33"/>
    </row>
    <row r="4803" spans="3:14" x14ac:dyDescent="0.3">
      <c r="C4803" s="54"/>
      <c r="N4803" s="33"/>
    </row>
    <row r="4804" spans="3:14" x14ac:dyDescent="0.3">
      <c r="C4804" s="54"/>
      <c r="N4804" s="33"/>
    </row>
    <row r="4805" spans="3:14" x14ac:dyDescent="0.3">
      <c r="C4805" s="54"/>
      <c r="N4805" s="33"/>
    </row>
    <row r="4806" spans="3:14" x14ac:dyDescent="0.3">
      <c r="C4806" s="54"/>
      <c r="N4806" s="33"/>
    </row>
    <row r="4807" spans="3:14" x14ac:dyDescent="0.3">
      <c r="C4807" s="54"/>
      <c r="N4807" s="33"/>
    </row>
    <row r="4808" spans="3:14" x14ac:dyDescent="0.3">
      <c r="C4808" s="54"/>
      <c r="N4808" s="33"/>
    </row>
    <row r="4809" spans="3:14" x14ac:dyDescent="0.3">
      <c r="C4809" s="54"/>
      <c r="N4809" s="33"/>
    </row>
    <row r="4810" spans="3:14" x14ac:dyDescent="0.3">
      <c r="C4810" s="54"/>
      <c r="N4810" s="33"/>
    </row>
    <row r="4811" spans="3:14" x14ac:dyDescent="0.3">
      <c r="C4811" s="54"/>
      <c r="N4811" s="33"/>
    </row>
    <row r="4812" spans="3:14" x14ac:dyDescent="0.3">
      <c r="C4812" s="54"/>
      <c r="N4812" s="33"/>
    </row>
    <row r="4813" spans="3:14" x14ac:dyDescent="0.3">
      <c r="C4813" s="54"/>
      <c r="N4813" s="33"/>
    </row>
    <row r="4814" spans="3:14" x14ac:dyDescent="0.3">
      <c r="C4814" s="54"/>
      <c r="N4814" s="33"/>
    </row>
    <row r="4815" spans="3:14" x14ac:dyDescent="0.3">
      <c r="C4815" s="54"/>
      <c r="N4815" s="33"/>
    </row>
    <row r="4816" spans="3:14" x14ac:dyDescent="0.3">
      <c r="C4816" s="54"/>
      <c r="N4816" s="33"/>
    </row>
    <row r="4817" spans="3:14" x14ac:dyDescent="0.3">
      <c r="C4817" s="54"/>
      <c r="N4817" s="33"/>
    </row>
    <row r="4818" spans="3:14" x14ac:dyDescent="0.3">
      <c r="C4818" s="54"/>
      <c r="N4818" s="33"/>
    </row>
    <row r="4819" spans="3:14" x14ac:dyDescent="0.3">
      <c r="C4819" s="54"/>
      <c r="N4819" s="33"/>
    </row>
    <row r="4820" spans="3:14" x14ac:dyDescent="0.3">
      <c r="C4820" s="54"/>
      <c r="N4820" s="33"/>
    </row>
    <row r="4821" spans="3:14" x14ac:dyDescent="0.3">
      <c r="C4821" s="54"/>
      <c r="N4821" s="33"/>
    </row>
    <row r="4822" spans="3:14" x14ac:dyDescent="0.3">
      <c r="C4822" s="54"/>
      <c r="N4822" s="33"/>
    </row>
    <row r="4823" spans="3:14" x14ac:dyDescent="0.3">
      <c r="C4823" s="54"/>
      <c r="N4823" s="33"/>
    </row>
    <row r="4824" spans="3:14" x14ac:dyDescent="0.3">
      <c r="C4824" s="54"/>
      <c r="N4824" s="33"/>
    </row>
    <row r="4825" spans="3:14" x14ac:dyDescent="0.3">
      <c r="C4825" s="54"/>
      <c r="N4825" s="33"/>
    </row>
    <row r="4826" spans="3:14" x14ac:dyDescent="0.3">
      <c r="C4826" s="54"/>
      <c r="N4826" s="33"/>
    </row>
    <row r="4827" spans="3:14" x14ac:dyDescent="0.3">
      <c r="C4827" s="54"/>
      <c r="N4827" s="33"/>
    </row>
    <row r="4828" spans="3:14" x14ac:dyDescent="0.3">
      <c r="C4828" s="54"/>
      <c r="N4828" s="33"/>
    </row>
    <row r="4829" spans="3:14" x14ac:dyDescent="0.3">
      <c r="C4829" s="54"/>
      <c r="N4829" s="33"/>
    </row>
    <row r="4830" spans="3:14" x14ac:dyDescent="0.3">
      <c r="C4830" s="54"/>
      <c r="N4830" s="33"/>
    </row>
    <row r="4831" spans="3:14" x14ac:dyDescent="0.3">
      <c r="C4831" s="54"/>
      <c r="N4831" s="33"/>
    </row>
    <row r="4832" spans="3:14" x14ac:dyDescent="0.3">
      <c r="C4832" s="54"/>
      <c r="N4832" s="33"/>
    </row>
    <row r="4833" spans="3:14" x14ac:dyDescent="0.3">
      <c r="C4833" s="54"/>
      <c r="N4833" s="33"/>
    </row>
    <row r="4834" spans="3:14" x14ac:dyDescent="0.3">
      <c r="C4834" s="54"/>
      <c r="N4834" s="33"/>
    </row>
    <row r="4835" spans="3:14" x14ac:dyDescent="0.3">
      <c r="C4835" s="54"/>
      <c r="N4835" s="33"/>
    </row>
    <row r="4836" spans="3:14" x14ac:dyDescent="0.3">
      <c r="C4836" s="54"/>
      <c r="N4836" s="33"/>
    </row>
    <row r="4837" spans="3:14" x14ac:dyDescent="0.3">
      <c r="C4837" s="54"/>
      <c r="N4837" s="33"/>
    </row>
    <row r="4838" spans="3:14" x14ac:dyDescent="0.3">
      <c r="C4838" s="54"/>
      <c r="N4838" s="33"/>
    </row>
    <row r="4839" spans="3:14" x14ac:dyDescent="0.3">
      <c r="C4839" s="54"/>
      <c r="N4839" s="33"/>
    </row>
    <row r="4840" spans="3:14" x14ac:dyDescent="0.3">
      <c r="C4840" s="54"/>
      <c r="N4840" s="33"/>
    </row>
    <row r="4841" spans="3:14" x14ac:dyDescent="0.3">
      <c r="C4841" s="54"/>
      <c r="N4841" s="33"/>
    </row>
    <row r="4842" spans="3:14" x14ac:dyDescent="0.3">
      <c r="C4842" s="54"/>
      <c r="N4842" s="33"/>
    </row>
    <row r="4843" spans="3:14" x14ac:dyDescent="0.3">
      <c r="C4843" s="54"/>
      <c r="N4843" s="33"/>
    </row>
    <row r="4844" spans="3:14" x14ac:dyDescent="0.3">
      <c r="C4844" s="54"/>
      <c r="N4844" s="33"/>
    </row>
    <row r="4845" spans="3:14" x14ac:dyDescent="0.3">
      <c r="C4845" s="54"/>
      <c r="N4845" s="33"/>
    </row>
    <row r="4846" spans="3:14" x14ac:dyDescent="0.3">
      <c r="C4846" s="54"/>
      <c r="N4846" s="33"/>
    </row>
    <row r="4847" spans="3:14" x14ac:dyDescent="0.3">
      <c r="C4847" s="54"/>
      <c r="N4847" s="33"/>
    </row>
    <row r="4848" spans="3:14" x14ac:dyDescent="0.3">
      <c r="C4848" s="54"/>
      <c r="N4848" s="33"/>
    </row>
    <row r="4849" spans="3:14" x14ac:dyDescent="0.3">
      <c r="C4849" s="54"/>
      <c r="N4849" s="33"/>
    </row>
    <row r="4850" spans="3:14" x14ac:dyDescent="0.3">
      <c r="C4850" s="54"/>
      <c r="N4850" s="33"/>
    </row>
    <row r="4851" spans="3:14" x14ac:dyDescent="0.3">
      <c r="C4851" s="54"/>
      <c r="N4851" s="33"/>
    </row>
    <row r="4852" spans="3:14" x14ac:dyDescent="0.3">
      <c r="C4852" s="54"/>
      <c r="N4852" s="33"/>
    </row>
    <row r="4853" spans="3:14" x14ac:dyDescent="0.3">
      <c r="C4853" s="54"/>
      <c r="N4853" s="33"/>
    </row>
    <row r="4854" spans="3:14" x14ac:dyDescent="0.3">
      <c r="C4854" s="54"/>
      <c r="N4854" s="33"/>
    </row>
    <row r="4855" spans="3:14" x14ac:dyDescent="0.3">
      <c r="C4855" s="54"/>
      <c r="N4855" s="33"/>
    </row>
    <row r="4856" spans="3:14" x14ac:dyDescent="0.3">
      <c r="C4856" s="54"/>
      <c r="N4856" s="33"/>
    </row>
    <row r="4857" spans="3:14" x14ac:dyDescent="0.3">
      <c r="C4857" s="54"/>
      <c r="N4857" s="33"/>
    </row>
    <row r="4858" spans="3:14" x14ac:dyDescent="0.3">
      <c r="C4858" s="54"/>
      <c r="N4858" s="33"/>
    </row>
    <row r="4859" spans="3:14" x14ac:dyDescent="0.3">
      <c r="C4859" s="54"/>
      <c r="N4859" s="33"/>
    </row>
    <row r="4860" spans="3:14" x14ac:dyDescent="0.3">
      <c r="C4860" s="54"/>
      <c r="N4860" s="33"/>
    </row>
    <row r="4861" spans="3:14" x14ac:dyDescent="0.3">
      <c r="C4861" s="54"/>
      <c r="N4861" s="33"/>
    </row>
    <row r="4862" spans="3:14" x14ac:dyDescent="0.3">
      <c r="C4862" s="54"/>
      <c r="N4862" s="33"/>
    </row>
    <row r="4863" spans="3:14" x14ac:dyDescent="0.3">
      <c r="C4863" s="54"/>
      <c r="N4863" s="33"/>
    </row>
    <row r="4864" spans="3:14" x14ac:dyDescent="0.3">
      <c r="C4864" s="54"/>
      <c r="N4864" s="33"/>
    </row>
    <row r="4865" spans="3:14" x14ac:dyDescent="0.3">
      <c r="C4865" s="54"/>
      <c r="N4865" s="33"/>
    </row>
    <row r="4866" spans="3:14" x14ac:dyDescent="0.3">
      <c r="C4866" s="54"/>
      <c r="N4866" s="33"/>
    </row>
    <row r="4867" spans="3:14" x14ac:dyDescent="0.3">
      <c r="C4867" s="54"/>
      <c r="N4867" s="33"/>
    </row>
    <row r="4868" spans="3:14" x14ac:dyDescent="0.3">
      <c r="C4868" s="54"/>
      <c r="N4868" s="33"/>
    </row>
    <row r="4869" spans="3:14" x14ac:dyDescent="0.3">
      <c r="C4869" s="54"/>
      <c r="N4869" s="33"/>
    </row>
    <row r="4870" spans="3:14" x14ac:dyDescent="0.3">
      <c r="C4870" s="54"/>
      <c r="N4870" s="33"/>
    </row>
    <row r="4871" spans="3:14" x14ac:dyDescent="0.3">
      <c r="C4871" s="54"/>
      <c r="N4871" s="33"/>
    </row>
    <row r="4872" spans="3:14" x14ac:dyDescent="0.3">
      <c r="C4872" s="54"/>
      <c r="N4872" s="33"/>
    </row>
    <row r="4873" spans="3:14" x14ac:dyDescent="0.3">
      <c r="C4873" s="54"/>
      <c r="N4873" s="33"/>
    </row>
    <row r="4874" spans="3:14" x14ac:dyDescent="0.3">
      <c r="C4874" s="54"/>
      <c r="N4874" s="33"/>
    </row>
    <row r="4875" spans="3:14" x14ac:dyDescent="0.3">
      <c r="C4875" s="54"/>
      <c r="N4875" s="33"/>
    </row>
    <row r="4876" spans="3:14" x14ac:dyDescent="0.3">
      <c r="C4876" s="54"/>
      <c r="N4876" s="33"/>
    </row>
    <row r="4877" spans="3:14" x14ac:dyDescent="0.3">
      <c r="C4877" s="54"/>
      <c r="N4877" s="33"/>
    </row>
    <row r="4878" spans="3:14" x14ac:dyDescent="0.3">
      <c r="C4878" s="54"/>
      <c r="N4878" s="33"/>
    </row>
    <row r="4879" spans="3:14" x14ac:dyDescent="0.3">
      <c r="C4879" s="54"/>
      <c r="N4879" s="33"/>
    </row>
    <row r="4880" spans="3:14" x14ac:dyDescent="0.3">
      <c r="C4880" s="54"/>
      <c r="N4880" s="33"/>
    </row>
    <row r="4881" spans="3:14" x14ac:dyDescent="0.3">
      <c r="C4881" s="54"/>
      <c r="N4881" s="33"/>
    </row>
    <row r="4882" spans="3:14" x14ac:dyDescent="0.3">
      <c r="C4882" s="54"/>
      <c r="N4882" s="33"/>
    </row>
    <row r="4883" spans="3:14" x14ac:dyDescent="0.3">
      <c r="C4883" s="54"/>
      <c r="N4883" s="33"/>
    </row>
    <row r="4884" spans="3:14" x14ac:dyDescent="0.3">
      <c r="C4884" s="54"/>
      <c r="N4884" s="33"/>
    </row>
    <row r="4885" spans="3:14" x14ac:dyDescent="0.3">
      <c r="C4885" s="54"/>
      <c r="N4885" s="33"/>
    </row>
    <row r="4886" spans="3:14" x14ac:dyDescent="0.3">
      <c r="C4886" s="54"/>
      <c r="N4886" s="33"/>
    </row>
    <row r="4887" spans="3:14" x14ac:dyDescent="0.3">
      <c r="C4887" s="54"/>
      <c r="N4887" s="33"/>
    </row>
    <row r="4888" spans="3:14" x14ac:dyDescent="0.3">
      <c r="C4888" s="54"/>
      <c r="N4888" s="33"/>
    </row>
    <row r="4889" spans="3:14" x14ac:dyDescent="0.3">
      <c r="C4889" s="54"/>
      <c r="N4889" s="33"/>
    </row>
    <row r="4890" spans="3:14" x14ac:dyDescent="0.3">
      <c r="C4890" s="54"/>
      <c r="N4890" s="33"/>
    </row>
    <row r="4891" spans="3:14" x14ac:dyDescent="0.3">
      <c r="C4891" s="54"/>
      <c r="N4891" s="33"/>
    </row>
    <row r="4892" spans="3:14" x14ac:dyDescent="0.3">
      <c r="C4892" s="54"/>
      <c r="N4892" s="33"/>
    </row>
    <row r="4893" spans="3:14" x14ac:dyDescent="0.3">
      <c r="C4893" s="54"/>
      <c r="N4893" s="33"/>
    </row>
    <row r="4894" spans="3:14" x14ac:dyDescent="0.3">
      <c r="C4894" s="54"/>
      <c r="N4894" s="33"/>
    </row>
    <row r="4895" spans="3:14" x14ac:dyDescent="0.3">
      <c r="C4895" s="54"/>
      <c r="N4895" s="33"/>
    </row>
    <row r="4896" spans="3:14" x14ac:dyDescent="0.3">
      <c r="C4896" s="54"/>
      <c r="N4896" s="33"/>
    </row>
    <row r="4897" spans="3:14" x14ac:dyDescent="0.3">
      <c r="C4897" s="54"/>
      <c r="N4897" s="33"/>
    </row>
    <row r="4898" spans="3:14" x14ac:dyDescent="0.3">
      <c r="C4898" s="54"/>
      <c r="N4898" s="33"/>
    </row>
    <row r="4899" spans="3:14" x14ac:dyDescent="0.3">
      <c r="C4899" s="54"/>
      <c r="N4899" s="33"/>
    </row>
    <row r="4900" spans="3:14" x14ac:dyDescent="0.3">
      <c r="C4900" s="54"/>
      <c r="N4900" s="33"/>
    </row>
    <row r="4901" spans="3:14" x14ac:dyDescent="0.3">
      <c r="C4901" s="54"/>
      <c r="N4901" s="33"/>
    </row>
    <row r="4902" spans="3:14" x14ac:dyDescent="0.3">
      <c r="C4902" s="54"/>
      <c r="N4902" s="33"/>
    </row>
    <row r="4903" spans="3:14" x14ac:dyDescent="0.3">
      <c r="C4903" s="54"/>
      <c r="N4903" s="33"/>
    </row>
    <row r="4904" spans="3:14" x14ac:dyDescent="0.3">
      <c r="C4904" s="54"/>
      <c r="N4904" s="33"/>
    </row>
    <row r="4905" spans="3:14" x14ac:dyDescent="0.3">
      <c r="C4905" s="54"/>
      <c r="N4905" s="33"/>
    </row>
    <row r="4906" spans="3:14" x14ac:dyDescent="0.3">
      <c r="C4906" s="54"/>
      <c r="N4906" s="33"/>
    </row>
    <row r="4907" spans="3:14" x14ac:dyDescent="0.3">
      <c r="C4907" s="54"/>
      <c r="N4907" s="33"/>
    </row>
    <row r="4908" spans="3:14" x14ac:dyDescent="0.3">
      <c r="C4908" s="54"/>
      <c r="N4908" s="33"/>
    </row>
    <row r="4909" spans="3:14" x14ac:dyDescent="0.3">
      <c r="C4909" s="54"/>
      <c r="N4909" s="33"/>
    </row>
    <row r="4910" spans="3:14" x14ac:dyDescent="0.3">
      <c r="C4910" s="54"/>
      <c r="N4910" s="33"/>
    </row>
    <row r="4911" spans="3:14" x14ac:dyDescent="0.3">
      <c r="C4911" s="54"/>
      <c r="N4911" s="33"/>
    </row>
    <row r="4912" spans="3:14" x14ac:dyDescent="0.3">
      <c r="C4912" s="54"/>
      <c r="N4912" s="33"/>
    </row>
    <row r="4913" spans="3:14" x14ac:dyDescent="0.3">
      <c r="C4913" s="54"/>
      <c r="N4913" s="33"/>
    </row>
    <row r="4914" spans="3:14" x14ac:dyDescent="0.3">
      <c r="C4914" s="54"/>
      <c r="N4914" s="33"/>
    </row>
    <row r="4915" spans="3:14" x14ac:dyDescent="0.3">
      <c r="C4915" s="54"/>
      <c r="N4915" s="33"/>
    </row>
    <row r="4916" spans="3:14" x14ac:dyDescent="0.3">
      <c r="C4916" s="54"/>
      <c r="N4916" s="33"/>
    </row>
    <row r="4917" spans="3:14" x14ac:dyDescent="0.3">
      <c r="C4917" s="54"/>
      <c r="N4917" s="33"/>
    </row>
    <row r="4918" spans="3:14" x14ac:dyDescent="0.3">
      <c r="C4918" s="54"/>
      <c r="N4918" s="33"/>
    </row>
    <row r="4919" spans="3:14" x14ac:dyDescent="0.3">
      <c r="C4919" s="54"/>
      <c r="N4919" s="33"/>
    </row>
    <row r="4920" spans="3:14" x14ac:dyDescent="0.3">
      <c r="C4920" s="54"/>
      <c r="N4920" s="33"/>
    </row>
    <row r="4921" spans="3:14" x14ac:dyDescent="0.3">
      <c r="C4921" s="54"/>
      <c r="N4921" s="33"/>
    </row>
    <row r="4922" spans="3:14" x14ac:dyDescent="0.3">
      <c r="C4922" s="54"/>
      <c r="N4922" s="33"/>
    </row>
    <row r="4923" spans="3:14" x14ac:dyDescent="0.3">
      <c r="C4923" s="54"/>
      <c r="N4923" s="33"/>
    </row>
    <row r="4924" spans="3:14" x14ac:dyDescent="0.3">
      <c r="C4924" s="54"/>
      <c r="N4924" s="33"/>
    </row>
    <row r="4925" spans="3:14" x14ac:dyDescent="0.3">
      <c r="C4925" s="54"/>
      <c r="N4925" s="33"/>
    </row>
    <row r="4926" spans="3:14" x14ac:dyDescent="0.3">
      <c r="C4926" s="54"/>
      <c r="N4926" s="33"/>
    </row>
    <row r="4927" spans="3:14" x14ac:dyDescent="0.3">
      <c r="C4927" s="54"/>
      <c r="N4927" s="33"/>
    </row>
    <row r="4928" spans="3:14" x14ac:dyDescent="0.3">
      <c r="C4928" s="54"/>
      <c r="N4928" s="33"/>
    </row>
    <row r="4929" spans="3:14" x14ac:dyDescent="0.3">
      <c r="C4929" s="54"/>
      <c r="N4929" s="33"/>
    </row>
    <row r="4930" spans="3:14" x14ac:dyDescent="0.3">
      <c r="C4930" s="54"/>
      <c r="N4930" s="33"/>
    </row>
    <row r="4931" spans="3:14" x14ac:dyDescent="0.3">
      <c r="C4931" s="54"/>
      <c r="N4931" s="33"/>
    </row>
    <row r="4932" spans="3:14" x14ac:dyDescent="0.3">
      <c r="C4932" s="54"/>
      <c r="N4932" s="33"/>
    </row>
    <row r="4933" spans="3:14" x14ac:dyDescent="0.3">
      <c r="C4933" s="54"/>
      <c r="N4933" s="33"/>
    </row>
    <row r="4934" spans="3:14" x14ac:dyDescent="0.3">
      <c r="C4934" s="54"/>
      <c r="N4934" s="33"/>
    </row>
    <row r="4935" spans="3:14" x14ac:dyDescent="0.3">
      <c r="C4935" s="54"/>
      <c r="N4935" s="33"/>
    </row>
    <row r="4936" spans="3:14" x14ac:dyDescent="0.3">
      <c r="C4936" s="54"/>
      <c r="N4936" s="33"/>
    </row>
    <row r="4937" spans="3:14" x14ac:dyDescent="0.3">
      <c r="C4937" s="54"/>
      <c r="N4937" s="33"/>
    </row>
    <row r="4938" spans="3:14" x14ac:dyDescent="0.3">
      <c r="C4938" s="54"/>
      <c r="N4938" s="33"/>
    </row>
    <row r="4939" spans="3:14" x14ac:dyDescent="0.3">
      <c r="C4939" s="54"/>
      <c r="N4939" s="33"/>
    </row>
    <row r="4940" spans="3:14" x14ac:dyDescent="0.3">
      <c r="C4940" s="54"/>
      <c r="N4940" s="33"/>
    </row>
    <row r="4941" spans="3:14" x14ac:dyDescent="0.3">
      <c r="C4941" s="54"/>
      <c r="N4941" s="33"/>
    </row>
    <row r="4942" spans="3:14" x14ac:dyDescent="0.3">
      <c r="C4942" s="54"/>
      <c r="N4942" s="33"/>
    </row>
    <row r="4943" spans="3:14" x14ac:dyDescent="0.3">
      <c r="C4943" s="54"/>
      <c r="N4943" s="33"/>
    </row>
    <row r="4944" spans="3:14" x14ac:dyDescent="0.3">
      <c r="C4944" s="54"/>
      <c r="N4944" s="33"/>
    </row>
    <row r="4945" spans="3:14" x14ac:dyDescent="0.3">
      <c r="C4945" s="54"/>
      <c r="N4945" s="33"/>
    </row>
    <row r="4946" spans="3:14" x14ac:dyDescent="0.3">
      <c r="C4946" s="54"/>
      <c r="N4946" s="33"/>
    </row>
    <row r="4947" spans="3:14" x14ac:dyDescent="0.3">
      <c r="C4947" s="54"/>
      <c r="N4947" s="33"/>
    </row>
    <row r="4948" spans="3:14" x14ac:dyDescent="0.3">
      <c r="C4948" s="54"/>
      <c r="N4948" s="33"/>
    </row>
    <row r="4949" spans="3:14" x14ac:dyDescent="0.3">
      <c r="C4949" s="54"/>
      <c r="N4949" s="33"/>
    </row>
    <row r="4950" spans="3:14" x14ac:dyDescent="0.3">
      <c r="C4950" s="54"/>
      <c r="N4950" s="33"/>
    </row>
    <row r="4951" spans="3:14" x14ac:dyDescent="0.3">
      <c r="C4951" s="54"/>
      <c r="N4951" s="33"/>
    </row>
    <row r="4952" spans="3:14" x14ac:dyDescent="0.3">
      <c r="C4952" s="54"/>
      <c r="N4952" s="33"/>
    </row>
    <row r="4953" spans="3:14" x14ac:dyDescent="0.3">
      <c r="C4953" s="54"/>
      <c r="N4953" s="33"/>
    </row>
    <row r="4954" spans="3:14" x14ac:dyDescent="0.3">
      <c r="C4954" s="54"/>
      <c r="N4954" s="33"/>
    </row>
    <row r="4955" spans="3:14" x14ac:dyDescent="0.3">
      <c r="C4955" s="54"/>
      <c r="N4955" s="33"/>
    </row>
    <row r="4956" spans="3:14" x14ac:dyDescent="0.3">
      <c r="C4956" s="54"/>
      <c r="N4956" s="33"/>
    </row>
    <row r="4957" spans="3:14" x14ac:dyDescent="0.3">
      <c r="C4957" s="54"/>
      <c r="N4957" s="33"/>
    </row>
    <row r="4958" spans="3:14" x14ac:dyDescent="0.3">
      <c r="C4958" s="54"/>
      <c r="N4958" s="33"/>
    </row>
    <row r="4959" spans="3:14" x14ac:dyDescent="0.3">
      <c r="C4959" s="54"/>
      <c r="N4959" s="33"/>
    </row>
    <row r="4960" spans="3:14" x14ac:dyDescent="0.3">
      <c r="C4960" s="54"/>
      <c r="N4960" s="33"/>
    </row>
    <row r="4961" spans="3:14" x14ac:dyDescent="0.3">
      <c r="C4961" s="54"/>
      <c r="N4961" s="33"/>
    </row>
    <row r="4962" spans="3:14" x14ac:dyDescent="0.3">
      <c r="C4962" s="54"/>
      <c r="N4962" s="33"/>
    </row>
    <row r="4963" spans="3:14" x14ac:dyDescent="0.3">
      <c r="C4963" s="54"/>
      <c r="N4963" s="33"/>
    </row>
    <row r="4964" spans="3:14" x14ac:dyDescent="0.3">
      <c r="C4964" s="54"/>
      <c r="N4964" s="33"/>
    </row>
    <row r="4965" spans="3:14" x14ac:dyDescent="0.3">
      <c r="C4965" s="54"/>
      <c r="N4965" s="33"/>
    </row>
    <row r="4966" spans="3:14" x14ac:dyDescent="0.3">
      <c r="C4966" s="54"/>
      <c r="N4966" s="33"/>
    </row>
    <row r="4967" spans="3:14" x14ac:dyDescent="0.3">
      <c r="C4967" s="54"/>
      <c r="N4967" s="33"/>
    </row>
    <row r="4968" spans="3:14" x14ac:dyDescent="0.3">
      <c r="C4968" s="54"/>
      <c r="N4968" s="33"/>
    </row>
    <row r="4969" spans="3:14" x14ac:dyDescent="0.3">
      <c r="C4969" s="54"/>
      <c r="N4969" s="33"/>
    </row>
    <row r="4970" spans="3:14" x14ac:dyDescent="0.3">
      <c r="C4970" s="54"/>
      <c r="N4970" s="33"/>
    </row>
    <row r="4971" spans="3:14" x14ac:dyDescent="0.3">
      <c r="C4971" s="54"/>
      <c r="N4971" s="33"/>
    </row>
    <row r="4972" spans="3:14" x14ac:dyDescent="0.3">
      <c r="C4972" s="54"/>
      <c r="N4972" s="33"/>
    </row>
    <row r="4973" spans="3:14" x14ac:dyDescent="0.3">
      <c r="C4973" s="54"/>
      <c r="N4973" s="33"/>
    </row>
    <row r="4974" spans="3:14" x14ac:dyDescent="0.3">
      <c r="C4974" s="54"/>
      <c r="N4974" s="33"/>
    </row>
    <row r="4975" spans="3:14" x14ac:dyDescent="0.3">
      <c r="C4975" s="54"/>
      <c r="N4975" s="33"/>
    </row>
    <row r="4976" spans="3:14" x14ac:dyDescent="0.3">
      <c r="C4976" s="54"/>
      <c r="N4976" s="33"/>
    </row>
    <row r="4977" spans="3:14" x14ac:dyDescent="0.3">
      <c r="C4977" s="54"/>
      <c r="N4977" s="33"/>
    </row>
    <row r="4978" spans="3:14" x14ac:dyDescent="0.3">
      <c r="C4978" s="54"/>
      <c r="N4978" s="33"/>
    </row>
    <row r="4979" spans="3:14" x14ac:dyDescent="0.3">
      <c r="C4979" s="54"/>
      <c r="N4979" s="33"/>
    </row>
    <row r="4980" spans="3:14" x14ac:dyDescent="0.3">
      <c r="C4980" s="54"/>
      <c r="N4980" s="33"/>
    </row>
    <row r="4981" spans="3:14" x14ac:dyDescent="0.3">
      <c r="C4981" s="54"/>
      <c r="N4981" s="33"/>
    </row>
    <row r="4982" spans="3:14" x14ac:dyDescent="0.3">
      <c r="C4982" s="54"/>
      <c r="N4982" s="33"/>
    </row>
    <row r="4983" spans="3:14" x14ac:dyDescent="0.3">
      <c r="C4983" s="54"/>
      <c r="N4983" s="33"/>
    </row>
    <row r="4984" spans="3:14" x14ac:dyDescent="0.3">
      <c r="C4984" s="54"/>
      <c r="N4984" s="33"/>
    </row>
    <row r="4985" spans="3:14" x14ac:dyDescent="0.3">
      <c r="C4985" s="54"/>
      <c r="N4985" s="33"/>
    </row>
    <row r="4986" spans="3:14" x14ac:dyDescent="0.3">
      <c r="C4986" s="54"/>
      <c r="N4986" s="33"/>
    </row>
    <row r="4987" spans="3:14" x14ac:dyDescent="0.3">
      <c r="C4987" s="54"/>
      <c r="N4987" s="33"/>
    </row>
    <row r="4988" spans="3:14" x14ac:dyDescent="0.3">
      <c r="C4988" s="54"/>
      <c r="N4988" s="33"/>
    </row>
    <row r="4989" spans="3:14" x14ac:dyDescent="0.3">
      <c r="C4989" s="54"/>
      <c r="N4989" s="33"/>
    </row>
    <row r="4990" spans="3:14" x14ac:dyDescent="0.3">
      <c r="C4990" s="54"/>
      <c r="N4990" s="33"/>
    </row>
    <row r="4991" spans="3:14" x14ac:dyDescent="0.3">
      <c r="C4991" s="54"/>
      <c r="N4991" s="33"/>
    </row>
    <row r="4992" spans="3:14" x14ac:dyDescent="0.3">
      <c r="C4992" s="54"/>
      <c r="N4992" s="33"/>
    </row>
    <row r="4993" spans="3:14" x14ac:dyDescent="0.3">
      <c r="C4993" s="54"/>
      <c r="N4993" s="33"/>
    </row>
    <row r="4994" spans="3:14" x14ac:dyDescent="0.3">
      <c r="C4994" s="54"/>
      <c r="N4994" s="33"/>
    </row>
    <row r="4995" spans="3:14" x14ac:dyDescent="0.3">
      <c r="C4995" s="54"/>
      <c r="N4995" s="33"/>
    </row>
    <row r="4996" spans="3:14" x14ac:dyDescent="0.3">
      <c r="C4996" s="54"/>
      <c r="N4996" s="33"/>
    </row>
    <row r="4997" spans="3:14" x14ac:dyDescent="0.3">
      <c r="C4997" s="54"/>
      <c r="N4997" s="33"/>
    </row>
    <row r="4998" spans="3:14" x14ac:dyDescent="0.3">
      <c r="C4998" s="54"/>
      <c r="N4998" s="33"/>
    </row>
    <row r="4999" spans="3:14" x14ac:dyDescent="0.3">
      <c r="C4999" s="54"/>
      <c r="N4999" s="33"/>
    </row>
    <row r="5000" spans="3:14" x14ac:dyDescent="0.3">
      <c r="C5000" s="54"/>
      <c r="N5000" s="33"/>
    </row>
    <row r="5001" spans="3:14" x14ac:dyDescent="0.3">
      <c r="C5001" s="54"/>
      <c r="N5001" s="33"/>
    </row>
    <row r="5002" spans="3:14" x14ac:dyDescent="0.3">
      <c r="C5002" s="54"/>
      <c r="N5002" s="33"/>
    </row>
    <row r="5003" spans="3:14" x14ac:dyDescent="0.3">
      <c r="C5003" s="54"/>
      <c r="N5003" s="33"/>
    </row>
    <row r="5004" spans="3:14" x14ac:dyDescent="0.3">
      <c r="C5004" s="54"/>
      <c r="N5004" s="33"/>
    </row>
    <row r="5005" spans="3:14" x14ac:dyDescent="0.3">
      <c r="C5005" s="54"/>
      <c r="N5005" s="33"/>
    </row>
    <row r="5006" spans="3:14" x14ac:dyDescent="0.3">
      <c r="C5006" s="54"/>
      <c r="N5006" s="33"/>
    </row>
    <row r="5007" spans="3:14" x14ac:dyDescent="0.3">
      <c r="C5007" s="54"/>
      <c r="N5007" s="33"/>
    </row>
    <row r="5008" spans="3:14" x14ac:dyDescent="0.3">
      <c r="C5008" s="54"/>
      <c r="N5008" s="33"/>
    </row>
    <row r="5009" spans="3:14" x14ac:dyDescent="0.3">
      <c r="C5009" s="54"/>
      <c r="N5009" s="33"/>
    </row>
    <row r="5010" spans="3:14" x14ac:dyDescent="0.3">
      <c r="C5010" s="54"/>
      <c r="N5010" s="33"/>
    </row>
    <row r="5011" spans="3:14" x14ac:dyDescent="0.3">
      <c r="C5011" s="54"/>
      <c r="N5011" s="33"/>
    </row>
    <row r="5012" spans="3:14" x14ac:dyDescent="0.3">
      <c r="C5012" s="54"/>
      <c r="N5012" s="33"/>
    </row>
    <row r="5013" spans="3:14" x14ac:dyDescent="0.3">
      <c r="C5013" s="54"/>
      <c r="N5013" s="33"/>
    </row>
    <row r="5014" spans="3:14" x14ac:dyDescent="0.3">
      <c r="C5014" s="54"/>
      <c r="N5014" s="33"/>
    </row>
    <row r="5015" spans="3:14" x14ac:dyDescent="0.3">
      <c r="C5015" s="54"/>
      <c r="N5015" s="33"/>
    </row>
    <row r="5016" spans="3:14" x14ac:dyDescent="0.3">
      <c r="C5016" s="54"/>
      <c r="N5016" s="33"/>
    </row>
    <row r="5017" spans="3:14" x14ac:dyDescent="0.3">
      <c r="C5017" s="54"/>
      <c r="N5017" s="33"/>
    </row>
    <row r="5018" spans="3:14" x14ac:dyDescent="0.3">
      <c r="C5018" s="54"/>
      <c r="N5018" s="33"/>
    </row>
    <row r="5019" spans="3:14" x14ac:dyDescent="0.3">
      <c r="C5019" s="54"/>
      <c r="N5019" s="33"/>
    </row>
    <row r="5020" spans="3:14" x14ac:dyDescent="0.3">
      <c r="C5020" s="54"/>
      <c r="N5020" s="33"/>
    </row>
    <row r="5021" spans="3:14" x14ac:dyDescent="0.3">
      <c r="C5021" s="54"/>
      <c r="N5021" s="33"/>
    </row>
    <row r="5022" spans="3:14" x14ac:dyDescent="0.3">
      <c r="C5022" s="54"/>
      <c r="N5022" s="33"/>
    </row>
    <row r="5023" spans="3:14" x14ac:dyDescent="0.3">
      <c r="C5023" s="54"/>
      <c r="N5023" s="33"/>
    </row>
    <row r="5024" spans="3:14" x14ac:dyDescent="0.3">
      <c r="C5024" s="54"/>
      <c r="N5024" s="33"/>
    </row>
    <row r="5025" spans="3:14" x14ac:dyDescent="0.3">
      <c r="C5025" s="54"/>
      <c r="N5025" s="33"/>
    </row>
    <row r="5026" spans="3:14" x14ac:dyDescent="0.3">
      <c r="C5026" s="54"/>
      <c r="N5026" s="33"/>
    </row>
    <row r="5027" spans="3:14" x14ac:dyDescent="0.3">
      <c r="C5027" s="54"/>
      <c r="N5027" s="33"/>
    </row>
    <row r="5028" spans="3:14" x14ac:dyDescent="0.3">
      <c r="C5028" s="54"/>
      <c r="N5028" s="33"/>
    </row>
    <row r="5029" spans="3:14" x14ac:dyDescent="0.3">
      <c r="C5029" s="54"/>
      <c r="N5029" s="33"/>
    </row>
    <row r="5030" spans="3:14" x14ac:dyDescent="0.3">
      <c r="C5030" s="54"/>
      <c r="N5030" s="33"/>
    </row>
    <row r="5031" spans="3:14" x14ac:dyDescent="0.3">
      <c r="C5031" s="54"/>
      <c r="N5031" s="33"/>
    </row>
    <row r="5032" spans="3:14" x14ac:dyDescent="0.3">
      <c r="C5032" s="54"/>
      <c r="N5032" s="33"/>
    </row>
    <row r="5033" spans="3:14" x14ac:dyDescent="0.3">
      <c r="C5033" s="54"/>
      <c r="N5033" s="33"/>
    </row>
    <row r="5034" spans="3:14" x14ac:dyDescent="0.3">
      <c r="C5034" s="54"/>
      <c r="N5034" s="33"/>
    </row>
    <row r="5035" spans="3:14" x14ac:dyDescent="0.3">
      <c r="C5035" s="54"/>
      <c r="N5035" s="33"/>
    </row>
    <row r="5036" spans="3:14" x14ac:dyDescent="0.3">
      <c r="C5036" s="54"/>
      <c r="N5036" s="33"/>
    </row>
    <row r="5037" spans="3:14" x14ac:dyDescent="0.3">
      <c r="C5037" s="54"/>
      <c r="N5037" s="33"/>
    </row>
    <row r="5038" spans="3:14" x14ac:dyDescent="0.3">
      <c r="C5038" s="54"/>
      <c r="N5038" s="33"/>
    </row>
    <row r="5039" spans="3:14" x14ac:dyDescent="0.3">
      <c r="C5039" s="54"/>
      <c r="N5039" s="33"/>
    </row>
    <row r="5040" spans="3:14" x14ac:dyDescent="0.3">
      <c r="C5040" s="54"/>
      <c r="N5040" s="33"/>
    </row>
    <row r="5041" spans="3:14" x14ac:dyDescent="0.3">
      <c r="C5041" s="54"/>
      <c r="N5041" s="33"/>
    </row>
    <row r="5042" spans="3:14" x14ac:dyDescent="0.3">
      <c r="C5042" s="54"/>
      <c r="N5042" s="33"/>
    </row>
    <row r="5043" spans="3:14" x14ac:dyDescent="0.3">
      <c r="C5043" s="54"/>
      <c r="N5043" s="33"/>
    </row>
    <row r="5044" spans="3:14" x14ac:dyDescent="0.3">
      <c r="C5044" s="54"/>
      <c r="N5044" s="33"/>
    </row>
    <row r="5045" spans="3:14" x14ac:dyDescent="0.3">
      <c r="C5045" s="54"/>
      <c r="N5045" s="33"/>
    </row>
    <row r="5046" spans="3:14" x14ac:dyDescent="0.3">
      <c r="C5046" s="54"/>
      <c r="N5046" s="33"/>
    </row>
    <row r="5047" spans="3:14" x14ac:dyDescent="0.3">
      <c r="C5047" s="54"/>
      <c r="N5047" s="33"/>
    </row>
    <row r="5048" spans="3:14" x14ac:dyDescent="0.3">
      <c r="C5048" s="54"/>
      <c r="N5048" s="33"/>
    </row>
    <row r="5049" spans="3:14" x14ac:dyDescent="0.3">
      <c r="C5049" s="54"/>
      <c r="N5049" s="33"/>
    </row>
    <row r="5050" spans="3:14" x14ac:dyDescent="0.3">
      <c r="C5050" s="54"/>
      <c r="N5050" s="33"/>
    </row>
    <row r="5051" spans="3:14" x14ac:dyDescent="0.3">
      <c r="C5051" s="54"/>
      <c r="N5051" s="33"/>
    </row>
    <row r="5052" spans="3:14" x14ac:dyDescent="0.3">
      <c r="C5052" s="54"/>
      <c r="N5052" s="33"/>
    </row>
    <row r="5053" spans="3:14" x14ac:dyDescent="0.3">
      <c r="C5053" s="54"/>
      <c r="N5053" s="33"/>
    </row>
    <row r="5054" spans="3:14" x14ac:dyDescent="0.3">
      <c r="C5054" s="54"/>
      <c r="N5054" s="33"/>
    </row>
    <row r="5055" spans="3:14" x14ac:dyDescent="0.3">
      <c r="C5055" s="54"/>
      <c r="N5055" s="33"/>
    </row>
    <row r="5056" spans="3:14" x14ac:dyDescent="0.3">
      <c r="C5056" s="54"/>
      <c r="N5056" s="33"/>
    </row>
    <row r="5057" spans="3:14" x14ac:dyDescent="0.3">
      <c r="C5057" s="54"/>
      <c r="N5057" s="33"/>
    </row>
    <row r="5058" spans="3:14" x14ac:dyDescent="0.3">
      <c r="C5058" s="54"/>
      <c r="N5058" s="33"/>
    </row>
    <row r="5059" spans="3:14" x14ac:dyDescent="0.3">
      <c r="C5059" s="54"/>
      <c r="N5059" s="33"/>
    </row>
    <row r="5060" spans="3:14" x14ac:dyDescent="0.3">
      <c r="C5060" s="54"/>
      <c r="N5060" s="33"/>
    </row>
    <row r="5061" spans="3:14" x14ac:dyDescent="0.3">
      <c r="C5061" s="54"/>
      <c r="N5061" s="33"/>
    </row>
    <row r="5062" spans="3:14" x14ac:dyDescent="0.3">
      <c r="C5062" s="54"/>
      <c r="N5062" s="33"/>
    </row>
    <row r="5063" spans="3:14" x14ac:dyDescent="0.3">
      <c r="C5063" s="54"/>
      <c r="N5063" s="33"/>
    </row>
    <row r="5064" spans="3:14" x14ac:dyDescent="0.3">
      <c r="C5064" s="54"/>
      <c r="N5064" s="33"/>
    </row>
    <row r="5065" spans="3:14" x14ac:dyDescent="0.3">
      <c r="C5065" s="54"/>
      <c r="N5065" s="33"/>
    </row>
    <row r="5066" spans="3:14" x14ac:dyDescent="0.3">
      <c r="C5066" s="54"/>
      <c r="N5066" s="33"/>
    </row>
    <row r="5067" spans="3:14" x14ac:dyDescent="0.3">
      <c r="C5067" s="54"/>
      <c r="N5067" s="33"/>
    </row>
    <row r="5068" spans="3:14" x14ac:dyDescent="0.3">
      <c r="C5068" s="54"/>
      <c r="N5068" s="33"/>
    </row>
    <row r="5069" spans="3:14" x14ac:dyDescent="0.3">
      <c r="C5069" s="54"/>
      <c r="N5069" s="33"/>
    </row>
    <row r="5070" spans="3:14" x14ac:dyDescent="0.3">
      <c r="C5070" s="54"/>
      <c r="N5070" s="33"/>
    </row>
    <row r="5071" spans="3:14" x14ac:dyDescent="0.3">
      <c r="C5071" s="54"/>
      <c r="N5071" s="33"/>
    </row>
    <row r="5072" spans="3:14" x14ac:dyDescent="0.3">
      <c r="C5072" s="54"/>
      <c r="N5072" s="33"/>
    </row>
    <row r="5073" spans="3:14" x14ac:dyDescent="0.3">
      <c r="C5073" s="54"/>
      <c r="N5073" s="33"/>
    </row>
    <row r="5074" spans="3:14" x14ac:dyDescent="0.3">
      <c r="C5074" s="54"/>
      <c r="N5074" s="33"/>
    </row>
    <row r="5075" spans="3:14" x14ac:dyDescent="0.3">
      <c r="C5075" s="54"/>
      <c r="N5075" s="33"/>
    </row>
    <row r="5076" spans="3:14" x14ac:dyDescent="0.3">
      <c r="C5076" s="54"/>
      <c r="N5076" s="33"/>
    </row>
    <row r="5077" spans="3:14" x14ac:dyDescent="0.3">
      <c r="C5077" s="54"/>
      <c r="N5077" s="33"/>
    </row>
    <row r="5078" spans="3:14" x14ac:dyDescent="0.3">
      <c r="C5078" s="54"/>
      <c r="N5078" s="33"/>
    </row>
    <row r="5079" spans="3:14" x14ac:dyDescent="0.3">
      <c r="C5079" s="54"/>
      <c r="N5079" s="33"/>
    </row>
    <row r="5080" spans="3:14" x14ac:dyDescent="0.3">
      <c r="C5080" s="54"/>
      <c r="N5080" s="33"/>
    </row>
    <row r="5081" spans="3:14" x14ac:dyDescent="0.3">
      <c r="C5081" s="54"/>
      <c r="N5081" s="33"/>
    </row>
    <row r="5082" spans="3:14" x14ac:dyDescent="0.3">
      <c r="C5082" s="54"/>
      <c r="N5082" s="33"/>
    </row>
    <row r="5083" spans="3:14" x14ac:dyDescent="0.3">
      <c r="C5083" s="54"/>
      <c r="N5083" s="33"/>
    </row>
    <row r="5084" spans="3:14" x14ac:dyDescent="0.3">
      <c r="C5084" s="54"/>
      <c r="N5084" s="33"/>
    </row>
    <row r="5085" spans="3:14" x14ac:dyDescent="0.3">
      <c r="C5085" s="54"/>
      <c r="N5085" s="33"/>
    </row>
    <row r="5086" spans="3:14" x14ac:dyDescent="0.3">
      <c r="C5086" s="54"/>
      <c r="N5086" s="33"/>
    </row>
    <row r="5087" spans="3:14" x14ac:dyDescent="0.3">
      <c r="C5087" s="54"/>
      <c r="N5087" s="33"/>
    </row>
    <row r="5088" spans="3:14" x14ac:dyDescent="0.3">
      <c r="C5088" s="54"/>
      <c r="N5088" s="33"/>
    </row>
    <row r="5089" spans="3:14" x14ac:dyDescent="0.3">
      <c r="C5089" s="54"/>
      <c r="N5089" s="33"/>
    </row>
    <row r="5090" spans="3:14" x14ac:dyDescent="0.3">
      <c r="C5090" s="54"/>
      <c r="N5090" s="33"/>
    </row>
    <row r="5091" spans="3:14" x14ac:dyDescent="0.3">
      <c r="C5091" s="54"/>
      <c r="N5091" s="33"/>
    </row>
    <row r="5092" spans="3:14" x14ac:dyDescent="0.3">
      <c r="C5092" s="54"/>
      <c r="N5092" s="33"/>
    </row>
    <row r="5093" spans="3:14" x14ac:dyDescent="0.3">
      <c r="C5093" s="54"/>
      <c r="N5093" s="33"/>
    </row>
    <row r="5094" spans="3:14" x14ac:dyDescent="0.3">
      <c r="C5094" s="54"/>
      <c r="N5094" s="33"/>
    </row>
    <row r="5095" spans="3:14" x14ac:dyDescent="0.3">
      <c r="C5095" s="54"/>
      <c r="N5095" s="33"/>
    </row>
    <row r="5096" spans="3:14" x14ac:dyDescent="0.3">
      <c r="C5096" s="54"/>
      <c r="N5096" s="33"/>
    </row>
    <row r="5097" spans="3:14" x14ac:dyDescent="0.3">
      <c r="C5097" s="54"/>
      <c r="N5097" s="33"/>
    </row>
    <row r="5098" spans="3:14" x14ac:dyDescent="0.3">
      <c r="C5098" s="54"/>
      <c r="N5098" s="33"/>
    </row>
    <row r="5099" spans="3:14" x14ac:dyDescent="0.3">
      <c r="C5099" s="54"/>
      <c r="N5099" s="33"/>
    </row>
    <row r="5100" spans="3:14" x14ac:dyDescent="0.3">
      <c r="C5100" s="54"/>
      <c r="N5100" s="33"/>
    </row>
    <row r="5101" spans="3:14" x14ac:dyDescent="0.3">
      <c r="C5101" s="54"/>
      <c r="N5101" s="33"/>
    </row>
    <row r="5102" spans="3:14" x14ac:dyDescent="0.3">
      <c r="C5102" s="54"/>
      <c r="N5102" s="33"/>
    </row>
    <row r="5103" spans="3:14" x14ac:dyDescent="0.3">
      <c r="C5103" s="54"/>
      <c r="N5103" s="33"/>
    </row>
    <row r="5104" spans="3:14" x14ac:dyDescent="0.3">
      <c r="C5104" s="54"/>
      <c r="N5104" s="33"/>
    </row>
    <row r="5105" spans="3:14" x14ac:dyDescent="0.3">
      <c r="C5105" s="54"/>
      <c r="N5105" s="33"/>
    </row>
    <row r="5106" spans="3:14" x14ac:dyDescent="0.3">
      <c r="C5106" s="54"/>
      <c r="N5106" s="33"/>
    </row>
    <row r="5107" spans="3:14" x14ac:dyDescent="0.3">
      <c r="C5107" s="54"/>
      <c r="N5107" s="33"/>
    </row>
    <row r="5108" spans="3:14" x14ac:dyDescent="0.3">
      <c r="C5108" s="54"/>
      <c r="N5108" s="33"/>
    </row>
    <row r="5109" spans="3:14" x14ac:dyDescent="0.3">
      <c r="C5109" s="54"/>
      <c r="N5109" s="33"/>
    </row>
    <row r="5110" spans="3:14" x14ac:dyDescent="0.3">
      <c r="C5110" s="54"/>
      <c r="N5110" s="33"/>
    </row>
    <row r="5111" spans="3:14" x14ac:dyDescent="0.3">
      <c r="C5111" s="54"/>
      <c r="N5111" s="33"/>
    </row>
    <row r="5112" spans="3:14" x14ac:dyDescent="0.3">
      <c r="C5112" s="54"/>
      <c r="N5112" s="33"/>
    </row>
    <row r="5113" spans="3:14" x14ac:dyDescent="0.3">
      <c r="C5113" s="54"/>
      <c r="N5113" s="33"/>
    </row>
    <row r="5114" spans="3:14" x14ac:dyDescent="0.3">
      <c r="C5114" s="54"/>
      <c r="N5114" s="33"/>
    </row>
    <row r="5115" spans="3:14" x14ac:dyDescent="0.3">
      <c r="C5115" s="54"/>
      <c r="N5115" s="33"/>
    </row>
    <row r="5116" spans="3:14" x14ac:dyDescent="0.3">
      <c r="C5116" s="54"/>
      <c r="N5116" s="33"/>
    </row>
    <row r="5117" spans="3:14" x14ac:dyDescent="0.3">
      <c r="C5117" s="54"/>
      <c r="N5117" s="33"/>
    </row>
    <row r="5118" spans="3:14" x14ac:dyDescent="0.3">
      <c r="C5118" s="54"/>
      <c r="N5118" s="33"/>
    </row>
    <row r="5119" spans="3:14" x14ac:dyDescent="0.3">
      <c r="C5119" s="54"/>
      <c r="N5119" s="33"/>
    </row>
    <row r="5120" spans="3:14" x14ac:dyDescent="0.3">
      <c r="C5120" s="54"/>
      <c r="N5120" s="33"/>
    </row>
    <row r="5121" spans="3:14" x14ac:dyDescent="0.3">
      <c r="C5121" s="54"/>
      <c r="N5121" s="33"/>
    </row>
    <row r="5122" spans="3:14" x14ac:dyDescent="0.3">
      <c r="C5122" s="54"/>
      <c r="N5122" s="33"/>
    </row>
    <row r="5123" spans="3:14" x14ac:dyDescent="0.3">
      <c r="C5123" s="54"/>
      <c r="N5123" s="33"/>
    </row>
    <row r="5124" spans="3:14" x14ac:dyDescent="0.3">
      <c r="C5124" s="54"/>
      <c r="N5124" s="33"/>
    </row>
    <row r="5125" spans="3:14" x14ac:dyDescent="0.3">
      <c r="C5125" s="54"/>
      <c r="N5125" s="33"/>
    </row>
    <row r="5126" spans="3:14" x14ac:dyDescent="0.3">
      <c r="C5126" s="54"/>
      <c r="N5126" s="33"/>
    </row>
    <row r="5127" spans="3:14" x14ac:dyDescent="0.3">
      <c r="C5127" s="54"/>
      <c r="N5127" s="33"/>
    </row>
    <row r="5128" spans="3:14" x14ac:dyDescent="0.3">
      <c r="C5128" s="54"/>
      <c r="N5128" s="33"/>
    </row>
    <row r="5129" spans="3:14" x14ac:dyDescent="0.3">
      <c r="C5129" s="54"/>
      <c r="N5129" s="33"/>
    </row>
    <row r="5130" spans="3:14" x14ac:dyDescent="0.3">
      <c r="C5130" s="54"/>
      <c r="N5130" s="33"/>
    </row>
    <row r="5131" spans="3:14" x14ac:dyDescent="0.3">
      <c r="C5131" s="54"/>
      <c r="N5131" s="33"/>
    </row>
    <row r="5132" spans="3:14" x14ac:dyDescent="0.3">
      <c r="C5132" s="54"/>
      <c r="N5132" s="33"/>
    </row>
    <row r="5133" spans="3:14" x14ac:dyDescent="0.3">
      <c r="C5133" s="54"/>
      <c r="N5133" s="33"/>
    </row>
    <row r="5134" spans="3:14" x14ac:dyDescent="0.3">
      <c r="C5134" s="54"/>
      <c r="N5134" s="33"/>
    </row>
    <row r="5135" spans="3:14" x14ac:dyDescent="0.3">
      <c r="C5135" s="54"/>
      <c r="N5135" s="33"/>
    </row>
    <row r="5136" spans="3:14" x14ac:dyDescent="0.3">
      <c r="C5136" s="54"/>
      <c r="N5136" s="33"/>
    </row>
    <row r="5137" spans="3:14" x14ac:dyDescent="0.3">
      <c r="C5137" s="54"/>
      <c r="N5137" s="33"/>
    </row>
    <row r="5138" spans="3:14" x14ac:dyDescent="0.3">
      <c r="C5138" s="54"/>
      <c r="N5138" s="33"/>
    </row>
    <row r="5139" spans="3:14" x14ac:dyDescent="0.3">
      <c r="C5139" s="54"/>
      <c r="N5139" s="33"/>
    </row>
    <row r="5140" spans="3:14" x14ac:dyDescent="0.3">
      <c r="C5140" s="54"/>
      <c r="N5140" s="33"/>
    </row>
    <row r="5141" spans="3:14" x14ac:dyDescent="0.3">
      <c r="C5141" s="54"/>
      <c r="N5141" s="33"/>
    </row>
    <row r="5142" spans="3:14" x14ac:dyDescent="0.3">
      <c r="C5142" s="54"/>
      <c r="N5142" s="33"/>
    </row>
    <row r="5143" spans="3:14" x14ac:dyDescent="0.3">
      <c r="C5143" s="54"/>
      <c r="N5143" s="33"/>
    </row>
    <row r="5144" spans="3:14" x14ac:dyDescent="0.3">
      <c r="C5144" s="54"/>
      <c r="N5144" s="33"/>
    </row>
    <row r="5145" spans="3:14" x14ac:dyDescent="0.3">
      <c r="C5145" s="54"/>
      <c r="N5145" s="33"/>
    </row>
    <row r="5146" spans="3:14" x14ac:dyDescent="0.3">
      <c r="C5146" s="54"/>
      <c r="N5146" s="33"/>
    </row>
    <row r="5147" spans="3:14" x14ac:dyDescent="0.3">
      <c r="C5147" s="54"/>
      <c r="N5147" s="33"/>
    </row>
    <row r="5148" spans="3:14" x14ac:dyDescent="0.3">
      <c r="C5148" s="54"/>
      <c r="N5148" s="33"/>
    </row>
    <row r="5149" spans="3:14" x14ac:dyDescent="0.3">
      <c r="C5149" s="54"/>
      <c r="N5149" s="33"/>
    </row>
    <row r="5150" spans="3:14" x14ac:dyDescent="0.3">
      <c r="C5150" s="54"/>
      <c r="N5150" s="33"/>
    </row>
    <row r="5151" spans="3:14" x14ac:dyDescent="0.3">
      <c r="C5151" s="54"/>
      <c r="N5151" s="33"/>
    </row>
    <row r="5152" spans="3:14" x14ac:dyDescent="0.3">
      <c r="C5152" s="54"/>
      <c r="N5152" s="33"/>
    </row>
    <row r="5153" spans="3:14" x14ac:dyDescent="0.3">
      <c r="C5153" s="54"/>
      <c r="N5153" s="33"/>
    </row>
    <row r="5154" spans="3:14" x14ac:dyDescent="0.3">
      <c r="C5154" s="54"/>
      <c r="N5154" s="33"/>
    </row>
    <row r="5155" spans="3:14" x14ac:dyDescent="0.3">
      <c r="C5155" s="54"/>
      <c r="N5155" s="33"/>
    </row>
    <row r="5156" spans="3:14" x14ac:dyDescent="0.3">
      <c r="C5156" s="54"/>
      <c r="N5156" s="33"/>
    </row>
    <row r="5157" spans="3:14" x14ac:dyDescent="0.3">
      <c r="C5157" s="54"/>
      <c r="N5157" s="33"/>
    </row>
    <row r="5158" spans="3:14" x14ac:dyDescent="0.3">
      <c r="C5158" s="54"/>
      <c r="N5158" s="33"/>
    </row>
    <row r="5159" spans="3:14" x14ac:dyDescent="0.3">
      <c r="C5159" s="54"/>
      <c r="N5159" s="33"/>
    </row>
    <row r="5160" spans="3:14" x14ac:dyDescent="0.3">
      <c r="C5160" s="54"/>
      <c r="N5160" s="33"/>
    </row>
    <row r="5161" spans="3:14" x14ac:dyDescent="0.3">
      <c r="C5161" s="54"/>
      <c r="N5161" s="33"/>
    </row>
    <row r="5162" spans="3:14" x14ac:dyDescent="0.3">
      <c r="C5162" s="54"/>
      <c r="N5162" s="33"/>
    </row>
    <row r="5163" spans="3:14" x14ac:dyDescent="0.3">
      <c r="C5163" s="54"/>
      <c r="N5163" s="33"/>
    </row>
    <row r="5164" spans="3:14" x14ac:dyDescent="0.3">
      <c r="C5164" s="54"/>
      <c r="N5164" s="33"/>
    </row>
    <row r="5165" spans="3:14" x14ac:dyDescent="0.3">
      <c r="C5165" s="54"/>
      <c r="N5165" s="33"/>
    </row>
    <row r="5166" spans="3:14" x14ac:dyDescent="0.3">
      <c r="C5166" s="54"/>
      <c r="N5166" s="33"/>
    </row>
    <row r="5167" spans="3:14" x14ac:dyDescent="0.3">
      <c r="C5167" s="54"/>
      <c r="N5167" s="33"/>
    </row>
    <row r="5168" spans="3:14" x14ac:dyDescent="0.3">
      <c r="C5168" s="54"/>
      <c r="N5168" s="33"/>
    </row>
    <row r="5169" spans="3:14" x14ac:dyDescent="0.3">
      <c r="C5169" s="54"/>
      <c r="N5169" s="33"/>
    </row>
    <row r="5170" spans="3:14" x14ac:dyDescent="0.3">
      <c r="C5170" s="54"/>
      <c r="N5170" s="33"/>
    </row>
    <row r="5171" spans="3:14" x14ac:dyDescent="0.3">
      <c r="C5171" s="54"/>
      <c r="N5171" s="33"/>
    </row>
    <row r="5172" spans="3:14" x14ac:dyDescent="0.3">
      <c r="C5172" s="54"/>
      <c r="N5172" s="33"/>
    </row>
    <row r="5173" spans="3:14" x14ac:dyDescent="0.3">
      <c r="C5173" s="54"/>
      <c r="N5173" s="33"/>
    </row>
    <row r="5174" spans="3:14" x14ac:dyDescent="0.3">
      <c r="C5174" s="54"/>
      <c r="N5174" s="33"/>
    </row>
    <row r="5175" spans="3:14" x14ac:dyDescent="0.3">
      <c r="C5175" s="54"/>
      <c r="N5175" s="33"/>
    </row>
    <row r="5176" spans="3:14" x14ac:dyDescent="0.3">
      <c r="C5176" s="54"/>
      <c r="N5176" s="33"/>
    </row>
    <row r="5177" spans="3:14" x14ac:dyDescent="0.3">
      <c r="C5177" s="54"/>
      <c r="N5177" s="33"/>
    </row>
    <row r="5178" spans="3:14" x14ac:dyDescent="0.3">
      <c r="C5178" s="54"/>
      <c r="N5178" s="33"/>
    </row>
    <row r="5179" spans="3:14" x14ac:dyDescent="0.3">
      <c r="C5179" s="54"/>
      <c r="N5179" s="33"/>
    </row>
    <row r="5180" spans="3:14" x14ac:dyDescent="0.3">
      <c r="C5180" s="54"/>
      <c r="N5180" s="33"/>
    </row>
    <row r="5181" spans="3:14" x14ac:dyDescent="0.3">
      <c r="C5181" s="54"/>
      <c r="N5181" s="33"/>
    </row>
    <row r="5182" spans="3:14" x14ac:dyDescent="0.3">
      <c r="C5182" s="54"/>
      <c r="N5182" s="33"/>
    </row>
    <row r="5183" spans="3:14" x14ac:dyDescent="0.3">
      <c r="C5183" s="54"/>
      <c r="N5183" s="33"/>
    </row>
    <row r="5184" spans="3:14" x14ac:dyDescent="0.3">
      <c r="C5184" s="54"/>
      <c r="N5184" s="33"/>
    </row>
    <row r="5185" spans="3:14" x14ac:dyDescent="0.3">
      <c r="C5185" s="54"/>
      <c r="N5185" s="33"/>
    </row>
    <row r="5186" spans="3:14" x14ac:dyDescent="0.3">
      <c r="C5186" s="54"/>
      <c r="N5186" s="33"/>
    </row>
    <row r="5187" spans="3:14" x14ac:dyDescent="0.3">
      <c r="C5187" s="54"/>
      <c r="N5187" s="33"/>
    </row>
    <row r="5188" spans="3:14" x14ac:dyDescent="0.3">
      <c r="C5188" s="54"/>
      <c r="N5188" s="33"/>
    </row>
    <row r="5189" spans="3:14" x14ac:dyDescent="0.3">
      <c r="C5189" s="54"/>
      <c r="N5189" s="33"/>
    </row>
    <row r="5190" spans="3:14" x14ac:dyDescent="0.3">
      <c r="C5190" s="54"/>
      <c r="N5190" s="33"/>
    </row>
    <row r="5191" spans="3:14" x14ac:dyDescent="0.3">
      <c r="C5191" s="54"/>
      <c r="N5191" s="33"/>
    </row>
    <row r="5192" spans="3:14" x14ac:dyDescent="0.3">
      <c r="C5192" s="54"/>
      <c r="N5192" s="33"/>
    </row>
    <row r="5193" spans="3:14" x14ac:dyDescent="0.3">
      <c r="C5193" s="54"/>
      <c r="N5193" s="33"/>
    </row>
    <row r="5194" spans="3:14" x14ac:dyDescent="0.3">
      <c r="C5194" s="54"/>
      <c r="N5194" s="33"/>
    </row>
    <row r="5195" spans="3:14" x14ac:dyDescent="0.3">
      <c r="C5195" s="54"/>
      <c r="N5195" s="33"/>
    </row>
    <row r="5196" spans="3:14" x14ac:dyDescent="0.3">
      <c r="C5196" s="54"/>
      <c r="N5196" s="33"/>
    </row>
    <row r="5197" spans="3:14" x14ac:dyDescent="0.3">
      <c r="C5197" s="54"/>
      <c r="N5197" s="33"/>
    </row>
    <row r="5198" spans="3:14" x14ac:dyDescent="0.3">
      <c r="C5198" s="54"/>
      <c r="N5198" s="33"/>
    </row>
    <row r="5199" spans="3:14" x14ac:dyDescent="0.3">
      <c r="C5199" s="54"/>
      <c r="N5199" s="33"/>
    </row>
    <row r="5200" spans="3:14" x14ac:dyDescent="0.3">
      <c r="C5200" s="54"/>
      <c r="N5200" s="33"/>
    </row>
    <row r="5201" spans="3:14" x14ac:dyDescent="0.3">
      <c r="C5201" s="54"/>
      <c r="N5201" s="33"/>
    </row>
    <row r="5202" spans="3:14" x14ac:dyDescent="0.3">
      <c r="C5202" s="54"/>
      <c r="N5202" s="33"/>
    </row>
    <row r="5203" spans="3:14" x14ac:dyDescent="0.3">
      <c r="C5203" s="54"/>
      <c r="N5203" s="33"/>
    </row>
    <row r="5204" spans="3:14" x14ac:dyDescent="0.3">
      <c r="C5204" s="54"/>
      <c r="N5204" s="33"/>
    </row>
    <row r="5205" spans="3:14" x14ac:dyDescent="0.3">
      <c r="C5205" s="54"/>
      <c r="N5205" s="33"/>
    </row>
    <row r="5206" spans="3:14" x14ac:dyDescent="0.3">
      <c r="C5206" s="54"/>
      <c r="N5206" s="33"/>
    </row>
    <row r="5207" spans="3:14" x14ac:dyDescent="0.3">
      <c r="C5207" s="54"/>
      <c r="N5207" s="33"/>
    </row>
    <row r="5208" spans="3:14" x14ac:dyDescent="0.3">
      <c r="C5208" s="54"/>
      <c r="N5208" s="33"/>
    </row>
    <row r="5209" spans="3:14" x14ac:dyDescent="0.3">
      <c r="C5209" s="54"/>
      <c r="N5209" s="33"/>
    </row>
    <row r="5210" spans="3:14" x14ac:dyDescent="0.3">
      <c r="C5210" s="54"/>
      <c r="N5210" s="33"/>
    </row>
    <row r="5211" spans="3:14" x14ac:dyDescent="0.3">
      <c r="C5211" s="54"/>
      <c r="N5211" s="33"/>
    </row>
    <row r="5212" spans="3:14" x14ac:dyDescent="0.3">
      <c r="C5212" s="54"/>
      <c r="N5212" s="33"/>
    </row>
    <row r="5213" spans="3:14" x14ac:dyDescent="0.3">
      <c r="C5213" s="54"/>
      <c r="N5213" s="33"/>
    </row>
    <row r="5214" spans="3:14" x14ac:dyDescent="0.3">
      <c r="C5214" s="54"/>
      <c r="N5214" s="33"/>
    </row>
    <row r="5215" spans="3:14" x14ac:dyDescent="0.3">
      <c r="C5215" s="54"/>
      <c r="N5215" s="33"/>
    </row>
    <row r="5216" spans="3:14" x14ac:dyDescent="0.3">
      <c r="C5216" s="54"/>
      <c r="N5216" s="33"/>
    </row>
    <row r="5217" spans="3:14" x14ac:dyDescent="0.3">
      <c r="C5217" s="54"/>
      <c r="N5217" s="33"/>
    </row>
    <row r="5218" spans="3:14" x14ac:dyDescent="0.3">
      <c r="C5218" s="54"/>
      <c r="N5218" s="33"/>
    </row>
    <row r="5219" spans="3:14" x14ac:dyDescent="0.3">
      <c r="C5219" s="54"/>
      <c r="N5219" s="33"/>
    </row>
    <row r="5220" spans="3:14" x14ac:dyDescent="0.3">
      <c r="C5220" s="54"/>
      <c r="N5220" s="33"/>
    </row>
    <row r="5221" spans="3:14" x14ac:dyDescent="0.3">
      <c r="C5221" s="54"/>
      <c r="N5221" s="33"/>
    </row>
    <row r="5222" spans="3:14" x14ac:dyDescent="0.3">
      <c r="C5222" s="54"/>
      <c r="N5222" s="33"/>
    </row>
    <row r="5223" spans="3:14" x14ac:dyDescent="0.3">
      <c r="C5223" s="54"/>
      <c r="N5223" s="33"/>
    </row>
    <row r="5224" spans="3:14" x14ac:dyDescent="0.3">
      <c r="C5224" s="54"/>
      <c r="N5224" s="33"/>
    </row>
    <row r="5225" spans="3:14" x14ac:dyDescent="0.3">
      <c r="C5225" s="54"/>
      <c r="N5225" s="33"/>
    </row>
    <row r="5226" spans="3:14" x14ac:dyDescent="0.3">
      <c r="C5226" s="54"/>
      <c r="N5226" s="33"/>
    </row>
    <row r="5227" spans="3:14" x14ac:dyDescent="0.3">
      <c r="C5227" s="54"/>
      <c r="N5227" s="33"/>
    </row>
    <row r="5228" spans="3:14" x14ac:dyDescent="0.3">
      <c r="C5228" s="54"/>
      <c r="N5228" s="33"/>
    </row>
    <row r="5229" spans="3:14" x14ac:dyDescent="0.3">
      <c r="C5229" s="54"/>
      <c r="N5229" s="33"/>
    </row>
    <row r="5230" spans="3:14" x14ac:dyDescent="0.3">
      <c r="C5230" s="54"/>
      <c r="N5230" s="33"/>
    </row>
    <row r="5231" spans="3:14" x14ac:dyDescent="0.3">
      <c r="C5231" s="54"/>
      <c r="N5231" s="33"/>
    </row>
    <row r="5232" spans="3:14" x14ac:dyDescent="0.3">
      <c r="C5232" s="54"/>
      <c r="N5232" s="33"/>
    </row>
    <row r="5233" spans="3:14" x14ac:dyDescent="0.3">
      <c r="C5233" s="54"/>
      <c r="N5233" s="33"/>
    </row>
    <row r="5234" spans="3:14" x14ac:dyDescent="0.3">
      <c r="C5234" s="54"/>
      <c r="N5234" s="33"/>
    </row>
    <row r="5235" spans="3:14" x14ac:dyDescent="0.3">
      <c r="C5235" s="54"/>
      <c r="N5235" s="33"/>
    </row>
    <row r="5236" spans="3:14" x14ac:dyDescent="0.3">
      <c r="C5236" s="54"/>
      <c r="N5236" s="33"/>
    </row>
    <row r="5237" spans="3:14" x14ac:dyDescent="0.3">
      <c r="C5237" s="54"/>
      <c r="N5237" s="33"/>
    </row>
    <row r="5238" spans="3:14" x14ac:dyDescent="0.3">
      <c r="C5238" s="54"/>
      <c r="N5238" s="33"/>
    </row>
    <row r="5239" spans="3:14" x14ac:dyDescent="0.3">
      <c r="C5239" s="54"/>
      <c r="N5239" s="33"/>
    </row>
    <row r="5240" spans="3:14" x14ac:dyDescent="0.3">
      <c r="C5240" s="54"/>
      <c r="N5240" s="33"/>
    </row>
    <row r="5241" spans="3:14" x14ac:dyDescent="0.3">
      <c r="C5241" s="54"/>
      <c r="N5241" s="33"/>
    </row>
    <row r="5242" spans="3:14" x14ac:dyDescent="0.3">
      <c r="C5242" s="54"/>
      <c r="N5242" s="33"/>
    </row>
    <row r="5243" spans="3:14" x14ac:dyDescent="0.3">
      <c r="C5243" s="54"/>
      <c r="N5243" s="33"/>
    </row>
    <row r="5244" spans="3:14" x14ac:dyDescent="0.3">
      <c r="C5244" s="54"/>
      <c r="N5244" s="33"/>
    </row>
    <row r="5245" spans="3:14" x14ac:dyDescent="0.3">
      <c r="C5245" s="54"/>
      <c r="N5245" s="33"/>
    </row>
    <row r="5246" spans="3:14" x14ac:dyDescent="0.3">
      <c r="C5246" s="54"/>
      <c r="N5246" s="33"/>
    </row>
    <row r="5247" spans="3:14" x14ac:dyDescent="0.3">
      <c r="C5247" s="54"/>
      <c r="N5247" s="33"/>
    </row>
    <row r="5248" spans="3:14" x14ac:dyDescent="0.3">
      <c r="C5248" s="54"/>
      <c r="N5248" s="33"/>
    </row>
    <row r="5249" spans="3:14" x14ac:dyDescent="0.3">
      <c r="C5249" s="54"/>
      <c r="N5249" s="33"/>
    </row>
    <row r="5250" spans="3:14" x14ac:dyDescent="0.3">
      <c r="C5250" s="54"/>
      <c r="N5250" s="33"/>
    </row>
    <row r="5251" spans="3:14" x14ac:dyDescent="0.3">
      <c r="C5251" s="54"/>
      <c r="N5251" s="33"/>
    </row>
    <row r="5252" spans="3:14" x14ac:dyDescent="0.3">
      <c r="C5252" s="54"/>
      <c r="N5252" s="33"/>
    </row>
    <row r="5253" spans="3:14" x14ac:dyDescent="0.3">
      <c r="C5253" s="54"/>
      <c r="N5253" s="33"/>
    </row>
    <row r="5254" spans="3:14" x14ac:dyDescent="0.3">
      <c r="C5254" s="54"/>
      <c r="N5254" s="33"/>
    </row>
    <row r="5255" spans="3:14" x14ac:dyDescent="0.3">
      <c r="C5255" s="54"/>
      <c r="N5255" s="33"/>
    </row>
    <row r="5256" spans="3:14" x14ac:dyDescent="0.3">
      <c r="C5256" s="54"/>
      <c r="N5256" s="33"/>
    </row>
    <row r="5257" spans="3:14" x14ac:dyDescent="0.3">
      <c r="C5257" s="54"/>
      <c r="N5257" s="33"/>
    </row>
    <row r="5258" spans="3:14" x14ac:dyDescent="0.3">
      <c r="C5258" s="54"/>
      <c r="N5258" s="33"/>
    </row>
    <row r="5259" spans="3:14" x14ac:dyDescent="0.3">
      <c r="C5259" s="54"/>
      <c r="N5259" s="33"/>
    </row>
    <row r="5260" spans="3:14" x14ac:dyDescent="0.3">
      <c r="C5260" s="54"/>
      <c r="N5260" s="33"/>
    </row>
    <row r="5261" spans="3:14" x14ac:dyDescent="0.3">
      <c r="C5261" s="54"/>
      <c r="N5261" s="33"/>
    </row>
    <row r="5262" spans="3:14" x14ac:dyDescent="0.3">
      <c r="C5262" s="54"/>
      <c r="N5262" s="33"/>
    </row>
    <row r="5263" spans="3:14" x14ac:dyDescent="0.3">
      <c r="C5263" s="54"/>
      <c r="N5263" s="33"/>
    </row>
    <row r="5264" spans="3:14" x14ac:dyDescent="0.3">
      <c r="C5264" s="54"/>
      <c r="N5264" s="33"/>
    </row>
    <row r="5265" spans="3:14" x14ac:dyDescent="0.3">
      <c r="C5265" s="54"/>
      <c r="N5265" s="33"/>
    </row>
    <row r="5266" spans="3:14" x14ac:dyDescent="0.3">
      <c r="C5266" s="54"/>
      <c r="N5266" s="33"/>
    </row>
    <row r="5267" spans="3:14" x14ac:dyDescent="0.3">
      <c r="C5267" s="54"/>
      <c r="N5267" s="33"/>
    </row>
    <row r="5268" spans="3:14" x14ac:dyDescent="0.3">
      <c r="C5268" s="54"/>
      <c r="N5268" s="33"/>
    </row>
    <row r="5269" spans="3:14" x14ac:dyDescent="0.3">
      <c r="C5269" s="54"/>
      <c r="N5269" s="33"/>
    </row>
    <row r="5270" spans="3:14" x14ac:dyDescent="0.3">
      <c r="C5270" s="54"/>
      <c r="N5270" s="33"/>
    </row>
    <row r="5271" spans="3:14" x14ac:dyDescent="0.3">
      <c r="C5271" s="54"/>
      <c r="N5271" s="33"/>
    </row>
    <row r="5272" spans="3:14" x14ac:dyDescent="0.3">
      <c r="C5272" s="54"/>
      <c r="N5272" s="33"/>
    </row>
    <row r="5273" spans="3:14" x14ac:dyDescent="0.3">
      <c r="C5273" s="54"/>
      <c r="N5273" s="33"/>
    </row>
    <row r="5274" spans="3:14" x14ac:dyDescent="0.3">
      <c r="C5274" s="54"/>
      <c r="N5274" s="33"/>
    </row>
    <row r="5275" spans="3:14" x14ac:dyDescent="0.3">
      <c r="C5275" s="54"/>
      <c r="N5275" s="33"/>
    </row>
    <row r="5276" spans="3:14" x14ac:dyDescent="0.3">
      <c r="C5276" s="54"/>
      <c r="N5276" s="33"/>
    </row>
    <row r="5277" spans="3:14" x14ac:dyDescent="0.3">
      <c r="C5277" s="54"/>
      <c r="N5277" s="33"/>
    </row>
    <row r="5278" spans="3:14" x14ac:dyDescent="0.3">
      <c r="C5278" s="54"/>
      <c r="N5278" s="33"/>
    </row>
    <row r="5279" spans="3:14" x14ac:dyDescent="0.3">
      <c r="C5279" s="54"/>
      <c r="N5279" s="33"/>
    </row>
    <row r="5280" spans="3:14" x14ac:dyDescent="0.3">
      <c r="C5280" s="54"/>
      <c r="N5280" s="33"/>
    </row>
    <row r="5281" spans="3:14" x14ac:dyDescent="0.3">
      <c r="C5281" s="54"/>
      <c r="N5281" s="33"/>
    </row>
    <row r="5282" spans="3:14" x14ac:dyDescent="0.3">
      <c r="C5282" s="54"/>
      <c r="N5282" s="33"/>
    </row>
    <row r="5283" spans="3:14" x14ac:dyDescent="0.3">
      <c r="C5283" s="54"/>
      <c r="N5283" s="33"/>
    </row>
    <row r="5284" spans="3:14" x14ac:dyDescent="0.3">
      <c r="C5284" s="54"/>
      <c r="N5284" s="33"/>
    </row>
    <row r="5285" spans="3:14" x14ac:dyDescent="0.3">
      <c r="C5285" s="54"/>
      <c r="N5285" s="33"/>
    </row>
    <row r="5286" spans="3:14" x14ac:dyDescent="0.3">
      <c r="C5286" s="54"/>
      <c r="N5286" s="33"/>
    </row>
    <row r="5287" spans="3:14" x14ac:dyDescent="0.3">
      <c r="C5287" s="54"/>
      <c r="N5287" s="33"/>
    </row>
    <row r="5288" spans="3:14" x14ac:dyDescent="0.3">
      <c r="C5288" s="54"/>
      <c r="N5288" s="33"/>
    </row>
    <row r="5289" spans="3:14" x14ac:dyDescent="0.3">
      <c r="C5289" s="54"/>
      <c r="N5289" s="33"/>
    </row>
    <row r="5290" spans="3:14" x14ac:dyDescent="0.3">
      <c r="C5290" s="54"/>
      <c r="N5290" s="33"/>
    </row>
    <row r="5291" spans="3:14" x14ac:dyDescent="0.3">
      <c r="C5291" s="54"/>
      <c r="N5291" s="33"/>
    </row>
    <row r="5292" spans="3:14" x14ac:dyDescent="0.3">
      <c r="C5292" s="54"/>
      <c r="N5292" s="33"/>
    </row>
    <row r="5293" spans="3:14" x14ac:dyDescent="0.3">
      <c r="C5293" s="54"/>
      <c r="N5293" s="33"/>
    </row>
    <row r="5294" spans="3:14" x14ac:dyDescent="0.3">
      <c r="C5294" s="54"/>
      <c r="N5294" s="33"/>
    </row>
    <row r="5295" spans="3:14" x14ac:dyDescent="0.3">
      <c r="C5295" s="54"/>
      <c r="N5295" s="33"/>
    </row>
    <row r="5296" spans="3:14" x14ac:dyDescent="0.3">
      <c r="C5296" s="54"/>
      <c r="N5296" s="33"/>
    </row>
    <row r="5297" spans="3:14" x14ac:dyDescent="0.3">
      <c r="C5297" s="54"/>
      <c r="N5297" s="33"/>
    </row>
    <row r="5298" spans="3:14" x14ac:dyDescent="0.3">
      <c r="C5298" s="54"/>
      <c r="N5298" s="33"/>
    </row>
    <row r="5299" spans="3:14" x14ac:dyDescent="0.3">
      <c r="C5299" s="54"/>
      <c r="N5299" s="33"/>
    </row>
    <row r="5300" spans="3:14" x14ac:dyDescent="0.3">
      <c r="C5300" s="54"/>
      <c r="N5300" s="33"/>
    </row>
    <row r="5301" spans="3:14" x14ac:dyDescent="0.3">
      <c r="C5301" s="54"/>
      <c r="N5301" s="33"/>
    </row>
    <row r="5302" spans="3:14" x14ac:dyDescent="0.3">
      <c r="C5302" s="54"/>
      <c r="N5302" s="33"/>
    </row>
    <row r="5303" spans="3:14" x14ac:dyDescent="0.3">
      <c r="C5303" s="54"/>
      <c r="N5303" s="33"/>
    </row>
    <row r="5304" spans="3:14" x14ac:dyDescent="0.3">
      <c r="C5304" s="54"/>
      <c r="N5304" s="33"/>
    </row>
    <row r="5305" spans="3:14" x14ac:dyDescent="0.3">
      <c r="C5305" s="54"/>
      <c r="N5305" s="33"/>
    </row>
    <row r="5306" spans="3:14" x14ac:dyDescent="0.3">
      <c r="C5306" s="54"/>
      <c r="N5306" s="33"/>
    </row>
    <row r="5307" spans="3:14" x14ac:dyDescent="0.3">
      <c r="C5307" s="54"/>
      <c r="N5307" s="33"/>
    </row>
    <row r="5308" spans="3:14" x14ac:dyDescent="0.3">
      <c r="C5308" s="54"/>
      <c r="N5308" s="33"/>
    </row>
    <row r="5309" spans="3:14" x14ac:dyDescent="0.3">
      <c r="C5309" s="54"/>
      <c r="N5309" s="33"/>
    </row>
    <row r="5310" spans="3:14" x14ac:dyDescent="0.3">
      <c r="C5310" s="54"/>
      <c r="N5310" s="33"/>
    </row>
    <row r="5311" spans="3:14" x14ac:dyDescent="0.3">
      <c r="C5311" s="54"/>
      <c r="N5311" s="33"/>
    </row>
    <row r="5312" spans="3:14" x14ac:dyDescent="0.3">
      <c r="C5312" s="54"/>
      <c r="N5312" s="33"/>
    </row>
    <row r="5313" spans="3:14" x14ac:dyDescent="0.3">
      <c r="C5313" s="54"/>
      <c r="N5313" s="33"/>
    </row>
    <row r="5314" spans="3:14" x14ac:dyDescent="0.3">
      <c r="C5314" s="54"/>
      <c r="N5314" s="33"/>
    </row>
    <row r="5315" spans="3:14" x14ac:dyDescent="0.3">
      <c r="C5315" s="54"/>
      <c r="N5315" s="33"/>
    </row>
    <row r="5316" spans="3:14" x14ac:dyDescent="0.3">
      <c r="C5316" s="54"/>
      <c r="N5316" s="33"/>
    </row>
    <row r="5317" spans="3:14" x14ac:dyDescent="0.3">
      <c r="C5317" s="54"/>
      <c r="N5317" s="33"/>
    </row>
    <row r="5318" spans="3:14" x14ac:dyDescent="0.3">
      <c r="C5318" s="54"/>
      <c r="N5318" s="33"/>
    </row>
    <row r="5319" spans="3:14" x14ac:dyDescent="0.3">
      <c r="C5319" s="54"/>
      <c r="N5319" s="33"/>
    </row>
    <row r="5320" spans="3:14" x14ac:dyDescent="0.3">
      <c r="C5320" s="54"/>
      <c r="N5320" s="33"/>
    </row>
    <row r="5321" spans="3:14" x14ac:dyDescent="0.3">
      <c r="C5321" s="54"/>
      <c r="N5321" s="33"/>
    </row>
    <row r="5322" spans="3:14" x14ac:dyDescent="0.3">
      <c r="C5322" s="54"/>
      <c r="N5322" s="33"/>
    </row>
    <row r="5323" spans="3:14" x14ac:dyDescent="0.3">
      <c r="C5323" s="54"/>
      <c r="N5323" s="33"/>
    </row>
    <row r="5324" spans="3:14" x14ac:dyDescent="0.3">
      <c r="C5324" s="54"/>
      <c r="N5324" s="33"/>
    </row>
    <row r="5325" spans="3:14" x14ac:dyDescent="0.3">
      <c r="C5325" s="54"/>
      <c r="N5325" s="33"/>
    </row>
    <row r="5326" spans="3:14" x14ac:dyDescent="0.3">
      <c r="C5326" s="54"/>
      <c r="N5326" s="33"/>
    </row>
    <row r="5327" spans="3:14" x14ac:dyDescent="0.3">
      <c r="C5327" s="54"/>
      <c r="N5327" s="33"/>
    </row>
    <row r="5328" spans="3:14" x14ac:dyDescent="0.3">
      <c r="C5328" s="54"/>
      <c r="N5328" s="33"/>
    </row>
    <row r="5329" spans="3:14" x14ac:dyDescent="0.3">
      <c r="C5329" s="54"/>
      <c r="N5329" s="33"/>
    </row>
    <row r="5330" spans="3:14" x14ac:dyDescent="0.3">
      <c r="C5330" s="54"/>
      <c r="N5330" s="33"/>
    </row>
    <row r="5331" spans="3:14" x14ac:dyDescent="0.3">
      <c r="C5331" s="54"/>
      <c r="N5331" s="33"/>
    </row>
    <row r="5332" spans="3:14" x14ac:dyDescent="0.3">
      <c r="C5332" s="54"/>
      <c r="N5332" s="33"/>
    </row>
    <row r="5333" spans="3:14" x14ac:dyDescent="0.3">
      <c r="C5333" s="54"/>
      <c r="N5333" s="33"/>
    </row>
    <row r="5334" spans="3:14" x14ac:dyDescent="0.3">
      <c r="C5334" s="54"/>
      <c r="N5334" s="33"/>
    </row>
    <row r="5335" spans="3:14" x14ac:dyDescent="0.3">
      <c r="C5335" s="54"/>
      <c r="N5335" s="33"/>
    </row>
    <row r="5336" spans="3:14" x14ac:dyDescent="0.3">
      <c r="C5336" s="54"/>
      <c r="N5336" s="33"/>
    </row>
    <row r="5337" spans="3:14" x14ac:dyDescent="0.3">
      <c r="C5337" s="54"/>
      <c r="N5337" s="33"/>
    </row>
    <row r="5338" spans="3:14" x14ac:dyDescent="0.3">
      <c r="C5338" s="54"/>
      <c r="N5338" s="33"/>
    </row>
    <row r="5339" spans="3:14" x14ac:dyDescent="0.3">
      <c r="C5339" s="54"/>
      <c r="N5339" s="33"/>
    </row>
    <row r="5340" spans="3:14" x14ac:dyDescent="0.3">
      <c r="C5340" s="54"/>
      <c r="N5340" s="33"/>
    </row>
    <row r="5341" spans="3:14" x14ac:dyDescent="0.3">
      <c r="C5341" s="54"/>
      <c r="N5341" s="33"/>
    </row>
    <row r="5342" spans="3:14" x14ac:dyDescent="0.3">
      <c r="C5342" s="54"/>
      <c r="N5342" s="33"/>
    </row>
    <row r="5343" spans="3:14" x14ac:dyDescent="0.3">
      <c r="C5343" s="54"/>
      <c r="N5343" s="33"/>
    </row>
    <row r="5344" spans="3:14" x14ac:dyDescent="0.3">
      <c r="C5344" s="54"/>
      <c r="N5344" s="33"/>
    </row>
    <row r="5345" spans="3:14" x14ac:dyDescent="0.3">
      <c r="C5345" s="54"/>
      <c r="N5345" s="33"/>
    </row>
    <row r="5346" spans="3:14" x14ac:dyDescent="0.3">
      <c r="C5346" s="54"/>
      <c r="N5346" s="33"/>
    </row>
    <row r="5347" spans="3:14" x14ac:dyDescent="0.3">
      <c r="C5347" s="54"/>
      <c r="N5347" s="33"/>
    </row>
    <row r="5348" spans="3:14" x14ac:dyDescent="0.3">
      <c r="C5348" s="54"/>
      <c r="N5348" s="33"/>
    </row>
    <row r="5349" spans="3:14" x14ac:dyDescent="0.3">
      <c r="C5349" s="54"/>
      <c r="N5349" s="33"/>
    </row>
    <row r="5350" spans="3:14" x14ac:dyDescent="0.3">
      <c r="C5350" s="54"/>
      <c r="N5350" s="33"/>
    </row>
    <row r="5351" spans="3:14" x14ac:dyDescent="0.3">
      <c r="C5351" s="54"/>
      <c r="N5351" s="33"/>
    </row>
    <row r="5352" spans="3:14" x14ac:dyDescent="0.3">
      <c r="C5352" s="54"/>
      <c r="N5352" s="33"/>
    </row>
    <row r="5353" spans="3:14" x14ac:dyDescent="0.3">
      <c r="C5353" s="54"/>
      <c r="N5353" s="33"/>
    </row>
    <row r="5354" spans="3:14" x14ac:dyDescent="0.3">
      <c r="C5354" s="54"/>
      <c r="N5354" s="33"/>
    </row>
    <row r="5355" spans="3:14" x14ac:dyDescent="0.3">
      <c r="C5355" s="54"/>
      <c r="N5355" s="33"/>
    </row>
    <row r="5356" spans="3:14" x14ac:dyDescent="0.3">
      <c r="C5356" s="54"/>
      <c r="N5356" s="33"/>
    </row>
    <row r="5357" spans="3:14" x14ac:dyDescent="0.3">
      <c r="C5357" s="54"/>
      <c r="N5357" s="33"/>
    </row>
    <row r="5358" spans="3:14" x14ac:dyDescent="0.3">
      <c r="C5358" s="54"/>
      <c r="N5358" s="33"/>
    </row>
    <row r="5359" spans="3:14" x14ac:dyDescent="0.3">
      <c r="C5359" s="54"/>
      <c r="N5359" s="33"/>
    </row>
    <row r="5360" spans="3:14" x14ac:dyDescent="0.3">
      <c r="C5360" s="54"/>
      <c r="N5360" s="33"/>
    </row>
    <row r="5361" spans="3:14" x14ac:dyDescent="0.3">
      <c r="C5361" s="54"/>
      <c r="N5361" s="33"/>
    </row>
    <row r="5362" spans="3:14" x14ac:dyDescent="0.3">
      <c r="C5362" s="54"/>
      <c r="N5362" s="33"/>
    </row>
    <row r="5363" spans="3:14" x14ac:dyDescent="0.3">
      <c r="C5363" s="54"/>
      <c r="N5363" s="33"/>
    </row>
    <row r="5364" spans="3:14" x14ac:dyDescent="0.3">
      <c r="C5364" s="54"/>
      <c r="N5364" s="33"/>
    </row>
    <row r="5365" spans="3:14" x14ac:dyDescent="0.3">
      <c r="C5365" s="54"/>
      <c r="N5365" s="33"/>
    </row>
    <row r="5366" spans="3:14" x14ac:dyDescent="0.3">
      <c r="C5366" s="54"/>
      <c r="N5366" s="33"/>
    </row>
    <row r="5367" spans="3:14" x14ac:dyDescent="0.3">
      <c r="C5367" s="54"/>
      <c r="N5367" s="33"/>
    </row>
    <row r="5368" spans="3:14" x14ac:dyDescent="0.3">
      <c r="C5368" s="54"/>
      <c r="N5368" s="33"/>
    </row>
    <row r="5369" spans="3:14" x14ac:dyDescent="0.3">
      <c r="C5369" s="54"/>
      <c r="N5369" s="33"/>
    </row>
    <row r="5370" spans="3:14" x14ac:dyDescent="0.3">
      <c r="C5370" s="54"/>
      <c r="N5370" s="33"/>
    </row>
    <row r="5371" spans="3:14" x14ac:dyDescent="0.3">
      <c r="C5371" s="54"/>
      <c r="N5371" s="33"/>
    </row>
    <row r="5372" spans="3:14" x14ac:dyDescent="0.3">
      <c r="C5372" s="54"/>
      <c r="N5372" s="33"/>
    </row>
    <row r="5373" spans="3:14" x14ac:dyDescent="0.3">
      <c r="C5373" s="54"/>
      <c r="N5373" s="33"/>
    </row>
    <row r="5374" spans="3:14" x14ac:dyDescent="0.3">
      <c r="C5374" s="54"/>
      <c r="N5374" s="33"/>
    </row>
    <row r="5375" spans="3:14" x14ac:dyDescent="0.3">
      <c r="C5375" s="54"/>
      <c r="N5375" s="33"/>
    </row>
    <row r="5376" spans="3:14" x14ac:dyDescent="0.3">
      <c r="C5376" s="54"/>
      <c r="N5376" s="33"/>
    </row>
    <row r="5377" spans="3:14" x14ac:dyDescent="0.3">
      <c r="C5377" s="54"/>
      <c r="N5377" s="33"/>
    </row>
    <row r="5378" spans="3:14" x14ac:dyDescent="0.3">
      <c r="C5378" s="54"/>
      <c r="N5378" s="33"/>
    </row>
    <row r="5379" spans="3:14" x14ac:dyDescent="0.3">
      <c r="C5379" s="54"/>
      <c r="N5379" s="33"/>
    </row>
    <row r="5380" spans="3:14" x14ac:dyDescent="0.3">
      <c r="C5380" s="54"/>
      <c r="N5380" s="33"/>
    </row>
    <row r="5381" spans="3:14" x14ac:dyDescent="0.3">
      <c r="C5381" s="54"/>
      <c r="N5381" s="33"/>
    </row>
    <row r="5382" spans="3:14" x14ac:dyDescent="0.3">
      <c r="C5382" s="54"/>
      <c r="N5382" s="33"/>
    </row>
    <row r="5383" spans="3:14" x14ac:dyDescent="0.3">
      <c r="C5383" s="54"/>
      <c r="N5383" s="33"/>
    </row>
    <row r="5384" spans="3:14" x14ac:dyDescent="0.3">
      <c r="C5384" s="54"/>
      <c r="N5384" s="33"/>
    </row>
    <row r="5385" spans="3:14" x14ac:dyDescent="0.3">
      <c r="C5385" s="54"/>
      <c r="N5385" s="33"/>
    </row>
    <row r="5386" spans="3:14" x14ac:dyDescent="0.3">
      <c r="C5386" s="54"/>
      <c r="N5386" s="33"/>
    </row>
    <row r="5387" spans="3:14" x14ac:dyDescent="0.3">
      <c r="C5387" s="54"/>
      <c r="N5387" s="33"/>
    </row>
    <row r="5388" spans="3:14" x14ac:dyDescent="0.3">
      <c r="C5388" s="54"/>
      <c r="N5388" s="33"/>
    </row>
    <row r="5389" spans="3:14" x14ac:dyDescent="0.3">
      <c r="C5389" s="54"/>
      <c r="N5389" s="33"/>
    </row>
    <row r="5390" spans="3:14" x14ac:dyDescent="0.3">
      <c r="C5390" s="54"/>
      <c r="N5390" s="33"/>
    </row>
    <row r="5391" spans="3:14" x14ac:dyDescent="0.3">
      <c r="C5391" s="54"/>
      <c r="N5391" s="33"/>
    </row>
    <row r="5392" spans="3:14" x14ac:dyDescent="0.3">
      <c r="C5392" s="54"/>
      <c r="N5392" s="33"/>
    </row>
    <row r="5393" spans="3:14" x14ac:dyDescent="0.3">
      <c r="C5393" s="54"/>
      <c r="N5393" s="33"/>
    </row>
    <row r="5394" spans="3:14" x14ac:dyDescent="0.3">
      <c r="C5394" s="54"/>
      <c r="N5394" s="33"/>
    </row>
    <row r="5395" spans="3:14" x14ac:dyDescent="0.3">
      <c r="C5395" s="54"/>
      <c r="N5395" s="33"/>
    </row>
    <row r="5396" spans="3:14" x14ac:dyDescent="0.3">
      <c r="C5396" s="54"/>
      <c r="N5396" s="33"/>
    </row>
    <row r="5397" spans="3:14" x14ac:dyDescent="0.3">
      <c r="C5397" s="54"/>
      <c r="N5397" s="33"/>
    </row>
    <row r="5398" spans="3:14" x14ac:dyDescent="0.3">
      <c r="C5398" s="54"/>
      <c r="N5398" s="33"/>
    </row>
    <row r="5399" spans="3:14" x14ac:dyDescent="0.3">
      <c r="C5399" s="54"/>
      <c r="N5399" s="33"/>
    </row>
    <row r="5400" spans="3:14" x14ac:dyDescent="0.3">
      <c r="C5400" s="54"/>
      <c r="N5400" s="33"/>
    </row>
    <row r="5401" spans="3:14" x14ac:dyDescent="0.3">
      <c r="C5401" s="54"/>
      <c r="N5401" s="33"/>
    </row>
    <row r="5402" spans="3:14" x14ac:dyDescent="0.3">
      <c r="C5402" s="54"/>
      <c r="N5402" s="33"/>
    </row>
    <row r="5403" spans="3:14" x14ac:dyDescent="0.3">
      <c r="C5403" s="54"/>
      <c r="N5403" s="33"/>
    </row>
    <row r="5404" spans="3:14" x14ac:dyDescent="0.3">
      <c r="C5404" s="54"/>
      <c r="N5404" s="33"/>
    </row>
    <row r="5405" spans="3:14" x14ac:dyDescent="0.3">
      <c r="C5405" s="54"/>
      <c r="N5405" s="33"/>
    </row>
    <row r="5406" spans="3:14" x14ac:dyDescent="0.3">
      <c r="C5406" s="54"/>
      <c r="N5406" s="33"/>
    </row>
    <row r="5407" spans="3:14" x14ac:dyDescent="0.3">
      <c r="C5407" s="54"/>
      <c r="N5407" s="33"/>
    </row>
    <row r="5408" spans="3:14" x14ac:dyDescent="0.3">
      <c r="C5408" s="54"/>
      <c r="N5408" s="33"/>
    </row>
    <row r="5409" spans="3:14" x14ac:dyDescent="0.3">
      <c r="C5409" s="54"/>
      <c r="N5409" s="33"/>
    </row>
    <row r="5410" spans="3:14" x14ac:dyDescent="0.3">
      <c r="C5410" s="54"/>
      <c r="N5410" s="33"/>
    </row>
    <row r="5411" spans="3:14" x14ac:dyDescent="0.3">
      <c r="C5411" s="54"/>
      <c r="N5411" s="33"/>
    </row>
    <row r="5412" spans="3:14" x14ac:dyDescent="0.3">
      <c r="C5412" s="54"/>
      <c r="N5412" s="33"/>
    </row>
    <row r="5413" spans="3:14" x14ac:dyDescent="0.3">
      <c r="C5413" s="54"/>
      <c r="N5413" s="33"/>
    </row>
    <row r="5414" spans="3:14" x14ac:dyDescent="0.3">
      <c r="C5414" s="54"/>
      <c r="N5414" s="33"/>
    </row>
    <row r="5415" spans="3:14" x14ac:dyDescent="0.3">
      <c r="C5415" s="54"/>
      <c r="N5415" s="33"/>
    </row>
    <row r="5416" spans="3:14" x14ac:dyDescent="0.3">
      <c r="C5416" s="54"/>
      <c r="N5416" s="33"/>
    </row>
    <row r="5417" spans="3:14" x14ac:dyDescent="0.3">
      <c r="C5417" s="54"/>
      <c r="N5417" s="33"/>
    </row>
    <row r="5418" spans="3:14" x14ac:dyDescent="0.3">
      <c r="C5418" s="54"/>
      <c r="N5418" s="33"/>
    </row>
    <row r="5419" spans="3:14" x14ac:dyDescent="0.3">
      <c r="C5419" s="54"/>
      <c r="N5419" s="33"/>
    </row>
    <row r="5420" spans="3:14" x14ac:dyDescent="0.3">
      <c r="C5420" s="54"/>
      <c r="N5420" s="33"/>
    </row>
    <row r="5421" spans="3:14" x14ac:dyDescent="0.3">
      <c r="C5421" s="54"/>
      <c r="N5421" s="33"/>
    </row>
    <row r="5422" spans="3:14" x14ac:dyDescent="0.3">
      <c r="C5422" s="54"/>
      <c r="N5422" s="33"/>
    </row>
    <row r="5423" spans="3:14" x14ac:dyDescent="0.3">
      <c r="C5423" s="54"/>
      <c r="N5423" s="33"/>
    </row>
    <row r="5424" spans="3:14" x14ac:dyDescent="0.3">
      <c r="C5424" s="54"/>
      <c r="N5424" s="33"/>
    </row>
    <row r="5425" spans="3:14" x14ac:dyDescent="0.3">
      <c r="C5425" s="54"/>
      <c r="N5425" s="33"/>
    </row>
    <row r="5426" spans="3:14" x14ac:dyDescent="0.3">
      <c r="C5426" s="54"/>
      <c r="N5426" s="33"/>
    </row>
    <row r="5427" spans="3:14" x14ac:dyDescent="0.3">
      <c r="C5427" s="54"/>
      <c r="N5427" s="33"/>
    </row>
    <row r="5428" spans="3:14" x14ac:dyDescent="0.3">
      <c r="C5428" s="54"/>
      <c r="N5428" s="33"/>
    </row>
    <row r="5429" spans="3:14" x14ac:dyDescent="0.3">
      <c r="C5429" s="54"/>
      <c r="N5429" s="33"/>
    </row>
    <row r="5430" spans="3:14" x14ac:dyDescent="0.3">
      <c r="C5430" s="54"/>
      <c r="N5430" s="33"/>
    </row>
    <row r="5431" spans="3:14" x14ac:dyDescent="0.3">
      <c r="C5431" s="54"/>
      <c r="N5431" s="33"/>
    </row>
    <row r="5432" spans="3:14" x14ac:dyDescent="0.3">
      <c r="C5432" s="54"/>
      <c r="N5432" s="33"/>
    </row>
    <row r="5433" spans="3:14" x14ac:dyDescent="0.3">
      <c r="C5433" s="54"/>
      <c r="N5433" s="33"/>
    </row>
    <row r="5434" spans="3:14" x14ac:dyDescent="0.3">
      <c r="C5434" s="54"/>
      <c r="N5434" s="33"/>
    </row>
    <row r="5435" spans="3:14" x14ac:dyDescent="0.3">
      <c r="C5435" s="54"/>
      <c r="N5435" s="33"/>
    </row>
    <row r="5436" spans="3:14" x14ac:dyDescent="0.3">
      <c r="C5436" s="54"/>
      <c r="N5436" s="33"/>
    </row>
    <row r="5437" spans="3:14" x14ac:dyDescent="0.3">
      <c r="C5437" s="54"/>
      <c r="N5437" s="33"/>
    </row>
    <row r="5438" spans="3:14" x14ac:dyDescent="0.3">
      <c r="C5438" s="54"/>
      <c r="N5438" s="33"/>
    </row>
    <row r="5439" spans="3:14" x14ac:dyDescent="0.3">
      <c r="C5439" s="54"/>
      <c r="N5439" s="33"/>
    </row>
    <row r="5440" spans="3:14" x14ac:dyDescent="0.3">
      <c r="C5440" s="54"/>
      <c r="N5440" s="33"/>
    </row>
    <row r="5441" spans="3:14" x14ac:dyDescent="0.3">
      <c r="C5441" s="54"/>
      <c r="N5441" s="33"/>
    </row>
    <row r="5442" spans="3:14" x14ac:dyDescent="0.3">
      <c r="C5442" s="54"/>
      <c r="N5442" s="33"/>
    </row>
    <row r="5443" spans="3:14" x14ac:dyDescent="0.3">
      <c r="C5443" s="54"/>
      <c r="N5443" s="33"/>
    </row>
    <row r="5444" spans="3:14" x14ac:dyDescent="0.3">
      <c r="C5444" s="54"/>
      <c r="N5444" s="33"/>
    </row>
    <row r="5445" spans="3:14" x14ac:dyDescent="0.3">
      <c r="C5445" s="54"/>
      <c r="N5445" s="33"/>
    </row>
    <row r="5446" spans="3:14" x14ac:dyDescent="0.3">
      <c r="C5446" s="54"/>
      <c r="N5446" s="33"/>
    </row>
    <row r="5447" spans="3:14" x14ac:dyDescent="0.3">
      <c r="C5447" s="54"/>
      <c r="N5447" s="33"/>
    </row>
    <row r="5448" spans="3:14" x14ac:dyDescent="0.3">
      <c r="C5448" s="54"/>
      <c r="N5448" s="33"/>
    </row>
    <row r="5449" spans="3:14" x14ac:dyDescent="0.3">
      <c r="C5449" s="54"/>
      <c r="N5449" s="33"/>
    </row>
    <row r="5450" spans="3:14" x14ac:dyDescent="0.3">
      <c r="C5450" s="54"/>
      <c r="N5450" s="33"/>
    </row>
    <row r="5451" spans="3:14" x14ac:dyDescent="0.3">
      <c r="C5451" s="54"/>
      <c r="N5451" s="33"/>
    </row>
    <row r="5452" spans="3:14" x14ac:dyDescent="0.3">
      <c r="C5452" s="54"/>
      <c r="N5452" s="33"/>
    </row>
    <row r="5453" spans="3:14" x14ac:dyDescent="0.3">
      <c r="C5453" s="54"/>
      <c r="N5453" s="33"/>
    </row>
    <row r="5454" spans="3:14" x14ac:dyDescent="0.3">
      <c r="C5454" s="54"/>
      <c r="N5454" s="33"/>
    </row>
    <row r="5455" spans="3:14" x14ac:dyDescent="0.3">
      <c r="C5455" s="54"/>
      <c r="N5455" s="33"/>
    </row>
    <row r="5456" spans="3:14" x14ac:dyDescent="0.3">
      <c r="C5456" s="54"/>
      <c r="N5456" s="33"/>
    </row>
    <row r="5457" spans="3:14" x14ac:dyDescent="0.3">
      <c r="C5457" s="54"/>
      <c r="N5457" s="33"/>
    </row>
    <row r="5458" spans="3:14" x14ac:dyDescent="0.3">
      <c r="C5458" s="54"/>
      <c r="N5458" s="33"/>
    </row>
    <row r="5459" spans="3:14" x14ac:dyDescent="0.3">
      <c r="C5459" s="54"/>
      <c r="N5459" s="33"/>
    </row>
    <row r="5460" spans="3:14" x14ac:dyDescent="0.3">
      <c r="C5460" s="54"/>
      <c r="N5460" s="33"/>
    </row>
    <row r="5461" spans="3:14" x14ac:dyDescent="0.3">
      <c r="C5461" s="54"/>
      <c r="N5461" s="33"/>
    </row>
    <row r="5462" spans="3:14" x14ac:dyDescent="0.3">
      <c r="C5462" s="54"/>
      <c r="N5462" s="33"/>
    </row>
    <row r="5463" spans="3:14" x14ac:dyDescent="0.3">
      <c r="C5463" s="54"/>
      <c r="N5463" s="33"/>
    </row>
    <row r="5464" spans="3:14" x14ac:dyDescent="0.3">
      <c r="C5464" s="54"/>
      <c r="N5464" s="33"/>
    </row>
    <row r="5465" spans="3:14" x14ac:dyDescent="0.3">
      <c r="C5465" s="54"/>
      <c r="N5465" s="33"/>
    </row>
    <row r="5466" spans="3:14" x14ac:dyDescent="0.3">
      <c r="C5466" s="54"/>
      <c r="N5466" s="33"/>
    </row>
    <row r="5467" spans="3:14" x14ac:dyDescent="0.3">
      <c r="C5467" s="54"/>
      <c r="N5467" s="33"/>
    </row>
    <row r="5468" spans="3:14" x14ac:dyDescent="0.3">
      <c r="C5468" s="54"/>
      <c r="N5468" s="33"/>
    </row>
    <row r="5469" spans="3:14" x14ac:dyDescent="0.3">
      <c r="C5469" s="54"/>
      <c r="N5469" s="33"/>
    </row>
    <row r="5470" spans="3:14" x14ac:dyDescent="0.3">
      <c r="C5470" s="54"/>
      <c r="N5470" s="33"/>
    </row>
    <row r="5471" spans="3:14" x14ac:dyDescent="0.3">
      <c r="C5471" s="54"/>
      <c r="N5471" s="33"/>
    </row>
    <row r="5472" spans="3:14" x14ac:dyDescent="0.3">
      <c r="C5472" s="54"/>
      <c r="N5472" s="33"/>
    </row>
    <row r="5473" spans="3:14" x14ac:dyDescent="0.3">
      <c r="C5473" s="54"/>
      <c r="N5473" s="33"/>
    </row>
    <row r="5474" spans="3:14" x14ac:dyDescent="0.3">
      <c r="C5474" s="54"/>
      <c r="N5474" s="33"/>
    </row>
    <row r="5475" spans="3:14" x14ac:dyDescent="0.3">
      <c r="C5475" s="54"/>
      <c r="N5475" s="33"/>
    </row>
    <row r="5476" spans="3:14" x14ac:dyDescent="0.3">
      <c r="C5476" s="54"/>
      <c r="N5476" s="33"/>
    </row>
    <row r="5477" spans="3:14" x14ac:dyDescent="0.3">
      <c r="C5477" s="54"/>
      <c r="N5477" s="33"/>
    </row>
    <row r="5478" spans="3:14" x14ac:dyDescent="0.3">
      <c r="C5478" s="54"/>
      <c r="N5478" s="33"/>
    </row>
    <row r="5479" spans="3:14" x14ac:dyDescent="0.3">
      <c r="C5479" s="54"/>
      <c r="N5479" s="33"/>
    </row>
    <row r="5480" spans="3:14" x14ac:dyDescent="0.3">
      <c r="C5480" s="54"/>
      <c r="N5480" s="33"/>
    </row>
    <row r="5481" spans="3:14" x14ac:dyDescent="0.3">
      <c r="C5481" s="54"/>
      <c r="N5481" s="33"/>
    </row>
    <row r="5482" spans="3:14" x14ac:dyDescent="0.3">
      <c r="C5482" s="54"/>
      <c r="N5482" s="33"/>
    </row>
    <row r="5483" spans="3:14" x14ac:dyDescent="0.3">
      <c r="C5483" s="54"/>
      <c r="N5483" s="33"/>
    </row>
    <row r="5484" spans="3:14" x14ac:dyDescent="0.3">
      <c r="C5484" s="54"/>
      <c r="N5484" s="33"/>
    </row>
    <row r="5485" spans="3:14" x14ac:dyDescent="0.3">
      <c r="C5485" s="54"/>
      <c r="N5485" s="33"/>
    </row>
    <row r="5486" spans="3:14" x14ac:dyDescent="0.3">
      <c r="C5486" s="54"/>
      <c r="N5486" s="33"/>
    </row>
    <row r="5487" spans="3:14" x14ac:dyDescent="0.3">
      <c r="C5487" s="54"/>
      <c r="N5487" s="33"/>
    </row>
    <row r="5488" spans="3:14" x14ac:dyDescent="0.3">
      <c r="C5488" s="54"/>
      <c r="N5488" s="33"/>
    </row>
    <row r="5489" spans="3:14" x14ac:dyDescent="0.3">
      <c r="C5489" s="54"/>
      <c r="N5489" s="33"/>
    </row>
    <row r="5490" spans="3:14" x14ac:dyDescent="0.3">
      <c r="C5490" s="54"/>
      <c r="N5490" s="33"/>
    </row>
    <row r="5491" spans="3:14" x14ac:dyDescent="0.3">
      <c r="C5491" s="54"/>
      <c r="N5491" s="33"/>
    </row>
    <row r="5492" spans="3:14" x14ac:dyDescent="0.3">
      <c r="C5492" s="54"/>
      <c r="N5492" s="33"/>
    </row>
    <row r="5493" spans="3:14" x14ac:dyDescent="0.3">
      <c r="C5493" s="54"/>
      <c r="N5493" s="33"/>
    </row>
    <row r="5494" spans="3:14" x14ac:dyDescent="0.3">
      <c r="C5494" s="54"/>
      <c r="N5494" s="33"/>
    </row>
    <row r="5495" spans="3:14" x14ac:dyDescent="0.3">
      <c r="C5495" s="54"/>
      <c r="N5495" s="33"/>
    </row>
    <row r="5496" spans="3:14" x14ac:dyDescent="0.3">
      <c r="C5496" s="54"/>
      <c r="N5496" s="33"/>
    </row>
    <row r="5497" spans="3:14" x14ac:dyDescent="0.3">
      <c r="C5497" s="54"/>
      <c r="N5497" s="33"/>
    </row>
    <row r="5498" spans="3:14" x14ac:dyDescent="0.3">
      <c r="C5498" s="54"/>
      <c r="N5498" s="33"/>
    </row>
    <row r="5499" spans="3:14" x14ac:dyDescent="0.3">
      <c r="C5499" s="54"/>
      <c r="N5499" s="33"/>
    </row>
    <row r="5500" spans="3:14" x14ac:dyDescent="0.3">
      <c r="C5500" s="54"/>
      <c r="N5500" s="33"/>
    </row>
    <row r="5501" spans="3:14" x14ac:dyDescent="0.3">
      <c r="C5501" s="54"/>
      <c r="N5501" s="33"/>
    </row>
    <row r="5502" spans="3:14" x14ac:dyDescent="0.3">
      <c r="C5502" s="54"/>
      <c r="N5502" s="33"/>
    </row>
    <row r="5503" spans="3:14" x14ac:dyDescent="0.3">
      <c r="C5503" s="54"/>
      <c r="N5503" s="33"/>
    </row>
    <row r="5504" spans="3:14" x14ac:dyDescent="0.3">
      <c r="C5504" s="54"/>
      <c r="N5504" s="33"/>
    </row>
    <row r="5505" spans="3:14" x14ac:dyDescent="0.3">
      <c r="C5505" s="54"/>
      <c r="N5505" s="33"/>
    </row>
    <row r="5506" spans="3:14" x14ac:dyDescent="0.3">
      <c r="C5506" s="54"/>
      <c r="N5506" s="33"/>
    </row>
    <row r="5507" spans="3:14" x14ac:dyDescent="0.3">
      <c r="C5507" s="54"/>
      <c r="N5507" s="33"/>
    </row>
    <row r="5508" spans="3:14" x14ac:dyDescent="0.3">
      <c r="C5508" s="54"/>
      <c r="N5508" s="33"/>
    </row>
    <row r="5509" spans="3:14" x14ac:dyDescent="0.3">
      <c r="C5509" s="54"/>
      <c r="N5509" s="33"/>
    </row>
    <row r="5510" spans="3:14" x14ac:dyDescent="0.3">
      <c r="C5510" s="54"/>
      <c r="N5510" s="33"/>
    </row>
    <row r="5511" spans="3:14" x14ac:dyDescent="0.3">
      <c r="C5511" s="54"/>
      <c r="N5511" s="33"/>
    </row>
    <row r="5512" spans="3:14" x14ac:dyDescent="0.3">
      <c r="C5512" s="54"/>
      <c r="N5512" s="33"/>
    </row>
    <row r="5513" spans="3:14" x14ac:dyDescent="0.3">
      <c r="C5513" s="54"/>
      <c r="N5513" s="33"/>
    </row>
    <row r="5514" spans="3:14" x14ac:dyDescent="0.3">
      <c r="C5514" s="54"/>
      <c r="N5514" s="33"/>
    </row>
    <row r="5515" spans="3:14" x14ac:dyDescent="0.3">
      <c r="C5515" s="54"/>
      <c r="N5515" s="33"/>
    </row>
    <row r="5516" spans="3:14" x14ac:dyDescent="0.3">
      <c r="C5516" s="54"/>
      <c r="N5516" s="33"/>
    </row>
    <row r="5517" spans="3:14" x14ac:dyDescent="0.3">
      <c r="C5517" s="54"/>
      <c r="N5517" s="33"/>
    </row>
    <row r="5518" spans="3:14" x14ac:dyDescent="0.3">
      <c r="C5518" s="54"/>
      <c r="N5518" s="33"/>
    </row>
    <row r="5519" spans="3:14" x14ac:dyDescent="0.3">
      <c r="C5519" s="54"/>
      <c r="N5519" s="33"/>
    </row>
    <row r="5520" spans="3:14" x14ac:dyDescent="0.3">
      <c r="C5520" s="54"/>
      <c r="N5520" s="33"/>
    </row>
    <row r="5521" spans="3:14" x14ac:dyDescent="0.3">
      <c r="C5521" s="54"/>
      <c r="N5521" s="33"/>
    </row>
    <row r="5522" spans="3:14" x14ac:dyDescent="0.3">
      <c r="C5522" s="54"/>
      <c r="N5522" s="33"/>
    </row>
    <row r="5523" spans="3:14" x14ac:dyDescent="0.3">
      <c r="C5523" s="54"/>
      <c r="N5523" s="33"/>
    </row>
    <row r="5524" spans="3:14" x14ac:dyDescent="0.3">
      <c r="C5524" s="54"/>
      <c r="N5524" s="33"/>
    </row>
    <row r="5525" spans="3:14" x14ac:dyDescent="0.3">
      <c r="C5525" s="54"/>
      <c r="N5525" s="33"/>
    </row>
    <row r="5526" spans="3:14" x14ac:dyDescent="0.3">
      <c r="C5526" s="54"/>
      <c r="N5526" s="33"/>
    </row>
    <row r="5527" spans="3:14" x14ac:dyDescent="0.3">
      <c r="C5527" s="54"/>
      <c r="N5527" s="33"/>
    </row>
    <row r="5528" spans="3:14" x14ac:dyDescent="0.3">
      <c r="C5528" s="54"/>
      <c r="N5528" s="33"/>
    </row>
    <row r="5529" spans="3:14" x14ac:dyDescent="0.3">
      <c r="C5529" s="54"/>
      <c r="N5529" s="33"/>
    </row>
    <row r="5530" spans="3:14" x14ac:dyDescent="0.3">
      <c r="C5530" s="54"/>
      <c r="N5530" s="33"/>
    </row>
    <row r="5531" spans="3:14" x14ac:dyDescent="0.3">
      <c r="C5531" s="54"/>
      <c r="N5531" s="33"/>
    </row>
    <row r="5532" spans="3:14" x14ac:dyDescent="0.3">
      <c r="C5532" s="54"/>
      <c r="N5532" s="33"/>
    </row>
    <row r="5533" spans="3:14" x14ac:dyDescent="0.3">
      <c r="C5533" s="54"/>
      <c r="N5533" s="33"/>
    </row>
    <row r="5534" spans="3:14" x14ac:dyDescent="0.3">
      <c r="C5534" s="54"/>
      <c r="N5534" s="33"/>
    </row>
    <row r="5535" spans="3:14" x14ac:dyDescent="0.3">
      <c r="C5535" s="54"/>
      <c r="N5535" s="33"/>
    </row>
    <row r="5536" spans="3:14" x14ac:dyDescent="0.3">
      <c r="C5536" s="54"/>
      <c r="N5536" s="33"/>
    </row>
    <row r="5537" spans="3:14" x14ac:dyDescent="0.3">
      <c r="C5537" s="54"/>
      <c r="N5537" s="33"/>
    </row>
    <row r="5538" spans="3:14" x14ac:dyDescent="0.3">
      <c r="C5538" s="54"/>
      <c r="N5538" s="33"/>
    </row>
    <row r="5539" spans="3:14" x14ac:dyDescent="0.3">
      <c r="C5539" s="54"/>
      <c r="N5539" s="33"/>
    </row>
    <row r="5540" spans="3:14" x14ac:dyDescent="0.3">
      <c r="C5540" s="54"/>
      <c r="N5540" s="33"/>
    </row>
    <row r="5541" spans="3:14" x14ac:dyDescent="0.3">
      <c r="C5541" s="54"/>
      <c r="N5541" s="33"/>
    </row>
    <row r="5542" spans="3:14" x14ac:dyDescent="0.3">
      <c r="C5542" s="54"/>
      <c r="N5542" s="33"/>
    </row>
    <row r="5543" spans="3:14" x14ac:dyDescent="0.3">
      <c r="C5543" s="54"/>
      <c r="N5543" s="33"/>
    </row>
    <row r="5544" spans="3:14" x14ac:dyDescent="0.3">
      <c r="C5544" s="54"/>
      <c r="N5544" s="33"/>
    </row>
    <row r="5545" spans="3:14" x14ac:dyDescent="0.3">
      <c r="C5545" s="54"/>
      <c r="N5545" s="33"/>
    </row>
    <row r="5546" spans="3:14" x14ac:dyDescent="0.3">
      <c r="C5546" s="54"/>
      <c r="N5546" s="33"/>
    </row>
    <row r="5547" spans="3:14" x14ac:dyDescent="0.3">
      <c r="C5547" s="54"/>
      <c r="N5547" s="33"/>
    </row>
    <row r="5548" spans="3:14" x14ac:dyDescent="0.3">
      <c r="C5548" s="54"/>
      <c r="N5548" s="33"/>
    </row>
    <row r="5549" spans="3:14" x14ac:dyDescent="0.3">
      <c r="C5549" s="54"/>
      <c r="N5549" s="33"/>
    </row>
    <row r="5550" spans="3:14" x14ac:dyDescent="0.3">
      <c r="C5550" s="54"/>
      <c r="N5550" s="33"/>
    </row>
    <row r="5551" spans="3:14" x14ac:dyDescent="0.3">
      <c r="C5551" s="54"/>
      <c r="N5551" s="33"/>
    </row>
    <row r="5552" spans="3:14" x14ac:dyDescent="0.3">
      <c r="C5552" s="54"/>
      <c r="N5552" s="33"/>
    </row>
    <row r="5553" spans="3:14" x14ac:dyDescent="0.3">
      <c r="C5553" s="54"/>
      <c r="N5553" s="33"/>
    </row>
    <row r="5554" spans="3:14" x14ac:dyDescent="0.3">
      <c r="C5554" s="54"/>
      <c r="N5554" s="33"/>
    </row>
    <row r="5555" spans="3:14" x14ac:dyDescent="0.3">
      <c r="C5555" s="54"/>
      <c r="N5555" s="33"/>
    </row>
    <row r="5556" spans="3:14" x14ac:dyDescent="0.3">
      <c r="C5556" s="54"/>
      <c r="N5556" s="33"/>
    </row>
    <row r="5557" spans="3:14" x14ac:dyDescent="0.3">
      <c r="C5557" s="54"/>
      <c r="N5557" s="33"/>
    </row>
    <row r="5558" spans="3:14" x14ac:dyDescent="0.3">
      <c r="C5558" s="54"/>
      <c r="N5558" s="33"/>
    </row>
    <row r="5559" spans="3:14" x14ac:dyDescent="0.3">
      <c r="C5559" s="54"/>
      <c r="N5559" s="33"/>
    </row>
    <row r="5560" spans="3:14" x14ac:dyDescent="0.3">
      <c r="C5560" s="54"/>
      <c r="N5560" s="33"/>
    </row>
    <row r="5561" spans="3:14" x14ac:dyDescent="0.3">
      <c r="C5561" s="54"/>
      <c r="N5561" s="33"/>
    </row>
    <row r="5562" spans="3:14" x14ac:dyDescent="0.3">
      <c r="C5562" s="54"/>
      <c r="N5562" s="33"/>
    </row>
    <row r="5563" spans="3:14" x14ac:dyDescent="0.3">
      <c r="C5563" s="54"/>
      <c r="N5563" s="33"/>
    </row>
    <row r="5564" spans="3:14" x14ac:dyDescent="0.3">
      <c r="C5564" s="54"/>
      <c r="N5564" s="33"/>
    </row>
    <row r="5565" spans="3:14" x14ac:dyDescent="0.3">
      <c r="C5565" s="54"/>
      <c r="N5565" s="33"/>
    </row>
    <row r="5566" spans="3:14" x14ac:dyDescent="0.3">
      <c r="C5566" s="54"/>
      <c r="N5566" s="33"/>
    </row>
    <row r="5567" spans="3:14" x14ac:dyDescent="0.3">
      <c r="C5567" s="54"/>
      <c r="N5567" s="33"/>
    </row>
    <row r="5568" spans="3:14" x14ac:dyDescent="0.3">
      <c r="C5568" s="54"/>
      <c r="N5568" s="33"/>
    </row>
    <row r="5569" spans="3:14" x14ac:dyDescent="0.3">
      <c r="C5569" s="54"/>
      <c r="N5569" s="33"/>
    </row>
    <row r="5570" spans="3:14" x14ac:dyDescent="0.3">
      <c r="C5570" s="54"/>
      <c r="N5570" s="33"/>
    </row>
    <row r="5571" spans="3:14" x14ac:dyDescent="0.3">
      <c r="C5571" s="54"/>
      <c r="N5571" s="33"/>
    </row>
    <row r="5572" spans="3:14" x14ac:dyDescent="0.3">
      <c r="C5572" s="54"/>
      <c r="N5572" s="33"/>
    </row>
    <row r="5573" spans="3:14" x14ac:dyDescent="0.3">
      <c r="C5573" s="54"/>
      <c r="N5573" s="33"/>
    </row>
    <row r="5574" spans="3:14" x14ac:dyDescent="0.3">
      <c r="C5574" s="54"/>
      <c r="N5574" s="33"/>
    </row>
    <row r="5575" spans="3:14" x14ac:dyDescent="0.3">
      <c r="C5575" s="54"/>
      <c r="N5575" s="33"/>
    </row>
    <row r="5576" spans="3:14" x14ac:dyDescent="0.3">
      <c r="C5576" s="54"/>
      <c r="N5576" s="33"/>
    </row>
    <row r="5577" spans="3:14" x14ac:dyDescent="0.3">
      <c r="C5577" s="54"/>
      <c r="N5577" s="33"/>
    </row>
    <row r="5578" spans="3:14" x14ac:dyDescent="0.3">
      <c r="C5578" s="54"/>
      <c r="N5578" s="33"/>
    </row>
    <row r="5579" spans="3:14" x14ac:dyDescent="0.3">
      <c r="C5579" s="54"/>
      <c r="N5579" s="33"/>
    </row>
    <row r="5580" spans="3:14" x14ac:dyDescent="0.3">
      <c r="C5580" s="54"/>
      <c r="N5580" s="33"/>
    </row>
    <row r="5581" spans="3:14" x14ac:dyDescent="0.3">
      <c r="C5581" s="54"/>
      <c r="N5581" s="33"/>
    </row>
    <row r="5582" spans="3:14" x14ac:dyDescent="0.3">
      <c r="C5582" s="54"/>
      <c r="N5582" s="33"/>
    </row>
    <row r="5583" spans="3:14" x14ac:dyDescent="0.3">
      <c r="C5583" s="54"/>
      <c r="N5583" s="33"/>
    </row>
    <row r="5584" spans="3:14" x14ac:dyDescent="0.3">
      <c r="C5584" s="54"/>
      <c r="N5584" s="33"/>
    </row>
    <row r="5585" spans="3:14" x14ac:dyDescent="0.3">
      <c r="C5585" s="54"/>
      <c r="N5585" s="33"/>
    </row>
    <row r="5586" spans="3:14" x14ac:dyDescent="0.3">
      <c r="C5586" s="54"/>
      <c r="N5586" s="33"/>
    </row>
    <row r="5587" spans="3:14" x14ac:dyDescent="0.3">
      <c r="C5587" s="54"/>
      <c r="N5587" s="33"/>
    </row>
    <row r="5588" spans="3:14" x14ac:dyDescent="0.3">
      <c r="C5588" s="54"/>
      <c r="N5588" s="33"/>
    </row>
    <row r="5589" spans="3:14" x14ac:dyDescent="0.3">
      <c r="C5589" s="54"/>
      <c r="N5589" s="33"/>
    </row>
    <row r="5590" spans="3:14" x14ac:dyDescent="0.3">
      <c r="C5590" s="54"/>
      <c r="N5590" s="33"/>
    </row>
    <row r="5591" spans="3:14" x14ac:dyDescent="0.3">
      <c r="C5591" s="54"/>
      <c r="N5591" s="33"/>
    </row>
    <row r="5592" spans="3:14" x14ac:dyDescent="0.3">
      <c r="C5592" s="54"/>
      <c r="N5592" s="33"/>
    </row>
    <row r="5593" spans="3:14" x14ac:dyDescent="0.3">
      <c r="C5593" s="54"/>
      <c r="N5593" s="33"/>
    </row>
    <row r="5594" spans="3:14" x14ac:dyDescent="0.3">
      <c r="C5594" s="54"/>
      <c r="N5594" s="33"/>
    </row>
    <row r="5595" spans="3:14" x14ac:dyDescent="0.3">
      <c r="C5595" s="54"/>
      <c r="N5595" s="33"/>
    </row>
    <row r="5596" spans="3:14" x14ac:dyDescent="0.3">
      <c r="C5596" s="54"/>
      <c r="N5596" s="33"/>
    </row>
    <row r="5597" spans="3:14" x14ac:dyDescent="0.3">
      <c r="C5597" s="54"/>
      <c r="N5597" s="33"/>
    </row>
    <row r="5598" spans="3:14" x14ac:dyDescent="0.3">
      <c r="C5598" s="54"/>
      <c r="N5598" s="33"/>
    </row>
    <row r="5599" spans="3:14" x14ac:dyDescent="0.3">
      <c r="C5599" s="54"/>
      <c r="N5599" s="33"/>
    </row>
    <row r="5600" spans="3:14" x14ac:dyDescent="0.3">
      <c r="C5600" s="54"/>
      <c r="N5600" s="33"/>
    </row>
    <row r="5601" spans="3:14" x14ac:dyDescent="0.3">
      <c r="C5601" s="54"/>
      <c r="N5601" s="33"/>
    </row>
    <row r="5602" spans="3:14" x14ac:dyDescent="0.3">
      <c r="C5602" s="54"/>
      <c r="N5602" s="33"/>
    </row>
    <row r="5603" spans="3:14" x14ac:dyDescent="0.3">
      <c r="C5603" s="54"/>
      <c r="N5603" s="33"/>
    </row>
    <row r="5604" spans="3:14" x14ac:dyDescent="0.3">
      <c r="C5604" s="54"/>
      <c r="N5604" s="33"/>
    </row>
    <row r="5605" spans="3:14" x14ac:dyDescent="0.3">
      <c r="C5605" s="54"/>
      <c r="N5605" s="33"/>
    </row>
    <row r="5606" spans="3:14" x14ac:dyDescent="0.3">
      <c r="C5606" s="54"/>
      <c r="N5606" s="33"/>
    </row>
    <row r="5607" spans="3:14" x14ac:dyDescent="0.3">
      <c r="C5607" s="54"/>
      <c r="N5607" s="33"/>
    </row>
    <row r="5608" spans="3:14" x14ac:dyDescent="0.3">
      <c r="C5608" s="54"/>
      <c r="N5608" s="33"/>
    </row>
    <row r="5609" spans="3:14" x14ac:dyDescent="0.3">
      <c r="C5609" s="54"/>
      <c r="N5609" s="33"/>
    </row>
    <row r="5610" spans="3:14" x14ac:dyDescent="0.3">
      <c r="C5610" s="54"/>
      <c r="N5610" s="33"/>
    </row>
    <row r="5611" spans="3:14" x14ac:dyDescent="0.3">
      <c r="C5611" s="54"/>
      <c r="N5611" s="33"/>
    </row>
    <row r="5612" spans="3:14" x14ac:dyDescent="0.3">
      <c r="C5612" s="54"/>
      <c r="N5612" s="33"/>
    </row>
    <row r="5613" spans="3:14" x14ac:dyDescent="0.3">
      <c r="C5613" s="54"/>
      <c r="N5613" s="33"/>
    </row>
    <row r="5614" spans="3:14" x14ac:dyDescent="0.3">
      <c r="C5614" s="54"/>
      <c r="N5614" s="33"/>
    </row>
    <row r="5615" spans="3:14" x14ac:dyDescent="0.3">
      <c r="C5615" s="54"/>
      <c r="N5615" s="33"/>
    </row>
    <row r="5616" spans="3:14" x14ac:dyDescent="0.3">
      <c r="C5616" s="54"/>
      <c r="N5616" s="33"/>
    </row>
    <row r="5617" spans="3:14" x14ac:dyDescent="0.3">
      <c r="C5617" s="54"/>
      <c r="N5617" s="33"/>
    </row>
    <row r="5618" spans="3:14" x14ac:dyDescent="0.3">
      <c r="C5618" s="54"/>
      <c r="N5618" s="33"/>
    </row>
    <row r="5619" spans="3:14" x14ac:dyDescent="0.3">
      <c r="C5619" s="54"/>
      <c r="N5619" s="33"/>
    </row>
    <row r="5620" spans="3:14" x14ac:dyDescent="0.3">
      <c r="C5620" s="54"/>
      <c r="N5620" s="33"/>
    </row>
    <row r="5621" spans="3:14" x14ac:dyDescent="0.3">
      <c r="C5621" s="54"/>
      <c r="N5621" s="33"/>
    </row>
    <row r="5622" spans="3:14" x14ac:dyDescent="0.3">
      <c r="C5622" s="54"/>
      <c r="N5622" s="33"/>
    </row>
    <row r="5623" spans="3:14" x14ac:dyDescent="0.3">
      <c r="C5623" s="54"/>
      <c r="N5623" s="33"/>
    </row>
    <row r="5624" spans="3:14" x14ac:dyDescent="0.3">
      <c r="C5624" s="54"/>
      <c r="N5624" s="33"/>
    </row>
    <row r="5625" spans="3:14" x14ac:dyDescent="0.3">
      <c r="C5625" s="54"/>
      <c r="N5625" s="33"/>
    </row>
    <row r="5626" spans="3:14" x14ac:dyDescent="0.3">
      <c r="C5626" s="54"/>
      <c r="N5626" s="33"/>
    </row>
    <row r="5627" spans="3:14" x14ac:dyDescent="0.3">
      <c r="C5627" s="54"/>
      <c r="N5627" s="33"/>
    </row>
    <row r="5628" spans="3:14" x14ac:dyDescent="0.3">
      <c r="C5628" s="54"/>
      <c r="N5628" s="33"/>
    </row>
    <row r="5629" spans="3:14" x14ac:dyDescent="0.3">
      <c r="C5629" s="54"/>
      <c r="N5629" s="33"/>
    </row>
    <row r="5630" spans="3:14" x14ac:dyDescent="0.3">
      <c r="C5630" s="54"/>
      <c r="N5630" s="33"/>
    </row>
    <row r="5631" spans="3:14" x14ac:dyDescent="0.3">
      <c r="C5631" s="54"/>
      <c r="N5631" s="33"/>
    </row>
    <row r="5632" spans="3:14" x14ac:dyDescent="0.3">
      <c r="C5632" s="54"/>
      <c r="N5632" s="33"/>
    </row>
    <row r="5633" spans="3:14" x14ac:dyDescent="0.3">
      <c r="C5633" s="54"/>
      <c r="N5633" s="33"/>
    </row>
    <row r="5634" spans="3:14" x14ac:dyDescent="0.3">
      <c r="C5634" s="54"/>
      <c r="N5634" s="33"/>
    </row>
    <row r="5635" spans="3:14" x14ac:dyDescent="0.3">
      <c r="C5635" s="54"/>
      <c r="N5635" s="33"/>
    </row>
    <row r="5636" spans="3:14" x14ac:dyDescent="0.3">
      <c r="C5636" s="54"/>
      <c r="N5636" s="33"/>
    </row>
    <row r="5637" spans="3:14" x14ac:dyDescent="0.3">
      <c r="C5637" s="54"/>
      <c r="N5637" s="33"/>
    </row>
    <row r="5638" spans="3:14" x14ac:dyDescent="0.3">
      <c r="C5638" s="54"/>
      <c r="N5638" s="33"/>
    </row>
    <row r="5639" spans="3:14" x14ac:dyDescent="0.3">
      <c r="C5639" s="54"/>
      <c r="N5639" s="33"/>
    </row>
    <row r="5640" spans="3:14" x14ac:dyDescent="0.3">
      <c r="C5640" s="54"/>
      <c r="N5640" s="33"/>
    </row>
    <row r="5641" spans="3:14" x14ac:dyDescent="0.3">
      <c r="C5641" s="54"/>
      <c r="N5641" s="33"/>
    </row>
    <row r="5642" spans="3:14" x14ac:dyDescent="0.3">
      <c r="C5642" s="54"/>
      <c r="N5642" s="33"/>
    </row>
    <row r="5643" spans="3:14" x14ac:dyDescent="0.3">
      <c r="C5643" s="54"/>
      <c r="N5643" s="33"/>
    </row>
    <row r="5644" spans="3:14" x14ac:dyDescent="0.3">
      <c r="C5644" s="54"/>
      <c r="N5644" s="33"/>
    </row>
    <row r="5645" spans="3:14" x14ac:dyDescent="0.3">
      <c r="C5645" s="54"/>
      <c r="N5645" s="33"/>
    </row>
    <row r="5646" spans="3:14" x14ac:dyDescent="0.3">
      <c r="C5646" s="54"/>
      <c r="N5646" s="33"/>
    </row>
    <row r="5647" spans="3:14" x14ac:dyDescent="0.3">
      <c r="C5647" s="54"/>
      <c r="N5647" s="33"/>
    </row>
    <row r="5648" spans="3:14" x14ac:dyDescent="0.3">
      <c r="C5648" s="54"/>
      <c r="N5648" s="33"/>
    </row>
    <row r="5649" spans="3:14" x14ac:dyDescent="0.3">
      <c r="C5649" s="54"/>
      <c r="N5649" s="33"/>
    </row>
    <row r="5650" spans="3:14" x14ac:dyDescent="0.3">
      <c r="C5650" s="54"/>
      <c r="N5650" s="33"/>
    </row>
    <row r="5651" spans="3:14" x14ac:dyDescent="0.3">
      <c r="C5651" s="54"/>
      <c r="N5651" s="33"/>
    </row>
    <row r="5652" spans="3:14" x14ac:dyDescent="0.3">
      <c r="C5652" s="54"/>
      <c r="N5652" s="33"/>
    </row>
    <row r="5653" spans="3:14" x14ac:dyDescent="0.3">
      <c r="C5653" s="54"/>
      <c r="N5653" s="33"/>
    </row>
    <row r="5654" spans="3:14" x14ac:dyDescent="0.3">
      <c r="C5654" s="54"/>
      <c r="N5654" s="33"/>
    </row>
    <row r="5655" spans="3:14" x14ac:dyDescent="0.3">
      <c r="C5655" s="54"/>
      <c r="N5655" s="33"/>
    </row>
    <row r="5656" spans="3:14" x14ac:dyDescent="0.3">
      <c r="C5656" s="54"/>
      <c r="N5656" s="33"/>
    </row>
    <row r="5657" spans="3:14" x14ac:dyDescent="0.3">
      <c r="C5657" s="54"/>
      <c r="N5657" s="33"/>
    </row>
    <row r="5658" spans="3:14" x14ac:dyDescent="0.3">
      <c r="C5658" s="54"/>
      <c r="N5658" s="33"/>
    </row>
    <row r="5659" spans="3:14" x14ac:dyDescent="0.3">
      <c r="C5659" s="54"/>
      <c r="N5659" s="33"/>
    </row>
    <row r="5660" spans="3:14" x14ac:dyDescent="0.3">
      <c r="C5660" s="54"/>
      <c r="N5660" s="33"/>
    </row>
    <row r="5661" spans="3:14" x14ac:dyDescent="0.3">
      <c r="C5661" s="54"/>
      <c r="N5661" s="33"/>
    </row>
    <row r="5662" spans="3:14" x14ac:dyDescent="0.3">
      <c r="C5662" s="54"/>
      <c r="N5662" s="33"/>
    </row>
    <row r="5663" spans="3:14" x14ac:dyDescent="0.3">
      <c r="C5663" s="54"/>
      <c r="N5663" s="33"/>
    </row>
    <row r="5664" spans="3:14" x14ac:dyDescent="0.3">
      <c r="C5664" s="54"/>
      <c r="N5664" s="33"/>
    </row>
    <row r="5665" spans="3:14" x14ac:dyDescent="0.3">
      <c r="C5665" s="54"/>
      <c r="N5665" s="33"/>
    </row>
    <row r="5666" spans="3:14" x14ac:dyDescent="0.3">
      <c r="C5666" s="54"/>
      <c r="N5666" s="33"/>
    </row>
    <row r="5667" spans="3:14" x14ac:dyDescent="0.3">
      <c r="C5667" s="54"/>
      <c r="N5667" s="33"/>
    </row>
    <row r="5668" spans="3:14" x14ac:dyDescent="0.3">
      <c r="C5668" s="54"/>
      <c r="N5668" s="33"/>
    </row>
    <row r="5669" spans="3:14" x14ac:dyDescent="0.3">
      <c r="C5669" s="54"/>
      <c r="N5669" s="33"/>
    </row>
    <row r="5670" spans="3:14" x14ac:dyDescent="0.3">
      <c r="C5670" s="54"/>
      <c r="N5670" s="33"/>
    </row>
    <row r="5671" spans="3:14" x14ac:dyDescent="0.3">
      <c r="C5671" s="54"/>
      <c r="N5671" s="33"/>
    </row>
    <row r="5672" spans="3:14" x14ac:dyDescent="0.3">
      <c r="C5672" s="54"/>
      <c r="N5672" s="33"/>
    </row>
    <row r="5673" spans="3:14" x14ac:dyDescent="0.3">
      <c r="C5673" s="54"/>
      <c r="N5673" s="33"/>
    </row>
    <row r="5674" spans="3:14" x14ac:dyDescent="0.3">
      <c r="C5674" s="54"/>
      <c r="N5674" s="33"/>
    </row>
    <row r="5675" spans="3:14" x14ac:dyDescent="0.3">
      <c r="C5675" s="54"/>
      <c r="N5675" s="33"/>
    </row>
    <row r="5676" spans="3:14" x14ac:dyDescent="0.3">
      <c r="C5676" s="54"/>
      <c r="N5676" s="33"/>
    </row>
    <row r="5677" spans="3:14" x14ac:dyDescent="0.3">
      <c r="C5677" s="54"/>
      <c r="N5677" s="33"/>
    </row>
    <row r="5678" spans="3:14" x14ac:dyDescent="0.3">
      <c r="C5678" s="54"/>
      <c r="N5678" s="33"/>
    </row>
    <row r="5679" spans="3:14" x14ac:dyDescent="0.3">
      <c r="C5679" s="54"/>
      <c r="N5679" s="33"/>
    </row>
    <row r="5680" spans="3:14" x14ac:dyDescent="0.3">
      <c r="C5680" s="54"/>
      <c r="N5680" s="33"/>
    </row>
    <row r="5681" spans="3:14" x14ac:dyDescent="0.3">
      <c r="C5681" s="54"/>
      <c r="N5681" s="33"/>
    </row>
    <row r="5682" spans="3:14" x14ac:dyDescent="0.3">
      <c r="C5682" s="54"/>
      <c r="N5682" s="33"/>
    </row>
    <row r="5683" spans="3:14" x14ac:dyDescent="0.3">
      <c r="C5683" s="54"/>
      <c r="N5683" s="33"/>
    </row>
    <row r="5684" spans="3:14" x14ac:dyDescent="0.3">
      <c r="C5684" s="54"/>
      <c r="N5684" s="33"/>
    </row>
    <row r="5685" spans="3:14" x14ac:dyDescent="0.3">
      <c r="C5685" s="54"/>
      <c r="N5685" s="33"/>
    </row>
    <row r="5686" spans="3:14" x14ac:dyDescent="0.3">
      <c r="C5686" s="54"/>
      <c r="N5686" s="33"/>
    </row>
    <row r="5687" spans="3:14" x14ac:dyDescent="0.3">
      <c r="C5687" s="54"/>
      <c r="N5687" s="33"/>
    </row>
    <row r="5688" spans="3:14" x14ac:dyDescent="0.3">
      <c r="C5688" s="54"/>
      <c r="N5688" s="33"/>
    </row>
    <row r="5689" spans="3:14" x14ac:dyDescent="0.3">
      <c r="C5689" s="54"/>
      <c r="N5689" s="33"/>
    </row>
    <row r="5690" spans="3:14" x14ac:dyDescent="0.3">
      <c r="C5690" s="54"/>
      <c r="N5690" s="33"/>
    </row>
    <row r="5691" spans="3:14" x14ac:dyDescent="0.3">
      <c r="C5691" s="54"/>
      <c r="N5691" s="33"/>
    </row>
    <row r="5692" spans="3:14" x14ac:dyDescent="0.3">
      <c r="C5692" s="54"/>
      <c r="N5692" s="33"/>
    </row>
    <row r="5693" spans="3:14" x14ac:dyDescent="0.3">
      <c r="C5693" s="54"/>
      <c r="N5693" s="33"/>
    </row>
    <row r="5694" spans="3:14" x14ac:dyDescent="0.3">
      <c r="C5694" s="54"/>
      <c r="N5694" s="33"/>
    </row>
    <row r="5695" spans="3:14" x14ac:dyDescent="0.3">
      <c r="C5695" s="54"/>
      <c r="N5695" s="33"/>
    </row>
    <row r="5696" spans="3:14" x14ac:dyDescent="0.3">
      <c r="C5696" s="54"/>
      <c r="N5696" s="33"/>
    </row>
    <row r="5697" spans="3:14" x14ac:dyDescent="0.3">
      <c r="C5697" s="54"/>
      <c r="N5697" s="33"/>
    </row>
    <row r="5698" spans="3:14" x14ac:dyDescent="0.3">
      <c r="C5698" s="54"/>
      <c r="N5698" s="33"/>
    </row>
    <row r="5699" spans="3:14" x14ac:dyDescent="0.3">
      <c r="C5699" s="54"/>
      <c r="N5699" s="33"/>
    </row>
    <row r="5700" spans="3:14" x14ac:dyDescent="0.3">
      <c r="C5700" s="54"/>
      <c r="N5700" s="33"/>
    </row>
    <row r="5701" spans="3:14" x14ac:dyDescent="0.3">
      <c r="C5701" s="54"/>
      <c r="N5701" s="33"/>
    </row>
    <row r="5702" spans="3:14" x14ac:dyDescent="0.3">
      <c r="C5702" s="54"/>
      <c r="N5702" s="33"/>
    </row>
    <row r="5703" spans="3:14" x14ac:dyDescent="0.3">
      <c r="C5703" s="54"/>
      <c r="N5703" s="33"/>
    </row>
    <row r="5704" spans="3:14" x14ac:dyDescent="0.3">
      <c r="C5704" s="54"/>
      <c r="N5704" s="33"/>
    </row>
    <row r="5705" spans="3:14" x14ac:dyDescent="0.3">
      <c r="C5705" s="54"/>
      <c r="N5705" s="33"/>
    </row>
    <row r="5706" spans="3:14" x14ac:dyDescent="0.3">
      <c r="C5706" s="54"/>
      <c r="N5706" s="33"/>
    </row>
    <row r="5707" spans="3:14" x14ac:dyDescent="0.3">
      <c r="C5707" s="54"/>
      <c r="N5707" s="33"/>
    </row>
    <row r="5708" spans="3:14" x14ac:dyDescent="0.3">
      <c r="C5708" s="54"/>
      <c r="N5708" s="33"/>
    </row>
    <row r="5709" spans="3:14" x14ac:dyDescent="0.3">
      <c r="C5709" s="54"/>
      <c r="N5709" s="33"/>
    </row>
    <row r="5710" spans="3:14" x14ac:dyDescent="0.3">
      <c r="C5710" s="54"/>
      <c r="N5710" s="33"/>
    </row>
    <row r="5711" spans="3:14" x14ac:dyDescent="0.3">
      <c r="C5711" s="54"/>
      <c r="N5711" s="33"/>
    </row>
    <row r="5712" spans="3:14" x14ac:dyDescent="0.3">
      <c r="C5712" s="54"/>
      <c r="N5712" s="33"/>
    </row>
    <row r="5713" spans="3:14" x14ac:dyDescent="0.3">
      <c r="C5713" s="54"/>
      <c r="N5713" s="33"/>
    </row>
    <row r="5714" spans="3:14" x14ac:dyDescent="0.3">
      <c r="C5714" s="54"/>
      <c r="N5714" s="33"/>
    </row>
    <row r="5715" spans="3:14" x14ac:dyDescent="0.3">
      <c r="C5715" s="54"/>
      <c r="N5715" s="33"/>
    </row>
    <row r="5716" spans="3:14" x14ac:dyDescent="0.3">
      <c r="C5716" s="54"/>
      <c r="N5716" s="33"/>
    </row>
    <row r="5717" spans="3:14" x14ac:dyDescent="0.3">
      <c r="C5717" s="54"/>
      <c r="N5717" s="33"/>
    </row>
    <row r="5718" spans="3:14" x14ac:dyDescent="0.3">
      <c r="C5718" s="54"/>
      <c r="N5718" s="33"/>
    </row>
    <row r="5719" spans="3:14" x14ac:dyDescent="0.3">
      <c r="C5719" s="54"/>
      <c r="N5719" s="33"/>
    </row>
    <row r="5720" spans="3:14" x14ac:dyDescent="0.3">
      <c r="C5720" s="54"/>
      <c r="N5720" s="33"/>
    </row>
    <row r="5721" spans="3:14" x14ac:dyDescent="0.3">
      <c r="C5721" s="54"/>
      <c r="N5721" s="33"/>
    </row>
    <row r="5722" spans="3:14" x14ac:dyDescent="0.3">
      <c r="C5722" s="54"/>
      <c r="N5722" s="33"/>
    </row>
    <row r="5723" spans="3:14" x14ac:dyDescent="0.3">
      <c r="C5723" s="54"/>
      <c r="N5723" s="33"/>
    </row>
    <row r="5724" spans="3:14" x14ac:dyDescent="0.3">
      <c r="C5724" s="54"/>
      <c r="N5724" s="33"/>
    </row>
    <row r="5725" spans="3:14" x14ac:dyDescent="0.3">
      <c r="C5725" s="54"/>
      <c r="N5725" s="33"/>
    </row>
    <row r="5726" spans="3:14" x14ac:dyDescent="0.3">
      <c r="C5726" s="54"/>
      <c r="N5726" s="33"/>
    </row>
    <row r="5727" spans="3:14" x14ac:dyDescent="0.3">
      <c r="C5727" s="54"/>
      <c r="N5727" s="33"/>
    </row>
    <row r="5728" spans="3:14" x14ac:dyDescent="0.3">
      <c r="C5728" s="54"/>
      <c r="N5728" s="33"/>
    </row>
    <row r="5729" spans="3:14" x14ac:dyDescent="0.3">
      <c r="C5729" s="54"/>
      <c r="N5729" s="33"/>
    </row>
    <row r="5730" spans="3:14" x14ac:dyDescent="0.3">
      <c r="C5730" s="54"/>
      <c r="N5730" s="33"/>
    </row>
    <row r="5731" spans="3:14" x14ac:dyDescent="0.3">
      <c r="C5731" s="54"/>
      <c r="N5731" s="33"/>
    </row>
    <row r="5732" spans="3:14" x14ac:dyDescent="0.3">
      <c r="C5732" s="54"/>
      <c r="N5732" s="33"/>
    </row>
    <row r="5733" spans="3:14" x14ac:dyDescent="0.3">
      <c r="C5733" s="54"/>
      <c r="N5733" s="33"/>
    </row>
    <row r="5734" spans="3:14" x14ac:dyDescent="0.3">
      <c r="C5734" s="54"/>
      <c r="N5734" s="33"/>
    </row>
    <row r="5735" spans="3:14" x14ac:dyDescent="0.3">
      <c r="C5735" s="54"/>
      <c r="N5735" s="33"/>
    </row>
    <row r="5736" spans="3:14" x14ac:dyDescent="0.3">
      <c r="C5736" s="54"/>
      <c r="N5736" s="33"/>
    </row>
    <row r="5737" spans="3:14" x14ac:dyDescent="0.3">
      <c r="C5737" s="54"/>
      <c r="N5737" s="33"/>
    </row>
    <row r="5738" spans="3:14" x14ac:dyDescent="0.3">
      <c r="C5738" s="54"/>
      <c r="N5738" s="33"/>
    </row>
    <row r="5739" spans="3:14" x14ac:dyDescent="0.3">
      <c r="C5739" s="54"/>
      <c r="N5739" s="33"/>
    </row>
    <row r="5740" spans="3:14" x14ac:dyDescent="0.3">
      <c r="C5740" s="54"/>
      <c r="N5740" s="33"/>
    </row>
    <row r="5741" spans="3:14" x14ac:dyDescent="0.3">
      <c r="C5741" s="54"/>
      <c r="N5741" s="33"/>
    </row>
    <row r="5742" spans="3:14" x14ac:dyDescent="0.3">
      <c r="C5742" s="54"/>
      <c r="N5742" s="33"/>
    </row>
    <row r="5743" spans="3:14" x14ac:dyDescent="0.3">
      <c r="C5743" s="54"/>
      <c r="N5743" s="33"/>
    </row>
    <row r="5744" spans="3:14" x14ac:dyDescent="0.3">
      <c r="C5744" s="54"/>
      <c r="N5744" s="33"/>
    </row>
    <row r="5745" spans="3:14" x14ac:dyDescent="0.3">
      <c r="C5745" s="54"/>
      <c r="N5745" s="33"/>
    </row>
    <row r="5746" spans="3:14" x14ac:dyDescent="0.3">
      <c r="C5746" s="54"/>
      <c r="N5746" s="33"/>
    </row>
    <row r="5747" spans="3:14" x14ac:dyDescent="0.3">
      <c r="C5747" s="54"/>
      <c r="N5747" s="33"/>
    </row>
    <row r="5748" spans="3:14" x14ac:dyDescent="0.3">
      <c r="C5748" s="54"/>
      <c r="N5748" s="33"/>
    </row>
    <row r="5749" spans="3:14" x14ac:dyDescent="0.3">
      <c r="C5749" s="54"/>
      <c r="N5749" s="33"/>
    </row>
    <row r="5750" spans="3:14" x14ac:dyDescent="0.3">
      <c r="C5750" s="54"/>
      <c r="N5750" s="33"/>
    </row>
    <row r="5751" spans="3:14" x14ac:dyDescent="0.3">
      <c r="C5751" s="54"/>
      <c r="N5751" s="33"/>
    </row>
    <row r="5752" spans="3:14" x14ac:dyDescent="0.3">
      <c r="C5752" s="54"/>
      <c r="N5752" s="33"/>
    </row>
    <row r="5753" spans="3:14" x14ac:dyDescent="0.3">
      <c r="C5753" s="54"/>
      <c r="N5753" s="33"/>
    </row>
    <row r="5754" spans="3:14" x14ac:dyDescent="0.3">
      <c r="C5754" s="54"/>
      <c r="N5754" s="33"/>
    </row>
    <row r="5755" spans="3:14" x14ac:dyDescent="0.3">
      <c r="C5755" s="54"/>
      <c r="N5755" s="33"/>
    </row>
    <row r="5756" spans="3:14" x14ac:dyDescent="0.3">
      <c r="C5756" s="54"/>
      <c r="N5756" s="33"/>
    </row>
    <row r="5757" spans="3:14" x14ac:dyDescent="0.3">
      <c r="C5757" s="54"/>
      <c r="N5757" s="33"/>
    </row>
    <row r="5758" spans="3:14" x14ac:dyDescent="0.3">
      <c r="C5758" s="54"/>
      <c r="N5758" s="33"/>
    </row>
    <row r="5759" spans="3:14" x14ac:dyDescent="0.3">
      <c r="C5759" s="54"/>
      <c r="N5759" s="33"/>
    </row>
    <row r="5760" spans="3:14" x14ac:dyDescent="0.3">
      <c r="C5760" s="54"/>
      <c r="N5760" s="33"/>
    </row>
    <row r="5761" spans="3:14" x14ac:dyDescent="0.3">
      <c r="C5761" s="54"/>
      <c r="N5761" s="33"/>
    </row>
    <row r="5762" spans="3:14" x14ac:dyDescent="0.3">
      <c r="C5762" s="54"/>
      <c r="N5762" s="33"/>
    </row>
    <row r="5763" spans="3:14" x14ac:dyDescent="0.3">
      <c r="C5763" s="54"/>
      <c r="N5763" s="33"/>
    </row>
    <row r="5764" spans="3:14" x14ac:dyDescent="0.3">
      <c r="C5764" s="54"/>
      <c r="N5764" s="33"/>
    </row>
    <row r="5765" spans="3:14" x14ac:dyDescent="0.3">
      <c r="C5765" s="54"/>
      <c r="N5765" s="33"/>
    </row>
    <row r="5766" spans="3:14" x14ac:dyDescent="0.3">
      <c r="C5766" s="54"/>
      <c r="N5766" s="33"/>
    </row>
    <row r="5767" spans="3:14" x14ac:dyDescent="0.3">
      <c r="C5767" s="54"/>
      <c r="N5767" s="33"/>
    </row>
    <row r="5768" spans="3:14" x14ac:dyDescent="0.3">
      <c r="C5768" s="54"/>
      <c r="N5768" s="33"/>
    </row>
    <row r="5769" spans="3:14" x14ac:dyDescent="0.3">
      <c r="C5769" s="54"/>
      <c r="N5769" s="33"/>
    </row>
    <row r="5770" spans="3:14" x14ac:dyDescent="0.3">
      <c r="C5770" s="54"/>
      <c r="N5770" s="33"/>
    </row>
    <row r="5771" spans="3:14" x14ac:dyDescent="0.3">
      <c r="C5771" s="54"/>
      <c r="N5771" s="33"/>
    </row>
    <row r="5772" spans="3:14" x14ac:dyDescent="0.3">
      <c r="C5772" s="54"/>
      <c r="N5772" s="33"/>
    </row>
    <row r="5773" spans="3:14" x14ac:dyDescent="0.3">
      <c r="C5773" s="54"/>
      <c r="N5773" s="33"/>
    </row>
    <row r="5774" spans="3:14" x14ac:dyDescent="0.3">
      <c r="C5774" s="54"/>
      <c r="N5774" s="33"/>
    </row>
    <row r="5775" spans="3:14" x14ac:dyDescent="0.3">
      <c r="C5775" s="54"/>
      <c r="N5775" s="33"/>
    </row>
    <row r="5776" spans="3:14" x14ac:dyDescent="0.3">
      <c r="C5776" s="54"/>
      <c r="N5776" s="33"/>
    </row>
    <row r="5777" spans="3:14" x14ac:dyDescent="0.3">
      <c r="C5777" s="54"/>
      <c r="N5777" s="33"/>
    </row>
    <row r="5778" spans="3:14" x14ac:dyDescent="0.3">
      <c r="C5778" s="54"/>
      <c r="N5778" s="33"/>
    </row>
    <row r="5779" spans="3:14" x14ac:dyDescent="0.3">
      <c r="C5779" s="54"/>
      <c r="N5779" s="33"/>
    </row>
    <row r="5780" spans="3:14" x14ac:dyDescent="0.3">
      <c r="C5780" s="54"/>
      <c r="N5780" s="33"/>
    </row>
    <row r="5781" spans="3:14" x14ac:dyDescent="0.3">
      <c r="C5781" s="54"/>
      <c r="N5781" s="33"/>
    </row>
    <row r="5782" spans="3:14" x14ac:dyDescent="0.3">
      <c r="C5782" s="54"/>
      <c r="N5782" s="33"/>
    </row>
    <row r="5783" spans="3:14" x14ac:dyDescent="0.3">
      <c r="C5783" s="54"/>
      <c r="N5783" s="33"/>
    </row>
    <row r="5784" spans="3:14" x14ac:dyDescent="0.3">
      <c r="C5784" s="54"/>
      <c r="N5784" s="33"/>
    </row>
    <row r="5785" spans="3:14" x14ac:dyDescent="0.3">
      <c r="C5785" s="54"/>
      <c r="N5785" s="33"/>
    </row>
    <row r="5786" spans="3:14" x14ac:dyDescent="0.3">
      <c r="C5786" s="54"/>
      <c r="N5786" s="33"/>
    </row>
    <row r="5787" spans="3:14" x14ac:dyDescent="0.3">
      <c r="C5787" s="54"/>
      <c r="N5787" s="33"/>
    </row>
    <row r="5788" spans="3:14" x14ac:dyDescent="0.3">
      <c r="C5788" s="54"/>
      <c r="N5788" s="33"/>
    </row>
    <row r="5789" spans="3:14" x14ac:dyDescent="0.3">
      <c r="C5789" s="54"/>
      <c r="N5789" s="33"/>
    </row>
    <row r="5790" spans="3:14" x14ac:dyDescent="0.3">
      <c r="C5790" s="54"/>
      <c r="N5790" s="33"/>
    </row>
    <row r="5791" spans="3:14" x14ac:dyDescent="0.3">
      <c r="C5791" s="54"/>
      <c r="N5791" s="33"/>
    </row>
    <row r="5792" spans="3:14" x14ac:dyDescent="0.3">
      <c r="C5792" s="54"/>
      <c r="N5792" s="33"/>
    </row>
    <row r="5793" spans="3:14" x14ac:dyDescent="0.3">
      <c r="C5793" s="54"/>
      <c r="N5793" s="33"/>
    </row>
    <row r="5794" spans="3:14" x14ac:dyDescent="0.3">
      <c r="C5794" s="54"/>
      <c r="N5794" s="33"/>
    </row>
    <row r="5795" spans="3:14" x14ac:dyDescent="0.3">
      <c r="C5795" s="54"/>
      <c r="N5795" s="33"/>
    </row>
    <row r="5796" spans="3:14" x14ac:dyDescent="0.3">
      <c r="C5796" s="54"/>
      <c r="N5796" s="33"/>
    </row>
    <row r="5797" spans="3:14" x14ac:dyDescent="0.3">
      <c r="C5797" s="54"/>
      <c r="N5797" s="33"/>
    </row>
    <row r="5798" spans="3:14" x14ac:dyDescent="0.3">
      <c r="C5798" s="54"/>
      <c r="N5798" s="33"/>
    </row>
    <row r="5799" spans="3:14" x14ac:dyDescent="0.3">
      <c r="C5799" s="54"/>
      <c r="N5799" s="33"/>
    </row>
    <row r="5800" spans="3:14" x14ac:dyDescent="0.3">
      <c r="C5800" s="54"/>
      <c r="N5800" s="33"/>
    </row>
    <row r="5801" spans="3:14" x14ac:dyDescent="0.3">
      <c r="C5801" s="54"/>
      <c r="N5801" s="33"/>
    </row>
    <row r="5802" spans="3:14" x14ac:dyDescent="0.3">
      <c r="C5802" s="54"/>
      <c r="N5802" s="33"/>
    </row>
    <row r="5803" spans="3:14" x14ac:dyDescent="0.3">
      <c r="C5803" s="54"/>
      <c r="N5803" s="33"/>
    </row>
    <row r="5804" spans="3:14" x14ac:dyDescent="0.3">
      <c r="C5804" s="54"/>
      <c r="N5804" s="33"/>
    </row>
    <row r="5805" spans="3:14" x14ac:dyDescent="0.3">
      <c r="C5805" s="54"/>
      <c r="N5805" s="33"/>
    </row>
    <row r="5806" spans="3:14" x14ac:dyDescent="0.3">
      <c r="C5806" s="54"/>
      <c r="N5806" s="33"/>
    </row>
    <row r="5807" spans="3:14" x14ac:dyDescent="0.3">
      <c r="C5807" s="54"/>
      <c r="N5807" s="33"/>
    </row>
    <row r="5808" spans="3:14" x14ac:dyDescent="0.3">
      <c r="C5808" s="54"/>
      <c r="N5808" s="33"/>
    </row>
    <row r="5809" spans="3:14" x14ac:dyDescent="0.3">
      <c r="C5809" s="54"/>
      <c r="N5809" s="33"/>
    </row>
    <row r="5810" spans="3:14" x14ac:dyDescent="0.3">
      <c r="C5810" s="54"/>
      <c r="N5810" s="33"/>
    </row>
    <row r="5811" spans="3:14" x14ac:dyDescent="0.3">
      <c r="C5811" s="54"/>
      <c r="N5811" s="33"/>
    </row>
    <row r="5812" spans="3:14" x14ac:dyDescent="0.3">
      <c r="C5812" s="54"/>
      <c r="N5812" s="33"/>
    </row>
    <row r="5813" spans="3:14" x14ac:dyDescent="0.3">
      <c r="C5813" s="54"/>
      <c r="N5813" s="33"/>
    </row>
    <row r="5814" spans="3:14" x14ac:dyDescent="0.3">
      <c r="C5814" s="54"/>
      <c r="N5814" s="33"/>
    </row>
    <row r="5815" spans="3:14" x14ac:dyDescent="0.3">
      <c r="C5815" s="54"/>
      <c r="N5815" s="33"/>
    </row>
    <row r="5816" spans="3:14" x14ac:dyDescent="0.3">
      <c r="C5816" s="54"/>
      <c r="N5816" s="33"/>
    </row>
    <row r="5817" spans="3:14" x14ac:dyDescent="0.3">
      <c r="C5817" s="54"/>
      <c r="N5817" s="33"/>
    </row>
    <row r="5818" spans="3:14" x14ac:dyDescent="0.3">
      <c r="C5818" s="54"/>
      <c r="N5818" s="33"/>
    </row>
    <row r="5819" spans="3:14" x14ac:dyDescent="0.3">
      <c r="C5819" s="54"/>
      <c r="N5819" s="33"/>
    </row>
    <row r="5820" spans="3:14" x14ac:dyDescent="0.3">
      <c r="C5820" s="54"/>
      <c r="N5820" s="33"/>
    </row>
    <row r="5821" spans="3:14" x14ac:dyDescent="0.3">
      <c r="C5821" s="54"/>
      <c r="N5821" s="33"/>
    </row>
    <row r="5822" spans="3:14" x14ac:dyDescent="0.3">
      <c r="C5822" s="54"/>
      <c r="N5822" s="33"/>
    </row>
    <row r="5823" spans="3:14" x14ac:dyDescent="0.3">
      <c r="C5823" s="54"/>
      <c r="N5823" s="33"/>
    </row>
    <row r="5824" spans="3:14" x14ac:dyDescent="0.3">
      <c r="C5824" s="54"/>
      <c r="N5824" s="33"/>
    </row>
    <row r="5825" spans="3:14" x14ac:dyDescent="0.3">
      <c r="C5825" s="54"/>
      <c r="N5825" s="33"/>
    </row>
    <row r="5826" spans="3:14" x14ac:dyDescent="0.3">
      <c r="C5826" s="54"/>
      <c r="N5826" s="33"/>
    </row>
    <row r="5827" spans="3:14" x14ac:dyDescent="0.3">
      <c r="C5827" s="54"/>
      <c r="N5827" s="33"/>
    </row>
    <row r="5828" spans="3:14" x14ac:dyDescent="0.3">
      <c r="C5828" s="54"/>
      <c r="N5828" s="33"/>
    </row>
    <row r="5829" spans="3:14" x14ac:dyDescent="0.3">
      <c r="C5829" s="54"/>
      <c r="N5829" s="33"/>
    </row>
    <row r="5830" spans="3:14" x14ac:dyDescent="0.3">
      <c r="C5830" s="54"/>
      <c r="N5830" s="33"/>
    </row>
    <row r="5831" spans="3:14" x14ac:dyDescent="0.3">
      <c r="C5831" s="54"/>
      <c r="N5831" s="33"/>
    </row>
    <row r="5832" spans="3:14" x14ac:dyDescent="0.3">
      <c r="C5832" s="54"/>
      <c r="N5832" s="33"/>
    </row>
    <row r="5833" spans="3:14" x14ac:dyDescent="0.3">
      <c r="C5833" s="54"/>
      <c r="N5833" s="33"/>
    </row>
    <row r="5834" spans="3:14" x14ac:dyDescent="0.3">
      <c r="C5834" s="54"/>
      <c r="N5834" s="33"/>
    </row>
    <row r="5835" spans="3:14" x14ac:dyDescent="0.3">
      <c r="C5835" s="54"/>
      <c r="N5835" s="33"/>
    </row>
    <row r="5836" spans="3:14" x14ac:dyDescent="0.3">
      <c r="C5836" s="54"/>
      <c r="N5836" s="33"/>
    </row>
    <row r="5837" spans="3:14" x14ac:dyDescent="0.3">
      <c r="C5837" s="54"/>
      <c r="N5837" s="33"/>
    </row>
    <row r="5838" spans="3:14" x14ac:dyDescent="0.3">
      <c r="C5838" s="54"/>
      <c r="N5838" s="33"/>
    </row>
    <row r="5839" spans="3:14" x14ac:dyDescent="0.3">
      <c r="C5839" s="54"/>
      <c r="N5839" s="33"/>
    </row>
    <row r="5840" spans="3:14" x14ac:dyDescent="0.3">
      <c r="C5840" s="54"/>
      <c r="N5840" s="33"/>
    </row>
    <row r="5841" spans="3:14" x14ac:dyDescent="0.3">
      <c r="C5841" s="54"/>
      <c r="N5841" s="33"/>
    </row>
    <row r="5842" spans="3:14" x14ac:dyDescent="0.3">
      <c r="C5842" s="54"/>
      <c r="N5842" s="33"/>
    </row>
    <row r="5843" spans="3:14" x14ac:dyDescent="0.3">
      <c r="C5843" s="54"/>
      <c r="N5843" s="33"/>
    </row>
    <row r="5844" spans="3:14" x14ac:dyDescent="0.3">
      <c r="C5844" s="54"/>
      <c r="N5844" s="33"/>
    </row>
    <row r="5845" spans="3:14" x14ac:dyDescent="0.3">
      <c r="C5845" s="54"/>
      <c r="N5845" s="33"/>
    </row>
    <row r="5846" spans="3:14" x14ac:dyDescent="0.3">
      <c r="C5846" s="54"/>
      <c r="N5846" s="33"/>
    </row>
    <row r="5847" spans="3:14" x14ac:dyDescent="0.3">
      <c r="C5847" s="54"/>
      <c r="N5847" s="33"/>
    </row>
    <row r="5848" spans="3:14" x14ac:dyDescent="0.3">
      <c r="C5848" s="54"/>
      <c r="N5848" s="33"/>
    </row>
    <row r="5849" spans="3:14" x14ac:dyDescent="0.3">
      <c r="C5849" s="54"/>
      <c r="N5849" s="33"/>
    </row>
    <row r="5850" spans="3:14" x14ac:dyDescent="0.3">
      <c r="C5850" s="54"/>
      <c r="N5850" s="33"/>
    </row>
    <row r="5851" spans="3:14" x14ac:dyDescent="0.3">
      <c r="C5851" s="54"/>
      <c r="N5851" s="33"/>
    </row>
    <row r="5852" spans="3:14" x14ac:dyDescent="0.3">
      <c r="C5852" s="54"/>
      <c r="N5852" s="33"/>
    </row>
    <row r="5853" spans="3:14" x14ac:dyDescent="0.3">
      <c r="C5853" s="54"/>
      <c r="N5853" s="33"/>
    </row>
    <row r="5854" spans="3:14" x14ac:dyDescent="0.3">
      <c r="C5854" s="54"/>
      <c r="N5854" s="33"/>
    </row>
    <row r="5855" spans="3:14" x14ac:dyDescent="0.3">
      <c r="C5855" s="54"/>
      <c r="N5855" s="33"/>
    </row>
    <row r="5856" spans="3:14" x14ac:dyDescent="0.3">
      <c r="C5856" s="54"/>
      <c r="N5856" s="33"/>
    </row>
    <row r="5857" spans="3:14" x14ac:dyDescent="0.3">
      <c r="C5857" s="54"/>
      <c r="N5857" s="33"/>
    </row>
    <row r="5858" spans="3:14" x14ac:dyDescent="0.3">
      <c r="C5858" s="54"/>
      <c r="N5858" s="33"/>
    </row>
    <row r="5859" spans="3:14" x14ac:dyDescent="0.3">
      <c r="C5859" s="54"/>
      <c r="N5859" s="33"/>
    </row>
    <row r="5860" spans="3:14" x14ac:dyDescent="0.3">
      <c r="C5860" s="54"/>
      <c r="N5860" s="33"/>
    </row>
    <row r="5861" spans="3:14" x14ac:dyDescent="0.3">
      <c r="C5861" s="54"/>
      <c r="N5861" s="33"/>
    </row>
    <row r="5862" spans="3:14" x14ac:dyDescent="0.3">
      <c r="C5862" s="54"/>
      <c r="N5862" s="33"/>
    </row>
    <row r="5863" spans="3:14" x14ac:dyDescent="0.3">
      <c r="C5863" s="54"/>
      <c r="N5863" s="33"/>
    </row>
    <row r="5864" spans="3:14" x14ac:dyDescent="0.3">
      <c r="C5864" s="54"/>
      <c r="N5864" s="33"/>
    </row>
    <row r="5865" spans="3:14" x14ac:dyDescent="0.3">
      <c r="C5865" s="54"/>
      <c r="N5865" s="33"/>
    </row>
    <row r="5866" spans="3:14" x14ac:dyDescent="0.3">
      <c r="C5866" s="54"/>
      <c r="N5866" s="33"/>
    </row>
    <row r="5867" spans="3:14" x14ac:dyDescent="0.3">
      <c r="C5867" s="54"/>
      <c r="N5867" s="33"/>
    </row>
    <row r="5868" spans="3:14" x14ac:dyDescent="0.3">
      <c r="C5868" s="54"/>
      <c r="N5868" s="33"/>
    </row>
    <row r="5869" spans="3:14" x14ac:dyDescent="0.3">
      <c r="C5869" s="54"/>
      <c r="N5869" s="33"/>
    </row>
    <row r="5870" spans="3:14" x14ac:dyDescent="0.3">
      <c r="C5870" s="54"/>
      <c r="N5870" s="33"/>
    </row>
    <row r="5871" spans="3:14" x14ac:dyDescent="0.3">
      <c r="C5871" s="54"/>
      <c r="N5871" s="33"/>
    </row>
    <row r="5872" spans="3:14" x14ac:dyDescent="0.3">
      <c r="C5872" s="54"/>
      <c r="N5872" s="33"/>
    </row>
    <row r="5873" spans="3:14" x14ac:dyDescent="0.3">
      <c r="C5873" s="54"/>
      <c r="N5873" s="33"/>
    </row>
    <row r="5874" spans="3:14" x14ac:dyDescent="0.3">
      <c r="C5874" s="54"/>
      <c r="N5874" s="33"/>
    </row>
    <row r="5875" spans="3:14" x14ac:dyDescent="0.3">
      <c r="C5875" s="54"/>
      <c r="N5875" s="33"/>
    </row>
    <row r="5876" spans="3:14" x14ac:dyDescent="0.3">
      <c r="C5876" s="54"/>
      <c r="N5876" s="33"/>
    </row>
    <row r="5877" spans="3:14" x14ac:dyDescent="0.3">
      <c r="C5877" s="54"/>
      <c r="N5877" s="33"/>
    </row>
    <row r="5878" spans="3:14" x14ac:dyDescent="0.3">
      <c r="C5878" s="54"/>
      <c r="N5878" s="33"/>
    </row>
    <row r="5879" spans="3:14" x14ac:dyDescent="0.3">
      <c r="C5879" s="54"/>
      <c r="N5879" s="33"/>
    </row>
    <row r="5880" spans="3:14" x14ac:dyDescent="0.3">
      <c r="C5880" s="54"/>
      <c r="N5880" s="33"/>
    </row>
    <row r="5881" spans="3:14" x14ac:dyDescent="0.3">
      <c r="C5881" s="54"/>
      <c r="N5881" s="33"/>
    </row>
    <row r="5882" spans="3:14" x14ac:dyDescent="0.3">
      <c r="C5882" s="54"/>
      <c r="N5882" s="33"/>
    </row>
    <row r="5883" spans="3:14" x14ac:dyDescent="0.3">
      <c r="C5883" s="54"/>
      <c r="N5883" s="33"/>
    </row>
    <row r="5884" spans="3:14" x14ac:dyDescent="0.3">
      <c r="C5884" s="54"/>
      <c r="N5884" s="33"/>
    </row>
    <row r="5885" spans="3:14" x14ac:dyDescent="0.3">
      <c r="C5885" s="54"/>
      <c r="N5885" s="33"/>
    </row>
    <row r="5886" spans="3:14" x14ac:dyDescent="0.3">
      <c r="C5886" s="54"/>
      <c r="N5886" s="33"/>
    </row>
    <row r="5887" spans="3:14" x14ac:dyDescent="0.3">
      <c r="C5887" s="54"/>
      <c r="N5887" s="33"/>
    </row>
    <row r="5888" spans="3:14" x14ac:dyDescent="0.3">
      <c r="C5888" s="54"/>
      <c r="N5888" s="33"/>
    </row>
    <row r="5889" spans="3:14" x14ac:dyDescent="0.3">
      <c r="C5889" s="54"/>
      <c r="N5889" s="33"/>
    </row>
    <row r="5890" spans="3:14" x14ac:dyDescent="0.3">
      <c r="C5890" s="54"/>
      <c r="N5890" s="33"/>
    </row>
    <row r="5891" spans="3:14" x14ac:dyDescent="0.3">
      <c r="C5891" s="54"/>
      <c r="N5891" s="33"/>
    </row>
    <row r="5892" spans="3:14" x14ac:dyDescent="0.3">
      <c r="C5892" s="54"/>
      <c r="N5892" s="33"/>
    </row>
    <row r="5893" spans="3:14" x14ac:dyDescent="0.3">
      <c r="C5893" s="54"/>
      <c r="N5893" s="33"/>
    </row>
    <row r="5894" spans="3:14" x14ac:dyDescent="0.3">
      <c r="C5894" s="54"/>
      <c r="N5894" s="33"/>
    </row>
    <row r="5895" spans="3:14" x14ac:dyDescent="0.3">
      <c r="C5895" s="54"/>
      <c r="N5895" s="33"/>
    </row>
    <row r="5896" spans="3:14" x14ac:dyDescent="0.3">
      <c r="C5896" s="54"/>
      <c r="N5896" s="33"/>
    </row>
    <row r="5897" spans="3:14" x14ac:dyDescent="0.3">
      <c r="C5897" s="54"/>
      <c r="N5897" s="33"/>
    </row>
    <row r="5898" spans="3:14" x14ac:dyDescent="0.3">
      <c r="C5898" s="54"/>
      <c r="N5898" s="33"/>
    </row>
    <row r="5899" spans="3:14" x14ac:dyDescent="0.3">
      <c r="C5899" s="54"/>
      <c r="N5899" s="33"/>
    </row>
    <row r="5900" spans="3:14" x14ac:dyDescent="0.3">
      <c r="C5900" s="54"/>
      <c r="N5900" s="33"/>
    </row>
    <row r="5901" spans="3:14" x14ac:dyDescent="0.3">
      <c r="C5901" s="54"/>
      <c r="N5901" s="33"/>
    </row>
    <row r="5902" spans="3:14" x14ac:dyDescent="0.3">
      <c r="C5902" s="54"/>
      <c r="N5902" s="33"/>
    </row>
    <row r="5903" spans="3:14" x14ac:dyDescent="0.3">
      <c r="C5903" s="54"/>
      <c r="N5903" s="33"/>
    </row>
    <row r="5904" spans="3:14" x14ac:dyDescent="0.3">
      <c r="C5904" s="54"/>
      <c r="N5904" s="33"/>
    </row>
    <row r="5905" spans="3:14" x14ac:dyDescent="0.3">
      <c r="C5905" s="54"/>
      <c r="N5905" s="33"/>
    </row>
    <row r="5906" spans="3:14" x14ac:dyDescent="0.3">
      <c r="C5906" s="54"/>
      <c r="N5906" s="33"/>
    </row>
    <row r="5907" spans="3:14" x14ac:dyDescent="0.3">
      <c r="C5907" s="54"/>
      <c r="N5907" s="33"/>
    </row>
    <row r="5908" spans="3:14" x14ac:dyDescent="0.3">
      <c r="C5908" s="54"/>
      <c r="N5908" s="33"/>
    </row>
    <row r="5909" spans="3:14" x14ac:dyDescent="0.3">
      <c r="C5909" s="54"/>
      <c r="N5909" s="33"/>
    </row>
    <row r="5910" spans="3:14" x14ac:dyDescent="0.3">
      <c r="C5910" s="54"/>
      <c r="N5910" s="33"/>
    </row>
    <row r="5911" spans="3:14" x14ac:dyDescent="0.3">
      <c r="C5911" s="54"/>
      <c r="N5911" s="33"/>
    </row>
    <row r="5912" spans="3:14" x14ac:dyDescent="0.3">
      <c r="C5912" s="54"/>
      <c r="N5912" s="33"/>
    </row>
    <row r="5913" spans="3:14" x14ac:dyDescent="0.3">
      <c r="C5913" s="54"/>
      <c r="N5913" s="33"/>
    </row>
    <row r="5914" spans="3:14" x14ac:dyDescent="0.3">
      <c r="C5914" s="54"/>
      <c r="N5914" s="33"/>
    </row>
    <row r="5915" spans="3:14" x14ac:dyDescent="0.3">
      <c r="C5915" s="54"/>
      <c r="N5915" s="33"/>
    </row>
    <row r="5916" spans="3:14" x14ac:dyDescent="0.3">
      <c r="C5916" s="54"/>
      <c r="N5916" s="33"/>
    </row>
    <row r="5917" spans="3:14" x14ac:dyDescent="0.3">
      <c r="C5917" s="54"/>
      <c r="N5917" s="33"/>
    </row>
    <row r="5918" spans="3:14" x14ac:dyDescent="0.3">
      <c r="C5918" s="54"/>
      <c r="N5918" s="33"/>
    </row>
    <row r="5919" spans="3:14" x14ac:dyDescent="0.3">
      <c r="C5919" s="54"/>
      <c r="N5919" s="33"/>
    </row>
    <row r="5920" spans="3:14" x14ac:dyDescent="0.3">
      <c r="C5920" s="54"/>
      <c r="N5920" s="33"/>
    </row>
    <row r="5921" spans="3:14" x14ac:dyDescent="0.3">
      <c r="C5921" s="54"/>
      <c r="N5921" s="33"/>
    </row>
    <row r="5922" spans="3:14" x14ac:dyDescent="0.3">
      <c r="C5922" s="54"/>
      <c r="N5922" s="33"/>
    </row>
    <row r="5923" spans="3:14" x14ac:dyDescent="0.3">
      <c r="C5923" s="54"/>
      <c r="N5923" s="33"/>
    </row>
    <row r="5924" spans="3:14" x14ac:dyDescent="0.3">
      <c r="C5924" s="54"/>
      <c r="N5924" s="33"/>
    </row>
    <row r="5925" spans="3:14" x14ac:dyDescent="0.3">
      <c r="C5925" s="54"/>
      <c r="N5925" s="33"/>
    </row>
    <row r="5926" spans="3:14" x14ac:dyDescent="0.3">
      <c r="C5926" s="54"/>
      <c r="N5926" s="33"/>
    </row>
    <row r="5927" spans="3:14" x14ac:dyDescent="0.3">
      <c r="C5927" s="54"/>
      <c r="N5927" s="33"/>
    </row>
    <row r="5928" spans="3:14" x14ac:dyDescent="0.3">
      <c r="C5928" s="54"/>
      <c r="N5928" s="33"/>
    </row>
    <row r="5929" spans="3:14" x14ac:dyDescent="0.3">
      <c r="C5929" s="54"/>
      <c r="N5929" s="33"/>
    </row>
    <row r="5930" spans="3:14" x14ac:dyDescent="0.3">
      <c r="C5930" s="54"/>
      <c r="N5930" s="33"/>
    </row>
    <row r="5931" spans="3:14" x14ac:dyDescent="0.3">
      <c r="C5931" s="54"/>
      <c r="N5931" s="33"/>
    </row>
    <row r="5932" spans="3:14" x14ac:dyDescent="0.3">
      <c r="C5932" s="54"/>
      <c r="N5932" s="33"/>
    </row>
    <row r="5933" spans="3:14" x14ac:dyDescent="0.3">
      <c r="C5933" s="54"/>
      <c r="N5933" s="33"/>
    </row>
    <row r="5934" spans="3:14" x14ac:dyDescent="0.3">
      <c r="C5934" s="54"/>
      <c r="N5934" s="33"/>
    </row>
    <row r="5935" spans="3:14" x14ac:dyDescent="0.3">
      <c r="C5935" s="54"/>
      <c r="N5935" s="33"/>
    </row>
    <row r="5936" spans="3:14" x14ac:dyDescent="0.3">
      <c r="C5936" s="54"/>
      <c r="N5936" s="33"/>
    </row>
    <row r="5937" spans="3:14" x14ac:dyDescent="0.3">
      <c r="C5937" s="54"/>
      <c r="N5937" s="33"/>
    </row>
    <row r="5938" spans="3:14" x14ac:dyDescent="0.3">
      <c r="C5938" s="54"/>
      <c r="N5938" s="33"/>
    </row>
    <row r="5939" spans="3:14" x14ac:dyDescent="0.3">
      <c r="C5939" s="54"/>
      <c r="N5939" s="33"/>
    </row>
    <row r="5940" spans="3:14" x14ac:dyDescent="0.3">
      <c r="C5940" s="54"/>
      <c r="N5940" s="33"/>
    </row>
    <row r="5941" spans="3:14" x14ac:dyDescent="0.3">
      <c r="C5941" s="54"/>
      <c r="N5941" s="33"/>
    </row>
    <row r="5942" spans="3:14" x14ac:dyDescent="0.3">
      <c r="C5942" s="54"/>
      <c r="N5942" s="33"/>
    </row>
    <row r="5943" spans="3:14" x14ac:dyDescent="0.3">
      <c r="C5943" s="54"/>
      <c r="N5943" s="33"/>
    </row>
    <row r="5944" spans="3:14" x14ac:dyDescent="0.3">
      <c r="C5944" s="54"/>
      <c r="N5944" s="33"/>
    </row>
    <row r="5945" spans="3:14" x14ac:dyDescent="0.3">
      <c r="C5945" s="54"/>
      <c r="N5945" s="33"/>
    </row>
    <row r="5946" spans="3:14" x14ac:dyDescent="0.3">
      <c r="C5946" s="54"/>
      <c r="N5946" s="33"/>
    </row>
    <row r="5947" spans="3:14" x14ac:dyDescent="0.3">
      <c r="C5947" s="54"/>
      <c r="N5947" s="33"/>
    </row>
    <row r="5948" spans="3:14" x14ac:dyDescent="0.3">
      <c r="C5948" s="54"/>
      <c r="N5948" s="33"/>
    </row>
    <row r="5949" spans="3:14" x14ac:dyDescent="0.3">
      <c r="C5949" s="54"/>
      <c r="N5949" s="33"/>
    </row>
    <row r="5950" spans="3:14" x14ac:dyDescent="0.3">
      <c r="C5950" s="54"/>
      <c r="N5950" s="33"/>
    </row>
    <row r="5951" spans="3:14" x14ac:dyDescent="0.3">
      <c r="C5951" s="54"/>
      <c r="N5951" s="33"/>
    </row>
    <row r="5952" spans="3:14" x14ac:dyDescent="0.3">
      <c r="C5952" s="54"/>
      <c r="N5952" s="33"/>
    </row>
    <row r="5953" spans="3:14" x14ac:dyDescent="0.3">
      <c r="C5953" s="54"/>
      <c r="N5953" s="33"/>
    </row>
    <row r="5954" spans="3:14" x14ac:dyDescent="0.3">
      <c r="C5954" s="54"/>
      <c r="N5954" s="33"/>
    </row>
    <row r="5955" spans="3:14" x14ac:dyDescent="0.3">
      <c r="C5955" s="54"/>
      <c r="N5955" s="33"/>
    </row>
    <row r="5956" spans="3:14" x14ac:dyDescent="0.3">
      <c r="C5956" s="54"/>
      <c r="N5956" s="33"/>
    </row>
    <row r="5957" spans="3:14" x14ac:dyDescent="0.3">
      <c r="C5957" s="54"/>
      <c r="N5957" s="33"/>
    </row>
    <row r="5958" spans="3:14" x14ac:dyDescent="0.3">
      <c r="C5958" s="54"/>
      <c r="N5958" s="33"/>
    </row>
    <row r="5959" spans="3:14" x14ac:dyDescent="0.3">
      <c r="C5959" s="54"/>
      <c r="N5959" s="33"/>
    </row>
    <row r="5960" spans="3:14" x14ac:dyDescent="0.3">
      <c r="C5960" s="54"/>
      <c r="N5960" s="33"/>
    </row>
    <row r="5961" spans="3:14" x14ac:dyDescent="0.3">
      <c r="C5961" s="54"/>
      <c r="N5961" s="33"/>
    </row>
    <row r="5962" spans="3:14" x14ac:dyDescent="0.3">
      <c r="C5962" s="54"/>
      <c r="N5962" s="33"/>
    </row>
    <row r="5963" spans="3:14" x14ac:dyDescent="0.3">
      <c r="C5963" s="54"/>
      <c r="N5963" s="33"/>
    </row>
    <row r="5964" spans="3:14" x14ac:dyDescent="0.3">
      <c r="C5964" s="54"/>
      <c r="N5964" s="33"/>
    </row>
    <row r="5965" spans="3:14" x14ac:dyDescent="0.3">
      <c r="C5965" s="54"/>
      <c r="N5965" s="33"/>
    </row>
    <row r="5966" spans="3:14" x14ac:dyDescent="0.3">
      <c r="C5966" s="54"/>
      <c r="N5966" s="33"/>
    </row>
    <row r="5967" spans="3:14" x14ac:dyDescent="0.3">
      <c r="C5967" s="54"/>
      <c r="N5967" s="33"/>
    </row>
    <row r="5968" spans="3:14" x14ac:dyDescent="0.3">
      <c r="C5968" s="54"/>
      <c r="N5968" s="33"/>
    </row>
    <row r="5969" spans="3:14" x14ac:dyDescent="0.3">
      <c r="C5969" s="54"/>
      <c r="N5969" s="33"/>
    </row>
    <row r="5970" spans="3:14" x14ac:dyDescent="0.3">
      <c r="C5970" s="54"/>
      <c r="N5970" s="33"/>
    </row>
    <row r="5971" spans="3:14" x14ac:dyDescent="0.3">
      <c r="C5971" s="54"/>
      <c r="N5971" s="33"/>
    </row>
    <row r="5972" spans="3:14" x14ac:dyDescent="0.3">
      <c r="C5972" s="54"/>
      <c r="N5972" s="33"/>
    </row>
    <row r="5973" spans="3:14" x14ac:dyDescent="0.3">
      <c r="C5973" s="54"/>
      <c r="N5973" s="33"/>
    </row>
    <row r="5974" spans="3:14" x14ac:dyDescent="0.3">
      <c r="C5974" s="54"/>
      <c r="N5974" s="33"/>
    </row>
    <row r="5975" spans="3:14" x14ac:dyDescent="0.3">
      <c r="C5975" s="54"/>
      <c r="N5975" s="33"/>
    </row>
    <row r="5976" spans="3:14" x14ac:dyDescent="0.3">
      <c r="C5976" s="54"/>
      <c r="N5976" s="33"/>
    </row>
    <row r="5977" spans="3:14" x14ac:dyDescent="0.3">
      <c r="C5977" s="54"/>
      <c r="N5977" s="33"/>
    </row>
    <row r="5978" spans="3:14" x14ac:dyDescent="0.3">
      <c r="C5978" s="54"/>
      <c r="N5978" s="33"/>
    </row>
    <row r="5979" spans="3:14" x14ac:dyDescent="0.3">
      <c r="C5979" s="54"/>
      <c r="N5979" s="33"/>
    </row>
    <row r="5980" spans="3:14" x14ac:dyDescent="0.3">
      <c r="C5980" s="54"/>
      <c r="N5980" s="33"/>
    </row>
    <row r="5981" spans="3:14" x14ac:dyDescent="0.3">
      <c r="C5981" s="54"/>
      <c r="N5981" s="33"/>
    </row>
    <row r="5982" spans="3:14" x14ac:dyDescent="0.3">
      <c r="C5982" s="54"/>
      <c r="N5982" s="33"/>
    </row>
    <row r="5983" spans="3:14" x14ac:dyDescent="0.3">
      <c r="C5983" s="54"/>
      <c r="N5983" s="33"/>
    </row>
    <row r="5984" spans="3:14" x14ac:dyDescent="0.3">
      <c r="C5984" s="54"/>
      <c r="N5984" s="33"/>
    </row>
    <row r="5985" spans="3:14" x14ac:dyDescent="0.3">
      <c r="C5985" s="54"/>
      <c r="N5985" s="33"/>
    </row>
    <row r="5986" spans="3:14" x14ac:dyDescent="0.3">
      <c r="C5986" s="54"/>
      <c r="N5986" s="33"/>
    </row>
    <row r="5987" spans="3:14" x14ac:dyDescent="0.3">
      <c r="C5987" s="54"/>
      <c r="N5987" s="33"/>
    </row>
    <row r="5988" spans="3:14" x14ac:dyDescent="0.3">
      <c r="C5988" s="54"/>
      <c r="N5988" s="33"/>
    </row>
    <row r="5989" spans="3:14" x14ac:dyDescent="0.3">
      <c r="C5989" s="54"/>
      <c r="N5989" s="33"/>
    </row>
    <row r="5990" spans="3:14" x14ac:dyDescent="0.3">
      <c r="C5990" s="54"/>
      <c r="N5990" s="33"/>
    </row>
    <row r="5991" spans="3:14" x14ac:dyDescent="0.3">
      <c r="C5991" s="54"/>
      <c r="N5991" s="33"/>
    </row>
    <row r="5992" spans="3:14" x14ac:dyDescent="0.3">
      <c r="C5992" s="54"/>
      <c r="N5992" s="33"/>
    </row>
    <row r="5993" spans="3:14" x14ac:dyDescent="0.3">
      <c r="C5993" s="54"/>
      <c r="N5993" s="33"/>
    </row>
    <row r="5994" spans="3:14" x14ac:dyDescent="0.3">
      <c r="C5994" s="54"/>
      <c r="N5994" s="33"/>
    </row>
    <row r="5995" spans="3:14" x14ac:dyDescent="0.3">
      <c r="C5995" s="54"/>
      <c r="N5995" s="33"/>
    </row>
    <row r="5996" spans="3:14" x14ac:dyDescent="0.3">
      <c r="C5996" s="54"/>
      <c r="N5996" s="33"/>
    </row>
    <row r="5997" spans="3:14" x14ac:dyDescent="0.3">
      <c r="C5997" s="54"/>
      <c r="N5997" s="33"/>
    </row>
    <row r="5998" spans="3:14" x14ac:dyDescent="0.3">
      <c r="C5998" s="54"/>
      <c r="N5998" s="33"/>
    </row>
    <row r="5999" spans="3:14" x14ac:dyDescent="0.3">
      <c r="C5999" s="54"/>
      <c r="N5999" s="33"/>
    </row>
    <row r="6000" spans="3:14" x14ac:dyDescent="0.3">
      <c r="C6000" s="54"/>
      <c r="N6000" s="33"/>
    </row>
    <row r="6001" spans="3:14" x14ac:dyDescent="0.3">
      <c r="C6001" s="54"/>
      <c r="N6001" s="33"/>
    </row>
    <row r="6002" spans="3:14" x14ac:dyDescent="0.3">
      <c r="C6002" s="54"/>
      <c r="N6002" s="33"/>
    </row>
    <row r="6003" spans="3:14" x14ac:dyDescent="0.3">
      <c r="C6003" s="54"/>
      <c r="N6003" s="33"/>
    </row>
    <row r="6004" spans="3:14" x14ac:dyDescent="0.3">
      <c r="C6004" s="54"/>
      <c r="N6004" s="33"/>
    </row>
    <row r="6005" spans="3:14" x14ac:dyDescent="0.3">
      <c r="C6005" s="54"/>
      <c r="N6005" s="33"/>
    </row>
    <row r="6006" spans="3:14" x14ac:dyDescent="0.3">
      <c r="C6006" s="54"/>
      <c r="N6006" s="33"/>
    </row>
    <row r="6007" spans="3:14" x14ac:dyDescent="0.3">
      <c r="C6007" s="54"/>
      <c r="N6007" s="33"/>
    </row>
    <row r="6008" spans="3:14" x14ac:dyDescent="0.3">
      <c r="C6008" s="54"/>
      <c r="N6008" s="33"/>
    </row>
    <row r="6009" spans="3:14" x14ac:dyDescent="0.3">
      <c r="C6009" s="54"/>
      <c r="N6009" s="33"/>
    </row>
    <row r="6010" spans="3:14" x14ac:dyDescent="0.3">
      <c r="C6010" s="54"/>
      <c r="N6010" s="33"/>
    </row>
    <row r="6011" spans="3:14" x14ac:dyDescent="0.3">
      <c r="C6011" s="54"/>
      <c r="N6011" s="33"/>
    </row>
    <row r="6012" spans="3:14" x14ac:dyDescent="0.3">
      <c r="C6012" s="54"/>
      <c r="N6012" s="33"/>
    </row>
    <row r="6013" spans="3:14" x14ac:dyDescent="0.3">
      <c r="C6013" s="54"/>
      <c r="N6013" s="33"/>
    </row>
    <row r="6014" spans="3:14" x14ac:dyDescent="0.3">
      <c r="C6014" s="54"/>
      <c r="N6014" s="33"/>
    </row>
    <row r="6015" spans="3:14" x14ac:dyDescent="0.3">
      <c r="C6015" s="54"/>
      <c r="N6015" s="33"/>
    </row>
    <row r="6016" spans="3:14" x14ac:dyDescent="0.3">
      <c r="C6016" s="54"/>
      <c r="N6016" s="33"/>
    </row>
    <row r="6017" spans="3:14" x14ac:dyDescent="0.3">
      <c r="C6017" s="54"/>
      <c r="N6017" s="33"/>
    </row>
    <row r="6018" spans="3:14" x14ac:dyDescent="0.3">
      <c r="C6018" s="54"/>
      <c r="N6018" s="33"/>
    </row>
    <row r="6019" spans="3:14" x14ac:dyDescent="0.3">
      <c r="C6019" s="54"/>
      <c r="N6019" s="33"/>
    </row>
    <row r="6020" spans="3:14" x14ac:dyDescent="0.3">
      <c r="C6020" s="54"/>
      <c r="N6020" s="33"/>
    </row>
    <row r="6021" spans="3:14" x14ac:dyDescent="0.3">
      <c r="C6021" s="54"/>
      <c r="N6021" s="33"/>
    </row>
    <row r="6022" spans="3:14" x14ac:dyDescent="0.3">
      <c r="C6022" s="54"/>
      <c r="N6022" s="33"/>
    </row>
    <row r="6023" spans="3:14" x14ac:dyDescent="0.3">
      <c r="C6023" s="54"/>
      <c r="N6023" s="33"/>
    </row>
    <row r="6024" spans="3:14" x14ac:dyDescent="0.3">
      <c r="C6024" s="54"/>
      <c r="N6024" s="33"/>
    </row>
    <row r="6025" spans="3:14" x14ac:dyDescent="0.3">
      <c r="C6025" s="54"/>
      <c r="N6025" s="33"/>
    </row>
    <row r="6026" spans="3:14" x14ac:dyDescent="0.3">
      <c r="C6026" s="54"/>
      <c r="N6026" s="33"/>
    </row>
    <row r="6027" spans="3:14" x14ac:dyDescent="0.3">
      <c r="C6027" s="54"/>
      <c r="N6027" s="33"/>
    </row>
    <row r="6028" spans="3:14" x14ac:dyDescent="0.3">
      <c r="C6028" s="54"/>
      <c r="N6028" s="33"/>
    </row>
    <row r="6029" spans="3:14" x14ac:dyDescent="0.3">
      <c r="C6029" s="54"/>
      <c r="N6029" s="33"/>
    </row>
    <row r="6030" spans="3:14" x14ac:dyDescent="0.3">
      <c r="C6030" s="54"/>
      <c r="N6030" s="33"/>
    </row>
    <row r="6031" spans="3:14" x14ac:dyDescent="0.3">
      <c r="C6031" s="54"/>
      <c r="N6031" s="33"/>
    </row>
    <row r="6032" spans="3:14" x14ac:dyDescent="0.3">
      <c r="C6032" s="54"/>
      <c r="N6032" s="33"/>
    </row>
    <row r="6033" spans="3:14" x14ac:dyDescent="0.3">
      <c r="C6033" s="54"/>
      <c r="N6033" s="33"/>
    </row>
    <row r="6034" spans="3:14" x14ac:dyDescent="0.3">
      <c r="C6034" s="54"/>
      <c r="N6034" s="33"/>
    </row>
    <row r="6035" spans="3:14" x14ac:dyDescent="0.3">
      <c r="C6035" s="54"/>
      <c r="N6035" s="33"/>
    </row>
    <row r="6036" spans="3:14" x14ac:dyDescent="0.3">
      <c r="C6036" s="54"/>
      <c r="N6036" s="33"/>
    </row>
    <row r="6037" spans="3:14" x14ac:dyDescent="0.3">
      <c r="C6037" s="54"/>
      <c r="N6037" s="33"/>
    </row>
    <row r="6038" spans="3:14" x14ac:dyDescent="0.3">
      <c r="C6038" s="54"/>
      <c r="N6038" s="33"/>
    </row>
    <row r="6039" spans="3:14" x14ac:dyDescent="0.3">
      <c r="C6039" s="54"/>
      <c r="N6039" s="33"/>
    </row>
    <row r="6040" spans="3:14" x14ac:dyDescent="0.3">
      <c r="C6040" s="54"/>
      <c r="N6040" s="33"/>
    </row>
    <row r="6041" spans="3:14" x14ac:dyDescent="0.3">
      <c r="C6041" s="54"/>
      <c r="N6041" s="33"/>
    </row>
    <row r="6042" spans="3:14" x14ac:dyDescent="0.3">
      <c r="C6042" s="54"/>
      <c r="N6042" s="33"/>
    </row>
    <row r="6043" spans="3:14" x14ac:dyDescent="0.3">
      <c r="C6043" s="54"/>
      <c r="N6043" s="33"/>
    </row>
    <row r="6044" spans="3:14" x14ac:dyDescent="0.3">
      <c r="C6044" s="54"/>
      <c r="N6044" s="33"/>
    </row>
    <row r="6045" spans="3:14" x14ac:dyDescent="0.3">
      <c r="C6045" s="54"/>
      <c r="N6045" s="33"/>
    </row>
    <row r="6046" spans="3:14" x14ac:dyDescent="0.3">
      <c r="C6046" s="54"/>
      <c r="N6046" s="33"/>
    </row>
    <row r="6047" spans="3:14" x14ac:dyDescent="0.3">
      <c r="C6047" s="54"/>
      <c r="N6047" s="33"/>
    </row>
    <row r="6048" spans="3:14" x14ac:dyDescent="0.3">
      <c r="C6048" s="54"/>
      <c r="N6048" s="33"/>
    </row>
    <row r="6049" spans="3:14" x14ac:dyDescent="0.3">
      <c r="C6049" s="54"/>
      <c r="N6049" s="33"/>
    </row>
    <row r="6050" spans="3:14" x14ac:dyDescent="0.3">
      <c r="C6050" s="54"/>
      <c r="N6050" s="33"/>
    </row>
    <row r="6051" spans="3:14" x14ac:dyDescent="0.3">
      <c r="C6051" s="54"/>
      <c r="N6051" s="33"/>
    </row>
    <row r="6052" spans="3:14" x14ac:dyDescent="0.3">
      <c r="C6052" s="54"/>
      <c r="N6052" s="33"/>
    </row>
    <row r="6053" spans="3:14" x14ac:dyDescent="0.3">
      <c r="C6053" s="54"/>
      <c r="N6053" s="33"/>
    </row>
    <row r="6054" spans="3:14" x14ac:dyDescent="0.3">
      <c r="C6054" s="54"/>
      <c r="N6054" s="33"/>
    </row>
    <row r="6055" spans="3:14" x14ac:dyDescent="0.3">
      <c r="C6055" s="54"/>
      <c r="N6055" s="33"/>
    </row>
    <row r="6056" spans="3:14" x14ac:dyDescent="0.3">
      <c r="C6056" s="54"/>
      <c r="N6056" s="33"/>
    </row>
    <row r="6057" spans="3:14" x14ac:dyDescent="0.3">
      <c r="C6057" s="54"/>
      <c r="N6057" s="33"/>
    </row>
    <row r="6058" spans="3:14" x14ac:dyDescent="0.3">
      <c r="C6058" s="54"/>
      <c r="N6058" s="33"/>
    </row>
    <row r="6059" spans="3:14" x14ac:dyDescent="0.3">
      <c r="C6059" s="54"/>
      <c r="N6059" s="33"/>
    </row>
    <row r="6060" spans="3:14" x14ac:dyDescent="0.3">
      <c r="C6060" s="54"/>
      <c r="N6060" s="33"/>
    </row>
    <row r="6061" spans="3:14" x14ac:dyDescent="0.3">
      <c r="C6061" s="54"/>
      <c r="N6061" s="33"/>
    </row>
    <row r="6062" spans="3:14" x14ac:dyDescent="0.3">
      <c r="C6062" s="54"/>
      <c r="N6062" s="33"/>
    </row>
    <row r="6063" spans="3:14" x14ac:dyDescent="0.3">
      <c r="C6063" s="54"/>
      <c r="N6063" s="33"/>
    </row>
    <row r="6064" spans="3:14" x14ac:dyDescent="0.3">
      <c r="C6064" s="54"/>
      <c r="N6064" s="33"/>
    </row>
    <row r="6065" spans="3:14" x14ac:dyDescent="0.3">
      <c r="C6065" s="54"/>
      <c r="N6065" s="33"/>
    </row>
    <row r="6066" spans="3:14" x14ac:dyDescent="0.3">
      <c r="C6066" s="54"/>
      <c r="N6066" s="33"/>
    </row>
    <row r="6067" spans="3:14" x14ac:dyDescent="0.3">
      <c r="C6067" s="54"/>
      <c r="N6067" s="33"/>
    </row>
    <row r="6068" spans="3:14" x14ac:dyDescent="0.3">
      <c r="C6068" s="54"/>
      <c r="N6068" s="33"/>
    </row>
    <row r="6069" spans="3:14" x14ac:dyDescent="0.3">
      <c r="C6069" s="54"/>
      <c r="N6069" s="33"/>
    </row>
    <row r="6070" spans="3:14" x14ac:dyDescent="0.3">
      <c r="C6070" s="54"/>
      <c r="N6070" s="33"/>
    </row>
    <row r="6071" spans="3:14" x14ac:dyDescent="0.3">
      <c r="C6071" s="54"/>
      <c r="N6071" s="33"/>
    </row>
    <row r="6072" spans="3:14" x14ac:dyDescent="0.3">
      <c r="C6072" s="54"/>
      <c r="N6072" s="33"/>
    </row>
    <row r="6073" spans="3:14" x14ac:dyDescent="0.3">
      <c r="C6073" s="54"/>
      <c r="N6073" s="33"/>
    </row>
    <row r="6074" spans="3:14" x14ac:dyDescent="0.3">
      <c r="C6074" s="54"/>
      <c r="N6074" s="33"/>
    </row>
    <row r="6075" spans="3:14" x14ac:dyDescent="0.3">
      <c r="C6075" s="54"/>
      <c r="N6075" s="33"/>
    </row>
    <row r="6076" spans="3:14" x14ac:dyDescent="0.3">
      <c r="C6076" s="54"/>
      <c r="N6076" s="33"/>
    </row>
    <row r="6077" spans="3:14" x14ac:dyDescent="0.3">
      <c r="C6077" s="54"/>
      <c r="N6077" s="33"/>
    </row>
    <row r="6078" spans="3:14" x14ac:dyDescent="0.3">
      <c r="C6078" s="54"/>
      <c r="N6078" s="33"/>
    </row>
    <row r="6079" spans="3:14" x14ac:dyDescent="0.3">
      <c r="C6079" s="54"/>
      <c r="N6079" s="33"/>
    </row>
    <row r="6080" spans="3:14" x14ac:dyDescent="0.3">
      <c r="C6080" s="54"/>
      <c r="N6080" s="33"/>
    </row>
    <row r="6081" spans="3:14" x14ac:dyDescent="0.3">
      <c r="C6081" s="54"/>
      <c r="N6081" s="33"/>
    </row>
    <row r="6082" spans="3:14" x14ac:dyDescent="0.3">
      <c r="C6082" s="54"/>
      <c r="N6082" s="33"/>
    </row>
    <row r="6083" spans="3:14" x14ac:dyDescent="0.3">
      <c r="C6083" s="54"/>
      <c r="N6083" s="33"/>
    </row>
    <row r="6084" spans="3:14" x14ac:dyDescent="0.3">
      <c r="C6084" s="54"/>
      <c r="N6084" s="33"/>
    </row>
    <row r="6085" spans="3:14" x14ac:dyDescent="0.3">
      <c r="C6085" s="54"/>
      <c r="N6085" s="33"/>
    </row>
    <row r="6086" spans="3:14" x14ac:dyDescent="0.3">
      <c r="C6086" s="54"/>
      <c r="N6086" s="33"/>
    </row>
    <row r="6087" spans="3:14" x14ac:dyDescent="0.3">
      <c r="C6087" s="54"/>
      <c r="N6087" s="33"/>
    </row>
    <row r="6088" spans="3:14" x14ac:dyDescent="0.3">
      <c r="C6088" s="54"/>
      <c r="N6088" s="33"/>
    </row>
    <row r="6089" spans="3:14" x14ac:dyDescent="0.3">
      <c r="C6089" s="54"/>
      <c r="N6089" s="33"/>
    </row>
    <row r="6090" spans="3:14" x14ac:dyDescent="0.3">
      <c r="C6090" s="54"/>
      <c r="N6090" s="33"/>
    </row>
    <row r="6091" spans="3:14" x14ac:dyDescent="0.3">
      <c r="C6091" s="54"/>
      <c r="N6091" s="33"/>
    </row>
    <row r="6092" spans="3:14" x14ac:dyDescent="0.3">
      <c r="C6092" s="54"/>
      <c r="N6092" s="33"/>
    </row>
    <row r="6093" spans="3:14" x14ac:dyDescent="0.3">
      <c r="C6093" s="54"/>
      <c r="N6093" s="33"/>
    </row>
    <row r="6094" spans="3:14" x14ac:dyDescent="0.3">
      <c r="C6094" s="54"/>
      <c r="N6094" s="33"/>
    </row>
    <row r="6095" spans="3:14" x14ac:dyDescent="0.3">
      <c r="C6095" s="54"/>
      <c r="N6095" s="33"/>
    </row>
    <row r="6096" spans="3:14" x14ac:dyDescent="0.3">
      <c r="C6096" s="54"/>
      <c r="N6096" s="33"/>
    </row>
    <row r="6097" spans="3:14" x14ac:dyDescent="0.3">
      <c r="C6097" s="54"/>
      <c r="N6097" s="33"/>
    </row>
    <row r="6098" spans="3:14" x14ac:dyDescent="0.3">
      <c r="C6098" s="54"/>
      <c r="N6098" s="33"/>
    </row>
    <row r="6099" spans="3:14" x14ac:dyDescent="0.3">
      <c r="C6099" s="54"/>
      <c r="N6099" s="33"/>
    </row>
    <row r="6100" spans="3:14" x14ac:dyDescent="0.3">
      <c r="C6100" s="54"/>
      <c r="N6100" s="33"/>
    </row>
    <row r="6101" spans="3:14" x14ac:dyDescent="0.3">
      <c r="C6101" s="54"/>
      <c r="N6101" s="33"/>
    </row>
    <row r="6102" spans="3:14" x14ac:dyDescent="0.3">
      <c r="C6102" s="54"/>
      <c r="N6102" s="33"/>
    </row>
    <row r="6103" spans="3:14" x14ac:dyDescent="0.3">
      <c r="C6103" s="54"/>
      <c r="N6103" s="33"/>
    </row>
    <row r="6104" spans="3:14" x14ac:dyDescent="0.3">
      <c r="C6104" s="54"/>
      <c r="N6104" s="33"/>
    </row>
    <row r="6105" spans="3:14" x14ac:dyDescent="0.3">
      <c r="C6105" s="54"/>
      <c r="N6105" s="33"/>
    </row>
    <row r="6106" spans="3:14" x14ac:dyDescent="0.3">
      <c r="C6106" s="54"/>
      <c r="N6106" s="33"/>
    </row>
    <row r="6107" spans="3:14" x14ac:dyDescent="0.3">
      <c r="C6107" s="54"/>
      <c r="N6107" s="33"/>
    </row>
    <row r="6108" spans="3:14" x14ac:dyDescent="0.3">
      <c r="C6108" s="54"/>
      <c r="N6108" s="33"/>
    </row>
    <row r="6109" spans="3:14" x14ac:dyDescent="0.3">
      <c r="C6109" s="54"/>
      <c r="N6109" s="33"/>
    </row>
    <row r="6110" spans="3:14" x14ac:dyDescent="0.3">
      <c r="C6110" s="54"/>
      <c r="N6110" s="33"/>
    </row>
    <row r="6111" spans="3:14" x14ac:dyDescent="0.3">
      <c r="C6111" s="54"/>
      <c r="N6111" s="33"/>
    </row>
    <row r="6112" spans="3:14" x14ac:dyDescent="0.3">
      <c r="C6112" s="54"/>
      <c r="N6112" s="33"/>
    </row>
    <row r="6113" spans="3:14" x14ac:dyDescent="0.3">
      <c r="C6113" s="54"/>
      <c r="N6113" s="33"/>
    </row>
    <row r="6114" spans="3:14" x14ac:dyDescent="0.3">
      <c r="C6114" s="54"/>
      <c r="N6114" s="33"/>
    </row>
    <row r="6115" spans="3:14" x14ac:dyDescent="0.3">
      <c r="C6115" s="54"/>
      <c r="N6115" s="33"/>
    </row>
    <row r="6116" spans="3:14" x14ac:dyDescent="0.3">
      <c r="C6116" s="54"/>
      <c r="N6116" s="33"/>
    </row>
    <row r="6117" spans="3:14" x14ac:dyDescent="0.3">
      <c r="C6117" s="54"/>
      <c r="N6117" s="33"/>
    </row>
    <row r="6118" spans="3:14" x14ac:dyDescent="0.3">
      <c r="C6118" s="54"/>
      <c r="N6118" s="33"/>
    </row>
    <row r="6119" spans="3:14" x14ac:dyDescent="0.3">
      <c r="C6119" s="54"/>
      <c r="N6119" s="33"/>
    </row>
    <row r="6120" spans="3:14" x14ac:dyDescent="0.3">
      <c r="C6120" s="54"/>
      <c r="N6120" s="33"/>
    </row>
    <row r="6121" spans="3:14" x14ac:dyDescent="0.3">
      <c r="C6121" s="54"/>
      <c r="N6121" s="33"/>
    </row>
    <row r="6122" spans="3:14" x14ac:dyDescent="0.3">
      <c r="C6122" s="54"/>
      <c r="N6122" s="33"/>
    </row>
    <row r="6123" spans="3:14" x14ac:dyDescent="0.3">
      <c r="C6123" s="54"/>
      <c r="N6123" s="33"/>
    </row>
    <row r="6124" spans="3:14" x14ac:dyDescent="0.3">
      <c r="C6124" s="54"/>
      <c r="N6124" s="33"/>
    </row>
    <row r="6125" spans="3:14" x14ac:dyDescent="0.3">
      <c r="C6125" s="54"/>
      <c r="N6125" s="33"/>
    </row>
    <row r="6126" spans="3:14" x14ac:dyDescent="0.3">
      <c r="C6126" s="54"/>
      <c r="N6126" s="33"/>
    </row>
    <row r="6127" spans="3:14" x14ac:dyDescent="0.3">
      <c r="C6127" s="54"/>
      <c r="N6127" s="33"/>
    </row>
    <row r="6128" spans="3:14" x14ac:dyDescent="0.3">
      <c r="C6128" s="54"/>
      <c r="N6128" s="33"/>
    </row>
    <row r="6129" spans="3:14" x14ac:dyDescent="0.3">
      <c r="C6129" s="54"/>
      <c r="N6129" s="33"/>
    </row>
    <row r="6130" spans="3:14" x14ac:dyDescent="0.3">
      <c r="C6130" s="54"/>
      <c r="N6130" s="33"/>
    </row>
    <row r="6131" spans="3:14" x14ac:dyDescent="0.3">
      <c r="C6131" s="54"/>
      <c r="N6131" s="33"/>
    </row>
    <row r="6132" spans="3:14" x14ac:dyDescent="0.3">
      <c r="C6132" s="54"/>
      <c r="N6132" s="33"/>
    </row>
    <row r="6133" spans="3:14" x14ac:dyDescent="0.3">
      <c r="C6133" s="54"/>
      <c r="N6133" s="33"/>
    </row>
    <row r="6134" spans="3:14" x14ac:dyDescent="0.3">
      <c r="C6134" s="54"/>
      <c r="N6134" s="33"/>
    </row>
    <row r="6135" spans="3:14" x14ac:dyDescent="0.3">
      <c r="C6135" s="54"/>
      <c r="N6135" s="33"/>
    </row>
    <row r="6136" spans="3:14" x14ac:dyDescent="0.3">
      <c r="C6136" s="54"/>
      <c r="N6136" s="33"/>
    </row>
    <row r="6137" spans="3:14" x14ac:dyDescent="0.3">
      <c r="C6137" s="54"/>
      <c r="N6137" s="33"/>
    </row>
    <row r="6138" spans="3:14" x14ac:dyDescent="0.3">
      <c r="C6138" s="54"/>
      <c r="N6138" s="33"/>
    </row>
    <row r="6139" spans="3:14" x14ac:dyDescent="0.3">
      <c r="C6139" s="54"/>
      <c r="N6139" s="33"/>
    </row>
    <row r="6140" spans="3:14" x14ac:dyDescent="0.3">
      <c r="C6140" s="54"/>
      <c r="N6140" s="33"/>
    </row>
    <row r="6141" spans="3:14" x14ac:dyDescent="0.3">
      <c r="C6141" s="54"/>
      <c r="N6141" s="33"/>
    </row>
    <row r="6142" spans="3:14" x14ac:dyDescent="0.3">
      <c r="C6142" s="54"/>
      <c r="N6142" s="33"/>
    </row>
    <row r="6143" spans="3:14" x14ac:dyDescent="0.3">
      <c r="C6143" s="54"/>
      <c r="N6143" s="33"/>
    </row>
    <row r="6144" spans="3:14" x14ac:dyDescent="0.3">
      <c r="C6144" s="54"/>
      <c r="N6144" s="33"/>
    </row>
    <row r="6145" spans="3:14" x14ac:dyDescent="0.3">
      <c r="C6145" s="54"/>
      <c r="N6145" s="33"/>
    </row>
    <row r="6146" spans="3:14" x14ac:dyDescent="0.3">
      <c r="C6146" s="54"/>
      <c r="N6146" s="33"/>
    </row>
    <row r="6147" spans="3:14" x14ac:dyDescent="0.3">
      <c r="C6147" s="54"/>
      <c r="N6147" s="33"/>
    </row>
    <row r="6148" spans="3:14" x14ac:dyDescent="0.3">
      <c r="C6148" s="54"/>
      <c r="N6148" s="33"/>
    </row>
    <row r="6149" spans="3:14" x14ac:dyDescent="0.3">
      <c r="C6149" s="54"/>
      <c r="N6149" s="33"/>
    </row>
    <row r="6150" spans="3:14" x14ac:dyDescent="0.3">
      <c r="C6150" s="54"/>
      <c r="N6150" s="33"/>
    </row>
    <row r="6151" spans="3:14" x14ac:dyDescent="0.3">
      <c r="C6151" s="54"/>
      <c r="N6151" s="33"/>
    </row>
    <row r="6152" spans="3:14" x14ac:dyDescent="0.3">
      <c r="C6152" s="54"/>
      <c r="N6152" s="33"/>
    </row>
    <row r="6153" spans="3:14" x14ac:dyDescent="0.3">
      <c r="C6153" s="54"/>
      <c r="N6153" s="33"/>
    </row>
    <row r="6154" spans="3:14" x14ac:dyDescent="0.3">
      <c r="C6154" s="54"/>
      <c r="N6154" s="33"/>
    </row>
    <row r="6155" spans="3:14" x14ac:dyDescent="0.3">
      <c r="C6155" s="54"/>
      <c r="N6155" s="33"/>
    </row>
    <row r="6156" spans="3:14" x14ac:dyDescent="0.3">
      <c r="C6156" s="54"/>
      <c r="N6156" s="33"/>
    </row>
    <row r="6157" spans="3:14" x14ac:dyDescent="0.3">
      <c r="C6157" s="54"/>
      <c r="N6157" s="33"/>
    </row>
    <row r="6158" spans="3:14" x14ac:dyDescent="0.3">
      <c r="C6158" s="54"/>
      <c r="N6158" s="33"/>
    </row>
    <row r="6159" spans="3:14" x14ac:dyDescent="0.3">
      <c r="C6159" s="54"/>
      <c r="N6159" s="33"/>
    </row>
    <row r="6160" spans="3:14" x14ac:dyDescent="0.3">
      <c r="C6160" s="54"/>
      <c r="N6160" s="33"/>
    </row>
    <row r="6161" spans="3:14" x14ac:dyDescent="0.3">
      <c r="C6161" s="54"/>
      <c r="N6161" s="33"/>
    </row>
    <row r="6162" spans="3:14" x14ac:dyDescent="0.3">
      <c r="C6162" s="54"/>
      <c r="N6162" s="33"/>
    </row>
    <row r="6163" spans="3:14" x14ac:dyDescent="0.3">
      <c r="C6163" s="54"/>
      <c r="N6163" s="33"/>
    </row>
    <row r="6164" spans="3:14" x14ac:dyDescent="0.3">
      <c r="C6164" s="54"/>
      <c r="N6164" s="33"/>
    </row>
    <row r="6165" spans="3:14" x14ac:dyDescent="0.3">
      <c r="C6165" s="54"/>
      <c r="N6165" s="33"/>
    </row>
    <row r="6166" spans="3:14" x14ac:dyDescent="0.3">
      <c r="C6166" s="54"/>
      <c r="N6166" s="33"/>
    </row>
    <row r="6167" spans="3:14" x14ac:dyDescent="0.3">
      <c r="C6167" s="54"/>
      <c r="N6167" s="33"/>
    </row>
    <row r="6168" spans="3:14" x14ac:dyDescent="0.3">
      <c r="C6168" s="54"/>
      <c r="N6168" s="33"/>
    </row>
    <row r="6169" spans="3:14" x14ac:dyDescent="0.3">
      <c r="C6169" s="54"/>
      <c r="N6169" s="33"/>
    </row>
    <row r="6170" spans="3:14" x14ac:dyDescent="0.3">
      <c r="C6170" s="54"/>
      <c r="N6170" s="33"/>
    </row>
    <row r="6171" spans="3:14" x14ac:dyDescent="0.3">
      <c r="C6171" s="54"/>
      <c r="N6171" s="33"/>
    </row>
    <row r="6172" spans="3:14" x14ac:dyDescent="0.3">
      <c r="C6172" s="54"/>
      <c r="N6172" s="33"/>
    </row>
    <row r="6173" spans="3:14" x14ac:dyDescent="0.3">
      <c r="C6173" s="54"/>
      <c r="N6173" s="33"/>
    </row>
    <row r="6174" spans="3:14" x14ac:dyDescent="0.3">
      <c r="C6174" s="54"/>
      <c r="N6174" s="33"/>
    </row>
    <row r="6175" spans="3:14" x14ac:dyDescent="0.3">
      <c r="C6175" s="54"/>
      <c r="N6175" s="33"/>
    </row>
    <row r="6176" spans="3:14" x14ac:dyDescent="0.3">
      <c r="C6176" s="54"/>
      <c r="N6176" s="33"/>
    </row>
    <row r="6177" spans="3:14" x14ac:dyDescent="0.3">
      <c r="C6177" s="54"/>
      <c r="N6177" s="33"/>
    </row>
    <row r="6178" spans="3:14" x14ac:dyDescent="0.3">
      <c r="C6178" s="54"/>
      <c r="N6178" s="33"/>
    </row>
    <row r="6179" spans="3:14" x14ac:dyDescent="0.3">
      <c r="C6179" s="54"/>
      <c r="N6179" s="33"/>
    </row>
    <row r="6180" spans="3:14" x14ac:dyDescent="0.3">
      <c r="C6180" s="54"/>
      <c r="N6180" s="33"/>
    </row>
    <row r="6181" spans="3:14" x14ac:dyDescent="0.3">
      <c r="C6181" s="54"/>
      <c r="N6181" s="33"/>
    </row>
    <row r="6182" spans="3:14" x14ac:dyDescent="0.3">
      <c r="C6182" s="54"/>
      <c r="N6182" s="33"/>
    </row>
    <row r="6183" spans="3:14" x14ac:dyDescent="0.3">
      <c r="C6183" s="54"/>
      <c r="N6183" s="33"/>
    </row>
    <row r="6184" spans="3:14" x14ac:dyDescent="0.3">
      <c r="C6184" s="54"/>
      <c r="N6184" s="33"/>
    </row>
    <row r="6185" spans="3:14" x14ac:dyDescent="0.3">
      <c r="C6185" s="54"/>
      <c r="N6185" s="33"/>
    </row>
    <row r="6186" spans="3:14" x14ac:dyDescent="0.3">
      <c r="C6186" s="54"/>
      <c r="N6186" s="33"/>
    </row>
    <row r="6187" spans="3:14" x14ac:dyDescent="0.3">
      <c r="C6187" s="54"/>
      <c r="N6187" s="33"/>
    </row>
    <row r="6188" spans="3:14" x14ac:dyDescent="0.3">
      <c r="C6188" s="54"/>
      <c r="N6188" s="33"/>
    </row>
    <row r="6189" spans="3:14" x14ac:dyDescent="0.3">
      <c r="C6189" s="54"/>
      <c r="N6189" s="33"/>
    </row>
    <row r="6190" spans="3:14" x14ac:dyDescent="0.3">
      <c r="C6190" s="54"/>
      <c r="N6190" s="33"/>
    </row>
    <row r="6191" spans="3:14" x14ac:dyDescent="0.3">
      <c r="C6191" s="54"/>
      <c r="N6191" s="33"/>
    </row>
    <row r="6192" spans="3:14" x14ac:dyDescent="0.3">
      <c r="C6192" s="54"/>
      <c r="N6192" s="33"/>
    </row>
    <row r="6193" spans="3:14" x14ac:dyDescent="0.3">
      <c r="C6193" s="54"/>
      <c r="N6193" s="33"/>
    </row>
    <row r="6194" spans="3:14" x14ac:dyDescent="0.3">
      <c r="C6194" s="54"/>
      <c r="N6194" s="33"/>
    </row>
    <row r="6195" spans="3:14" x14ac:dyDescent="0.3">
      <c r="C6195" s="54"/>
      <c r="N6195" s="33"/>
    </row>
    <row r="6196" spans="3:14" x14ac:dyDescent="0.3">
      <c r="C6196" s="54"/>
      <c r="N6196" s="33"/>
    </row>
    <row r="6197" spans="3:14" x14ac:dyDescent="0.3">
      <c r="C6197" s="54"/>
      <c r="N6197" s="33"/>
    </row>
    <row r="6198" spans="3:14" x14ac:dyDescent="0.3">
      <c r="C6198" s="54"/>
      <c r="N6198" s="33"/>
    </row>
    <row r="6199" spans="3:14" x14ac:dyDescent="0.3">
      <c r="C6199" s="54"/>
      <c r="N6199" s="33"/>
    </row>
    <row r="6200" spans="3:14" x14ac:dyDescent="0.3">
      <c r="C6200" s="54"/>
      <c r="N6200" s="33"/>
    </row>
    <row r="6201" spans="3:14" x14ac:dyDescent="0.3">
      <c r="C6201" s="54"/>
      <c r="N6201" s="33"/>
    </row>
    <row r="6202" spans="3:14" x14ac:dyDescent="0.3">
      <c r="C6202" s="54"/>
      <c r="N6202" s="33"/>
    </row>
    <row r="6203" spans="3:14" x14ac:dyDescent="0.3">
      <c r="C6203" s="54"/>
      <c r="N6203" s="33"/>
    </row>
    <row r="6204" spans="3:14" x14ac:dyDescent="0.3">
      <c r="C6204" s="54"/>
      <c r="N6204" s="33"/>
    </row>
    <row r="6205" spans="3:14" x14ac:dyDescent="0.3">
      <c r="C6205" s="54"/>
      <c r="N6205" s="33"/>
    </row>
    <row r="6206" spans="3:14" x14ac:dyDescent="0.3">
      <c r="C6206" s="54"/>
      <c r="N6206" s="33"/>
    </row>
    <row r="6207" spans="3:14" x14ac:dyDescent="0.3">
      <c r="C6207" s="54"/>
      <c r="N6207" s="33"/>
    </row>
    <row r="6208" spans="3:14" x14ac:dyDescent="0.3">
      <c r="C6208" s="54"/>
      <c r="N6208" s="33"/>
    </row>
    <row r="6209" spans="3:14" x14ac:dyDescent="0.3">
      <c r="C6209" s="54"/>
      <c r="N6209" s="33"/>
    </row>
    <row r="6210" spans="3:14" x14ac:dyDescent="0.3">
      <c r="C6210" s="54"/>
      <c r="N6210" s="33"/>
    </row>
    <row r="6211" spans="3:14" x14ac:dyDescent="0.3">
      <c r="C6211" s="54"/>
      <c r="N6211" s="33"/>
    </row>
    <row r="6212" spans="3:14" x14ac:dyDescent="0.3">
      <c r="C6212" s="54"/>
      <c r="N6212" s="33"/>
    </row>
    <row r="6213" spans="3:14" x14ac:dyDescent="0.3">
      <c r="C6213" s="54"/>
      <c r="N6213" s="33"/>
    </row>
    <row r="6214" spans="3:14" x14ac:dyDescent="0.3">
      <c r="C6214" s="54"/>
      <c r="N6214" s="33"/>
    </row>
    <row r="6215" spans="3:14" x14ac:dyDescent="0.3">
      <c r="C6215" s="54"/>
      <c r="N6215" s="33"/>
    </row>
    <row r="6216" spans="3:14" x14ac:dyDescent="0.3">
      <c r="C6216" s="54"/>
      <c r="N6216" s="33"/>
    </row>
    <row r="6217" spans="3:14" x14ac:dyDescent="0.3">
      <c r="C6217" s="54"/>
      <c r="N6217" s="33"/>
    </row>
    <row r="6218" spans="3:14" x14ac:dyDescent="0.3">
      <c r="C6218" s="54"/>
      <c r="N6218" s="33"/>
    </row>
    <row r="6219" spans="3:14" x14ac:dyDescent="0.3">
      <c r="C6219" s="54"/>
      <c r="N6219" s="33"/>
    </row>
    <row r="6220" spans="3:14" x14ac:dyDescent="0.3">
      <c r="C6220" s="54"/>
      <c r="N6220" s="33"/>
    </row>
    <row r="6221" spans="3:14" x14ac:dyDescent="0.3">
      <c r="C6221" s="54"/>
      <c r="N6221" s="33"/>
    </row>
    <row r="6222" spans="3:14" x14ac:dyDescent="0.3">
      <c r="C6222" s="54"/>
      <c r="N6222" s="33"/>
    </row>
    <row r="6223" spans="3:14" x14ac:dyDescent="0.3">
      <c r="C6223" s="54"/>
      <c r="N6223" s="33"/>
    </row>
    <row r="6224" spans="3:14" x14ac:dyDescent="0.3">
      <c r="C6224" s="54"/>
      <c r="N6224" s="33"/>
    </row>
    <row r="6225" spans="3:14" x14ac:dyDescent="0.3">
      <c r="C6225" s="54"/>
      <c r="N6225" s="33"/>
    </row>
    <row r="6226" spans="3:14" x14ac:dyDescent="0.3">
      <c r="C6226" s="54"/>
      <c r="N6226" s="33"/>
    </row>
    <row r="6227" spans="3:14" x14ac:dyDescent="0.3">
      <c r="C6227" s="54"/>
      <c r="N6227" s="33"/>
    </row>
    <row r="6228" spans="3:14" x14ac:dyDescent="0.3">
      <c r="C6228" s="54"/>
      <c r="N6228" s="33"/>
    </row>
    <row r="6229" spans="3:14" x14ac:dyDescent="0.3">
      <c r="C6229" s="54"/>
      <c r="N6229" s="33"/>
    </row>
    <row r="6230" spans="3:14" x14ac:dyDescent="0.3">
      <c r="C6230" s="54"/>
      <c r="N6230" s="33"/>
    </row>
    <row r="6231" spans="3:14" x14ac:dyDescent="0.3">
      <c r="C6231" s="54"/>
      <c r="N6231" s="33"/>
    </row>
    <row r="6232" spans="3:14" x14ac:dyDescent="0.3">
      <c r="C6232" s="54"/>
      <c r="N6232" s="33"/>
    </row>
    <row r="6233" spans="3:14" x14ac:dyDescent="0.3">
      <c r="C6233" s="54"/>
      <c r="N6233" s="33"/>
    </row>
    <row r="6234" spans="3:14" x14ac:dyDescent="0.3">
      <c r="C6234" s="54"/>
      <c r="N6234" s="33"/>
    </row>
    <row r="6235" spans="3:14" x14ac:dyDescent="0.3">
      <c r="C6235" s="54"/>
      <c r="N6235" s="33"/>
    </row>
    <row r="6236" spans="3:14" x14ac:dyDescent="0.3">
      <c r="C6236" s="54"/>
      <c r="N6236" s="33"/>
    </row>
    <row r="6237" spans="3:14" x14ac:dyDescent="0.3">
      <c r="C6237" s="54"/>
      <c r="N6237" s="33"/>
    </row>
    <row r="6238" spans="3:14" x14ac:dyDescent="0.3">
      <c r="C6238" s="54"/>
      <c r="N6238" s="33"/>
    </row>
    <row r="6239" spans="3:14" x14ac:dyDescent="0.3">
      <c r="C6239" s="54"/>
      <c r="N6239" s="33"/>
    </row>
    <row r="6240" spans="3:14" x14ac:dyDescent="0.3">
      <c r="C6240" s="54"/>
      <c r="N6240" s="33"/>
    </row>
    <row r="6241" spans="3:14" x14ac:dyDescent="0.3">
      <c r="C6241" s="54"/>
      <c r="N6241" s="33"/>
    </row>
    <row r="6242" spans="3:14" x14ac:dyDescent="0.3">
      <c r="C6242" s="54"/>
      <c r="N6242" s="33"/>
    </row>
    <row r="6243" spans="3:14" x14ac:dyDescent="0.3">
      <c r="C6243" s="54"/>
      <c r="N6243" s="33"/>
    </row>
    <row r="6244" spans="3:14" x14ac:dyDescent="0.3">
      <c r="C6244" s="54"/>
      <c r="N6244" s="33"/>
    </row>
    <row r="6245" spans="3:14" x14ac:dyDescent="0.3">
      <c r="C6245" s="54"/>
      <c r="N6245" s="33"/>
    </row>
    <row r="6246" spans="3:14" x14ac:dyDescent="0.3">
      <c r="C6246" s="54"/>
      <c r="N6246" s="33"/>
    </row>
    <row r="6247" spans="3:14" x14ac:dyDescent="0.3">
      <c r="C6247" s="54"/>
      <c r="N6247" s="33"/>
    </row>
    <row r="6248" spans="3:14" x14ac:dyDescent="0.3">
      <c r="C6248" s="54"/>
      <c r="N6248" s="33"/>
    </row>
    <row r="6249" spans="3:14" x14ac:dyDescent="0.3">
      <c r="C6249" s="54"/>
      <c r="N6249" s="33"/>
    </row>
    <row r="6250" spans="3:14" x14ac:dyDescent="0.3">
      <c r="C6250" s="54"/>
      <c r="N6250" s="33"/>
    </row>
    <row r="6251" spans="3:14" x14ac:dyDescent="0.3">
      <c r="C6251" s="54"/>
      <c r="N6251" s="33"/>
    </row>
    <row r="6252" spans="3:14" x14ac:dyDescent="0.3">
      <c r="C6252" s="54"/>
      <c r="N6252" s="33"/>
    </row>
    <row r="6253" spans="3:14" x14ac:dyDescent="0.3">
      <c r="C6253" s="54"/>
      <c r="N6253" s="33"/>
    </row>
    <row r="6254" spans="3:14" x14ac:dyDescent="0.3">
      <c r="C6254" s="54"/>
      <c r="N6254" s="33"/>
    </row>
    <row r="6255" spans="3:14" x14ac:dyDescent="0.3">
      <c r="C6255" s="54"/>
      <c r="N6255" s="33"/>
    </row>
    <row r="6256" spans="3:14" x14ac:dyDescent="0.3">
      <c r="C6256" s="54"/>
      <c r="N6256" s="33"/>
    </row>
    <row r="6257" spans="3:14" x14ac:dyDescent="0.3">
      <c r="C6257" s="54"/>
      <c r="N6257" s="33"/>
    </row>
    <row r="6258" spans="3:14" x14ac:dyDescent="0.3">
      <c r="C6258" s="54"/>
      <c r="N6258" s="33"/>
    </row>
    <row r="6259" spans="3:14" x14ac:dyDescent="0.3">
      <c r="C6259" s="54"/>
      <c r="N6259" s="33"/>
    </row>
    <row r="6260" spans="3:14" x14ac:dyDescent="0.3">
      <c r="C6260" s="54"/>
      <c r="N6260" s="33"/>
    </row>
    <row r="6261" spans="3:14" x14ac:dyDescent="0.3">
      <c r="C6261" s="54"/>
      <c r="N6261" s="33"/>
    </row>
    <row r="6262" spans="3:14" x14ac:dyDescent="0.3">
      <c r="C6262" s="54"/>
      <c r="N6262" s="33"/>
    </row>
    <row r="6263" spans="3:14" x14ac:dyDescent="0.3">
      <c r="C6263" s="54"/>
      <c r="N6263" s="33"/>
    </row>
    <row r="6264" spans="3:14" x14ac:dyDescent="0.3">
      <c r="C6264" s="54"/>
      <c r="N6264" s="33"/>
    </row>
    <row r="6265" spans="3:14" x14ac:dyDescent="0.3">
      <c r="C6265" s="54"/>
      <c r="N6265" s="33"/>
    </row>
    <row r="6266" spans="3:14" x14ac:dyDescent="0.3">
      <c r="C6266" s="54"/>
      <c r="N6266" s="33"/>
    </row>
    <row r="6267" spans="3:14" x14ac:dyDescent="0.3">
      <c r="C6267" s="54"/>
      <c r="N6267" s="33"/>
    </row>
    <row r="6268" spans="3:14" x14ac:dyDescent="0.3">
      <c r="C6268" s="54"/>
      <c r="N6268" s="33"/>
    </row>
    <row r="6269" spans="3:14" x14ac:dyDescent="0.3">
      <c r="C6269" s="54"/>
      <c r="N6269" s="33"/>
    </row>
    <row r="6270" spans="3:14" x14ac:dyDescent="0.3">
      <c r="C6270" s="54"/>
      <c r="N6270" s="33"/>
    </row>
    <row r="6271" spans="3:14" x14ac:dyDescent="0.3">
      <c r="C6271" s="54"/>
      <c r="N6271" s="33"/>
    </row>
    <row r="6272" spans="3:14" x14ac:dyDescent="0.3">
      <c r="C6272" s="54"/>
      <c r="N6272" s="33"/>
    </row>
    <row r="6273" spans="3:14" x14ac:dyDescent="0.3">
      <c r="C6273" s="54"/>
      <c r="N6273" s="33"/>
    </row>
    <row r="6274" spans="3:14" x14ac:dyDescent="0.3">
      <c r="C6274" s="54"/>
      <c r="N6274" s="33"/>
    </row>
    <row r="6275" spans="3:14" x14ac:dyDescent="0.3">
      <c r="C6275" s="54"/>
      <c r="N6275" s="33"/>
    </row>
    <row r="6276" spans="3:14" x14ac:dyDescent="0.3">
      <c r="C6276" s="54"/>
      <c r="N6276" s="33"/>
    </row>
    <row r="6277" spans="3:14" x14ac:dyDescent="0.3">
      <c r="C6277" s="54"/>
      <c r="N6277" s="33"/>
    </row>
    <row r="6278" spans="3:14" x14ac:dyDescent="0.3">
      <c r="C6278" s="54"/>
      <c r="N6278" s="33"/>
    </row>
    <row r="6279" spans="3:14" x14ac:dyDescent="0.3">
      <c r="C6279" s="54"/>
      <c r="N6279" s="33"/>
    </row>
    <row r="6280" spans="3:14" x14ac:dyDescent="0.3">
      <c r="C6280" s="54"/>
      <c r="N6280" s="33"/>
    </row>
    <row r="6281" spans="3:14" x14ac:dyDescent="0.3">
      <c r="C6281" s="54"/>
      <c r="N6281" s="33"/>
    </row>
    <row r="6282" spans="3:14" x14ac:dyDescent="0.3">
      <c r="C6282" s="54"/>
      <c r="N6282" s="33"/>
    </row>
    <row r="6283" spans="3:14" x14ac:dyDescent="0.3">
      <c r="C6283" s="54"/>
      <c r="N6283" s="33"/>
    </row>
    <row r="6284" spans="3:14" x14ac:dyDescent="0.3">
      <c r="C6284" s="54"/>
      <c r="N6284" s="33"/>
    </row>
    <row r="6285" spans="3:14" x14ac:dyDescent="0.3">
      <c r="C6285" s="54"/>
      <c r="N6285" s="33"/>
    </row>
    <row r="6286" spans="3:14" x14ac:dyDescent="0.3">
      <c r="C6286" s="54"/>
      <c r="N6286" s="33"/>
    </row>
    <row r="6287" spans="3:14" x14ac:dyDescent="0.3">
      <c r="C6287" s="54"/>
      <c r="N6287" s="33"/>
    </row>
    <row r="6288" spans="3:14" x14ac:dyDescent="0.3">
      <c r="C6288" s="54"/>
      <c r="N6288" s="33"/>
    </row>
    <row r="6289" spans="3:14" x14ac:dyDescent="0.3">
      <c r="C6289" s="54"/>
      <c r="N6289" s="33"/>
    </row>
    <row r="6290" spans="3:14" x14ac:dyDescent="0.3">
      <c r="C6290" s="54"/>
      <c r="N6290" s="33"/>
    </row>
    <row r="6291" spans="3:14" x14ac:dyDescent="0.3">
      <c r="C6291" s="54"/>
      <c r="N6291" s="33"/>
    </row>
    <row r="6292" spans="3:14" x14ac:dyDescent="0.3">
      <c r="C6292" s="54"/>
      <c r="N6292" s="33"/>
    </row>
    <row r="6293" spans="3:14" x14ac:dyDescent="0.3">
      <c r="C6293" s="54"/>
      <c r="N6293" s="33"/>
    </row>
    <row r="6294" spans="3:14" x14ac:dyDescent="0.3">
      <c r="C6294" s="54"/>
      <c r="N6294" s="33"/>
    </row>
    <row r="6295" spans="3:14" x14ac:dyDescent="0.3">
      <c r="C6295" s="54"/>
      <c r="N6295" s="33"/>
    </row>
    <row r="6296" spans="3:14" x14ac:dyDescent="0.3">
      <c r="C6296" s="54"/>
      <c r="N6296" s="33"/>
    </row>
    <row r="6297" spans="3:14" x14ac:dyDescent="0.3">
      <c r="C6297" s="54"/>
      <c r="N6297" s="33"/>
    </row>
    <row r="6298" spans="3:14" x14ac:dyDescent="0.3">
      <c r="C6298" s="54"/>
      <c r="N6298" s="33"/>
    </row>
    <row r="6299" spans="3:14" x14ac:dyDescent="0.3">
      <c r="C6299" s="54"/>
      <c r="N6299" s="33"/>
    </row>
    <row r="6300" spans="3:14" x14ac:dyDescent="0.3">
      <c r="C6300" s="54"/>
      <c r="N6300" s="33"/>
    </row>
    <row r="6301" spans="3:14" x14ac:dyDescent="0.3">
      <c r="C6301" s="54"/>
      <c r="N6301" s="33"/>
    </row>
    <row r="6302" spans="3:14" x14ac:dyDescent="0.3">
      <c r="C6302" s="54"/>
      <c r="N6302" s="33"/>
    </row>
    <row r="6303" spans="3:14" x14ac:dyDescent="0.3">
      <c r="C6303" s="54"/>
      <c r="N6303" s="33"/>
    </row>
    <row r="6304" spans="3:14" x14ac:dyDescent="0.3">
      <c r="C6304" s="54"/>
      <c r="N6304" s="33"/>
    </row>
    <row r="6305" spans="3:14" x14ac:dyDescent="0.3">
      <c r="C6305" s="54"/>
      <c r="N6305" s="33"/>
    </row>
    <row r="6306" spans="3:14" x14ac:dyDescent="0.3">
      <c r="C6306" s="54"/>
      <c r="N6306" s="33"/>
    </row>
    <row r="6307" spans="3:14" x14ac:dyDescent="0.3">
      <c r="C6307" s="54"/>
      <c r="N6307" s="33"/>
    </row>
    <row r="6308" spans="3:14" x14ac:dyDescent="0.3">
      <c r="C6308" s="54"/>
      <c r="N6308" s="33"/>
    </row>
    <row r="6309" spans="3:14" x14ac:dyDescent="0.3">
      <c r="C6309" s="54"/>
      <c r="N6309" s="33"/>
    </row>
    <row r="6310" spans="3:14" x14ac:dyDescent="0.3">
      <c r="C6310" s="54"/>
      <c r="N6310" s="33"/>
    </row>
    <row r="6311" spans="3:14" x14ac:dyDescent="0.3">
      <c r="C6311" s="54"/>
      <c r="N6311" s="33"/>
    </row>
    <row r="6312" spans="3:14" x14ac:dyDescent="0.3">
      <c r="C6312" s="54"/>
      <c r="N6312" s="33"/>
    </row>
    <row r="6313" spans="3:14" x14ac:dyDescent="0.3">
      <c r="C6313" s="54"/>
      <c r="N6313" s="33"/>
    </row>
    <row r="6314" spans="3:14" x14ac:dyDescent="0.3">
      <c r="C6314" s="54"/>
      <c r="N6314" s="33"/>
    </row>
    <row r="6315" spans="3:14" x14ac:dyDescent="0.3">
      <c r="C6315" s="54"/>
      <c r="N6315" s="33"/>
    </row>
    <row r="6316" spans="3:14" x14ac:dyDescent="0.3">
      <c r="C6316" s="54"/>
      <c r="N6316" s="33"/>
    </row>
    <row r="6317" spans="3:14" x14ac:dyDescent="0.3">
      <c r="C6317" s="54"/>
      <c r="N6317" s="33"/>
    </row>
    <row r="6318" spans="3:14" x14ac:dyDescent="0.3">
      <c r="C6318" s="54"/>
      <c r="N6318" s="33"/>
    </row>
    <row r="6319" spans="3:14" x14ac:dyDescent="0.3">
      <c r="C6319" s="54"/>
      <c r="N6319" s="33"/>
    </row>
    <row r="6320" spans="3:14" x14ac:dyDescent="0.3">
      <c r="C6320" s="54"/>
      <c r="N6320" s="33"/>
    </row>
    <row r="6321" spans="3:14" x14ac:dyDescent="0.3">
      <c r="C6321" s="54"/>
      <c r="N6321" s="33"/>
    </row>
    <row r="6322" spans="3:14" x14ac:dyDescent="0.3">
      <c r="C6322" s="54"/>
      <c r="N6322" s="33"/>
    </row>
    <row r="6323" spans="3:14" x14ac:dyDescent="0.3">
      <c r="C6323" s="54"/>
      <c r="N6323" s="33"/>
    </row>
    <row r="6324" spans="3:14" x14ac:dyDescent="0.3">
      <c r="C6324" s="54"/>
      <c r="N6324" s="33"/>
    </row>
    <row r="6325" spans="3:14" x14ac:dyDescent="0.3">
      <c r="C6325" s="54"/>
      <c r="N6325" s="33"/>
    </row>
    <row r="6326" spans="3:14" x14ac:dyDescent="0.3">
      <c r="C6326" s="54"/>
      <c r="N6326" s="33"/>
    </row>
    <row r="6327" spans="3:14" x14ac:dyDescent="0.3">
      <c r="C6327" s="54"/>
      <c r="N6327" s="33"/>
    </row>
    <row r="6328" spans="3:14" x14ac:dyDescent="0.3">
      <c r="C6328" s="54"/>
      <c r="N6328" s="33"/>
    </row>
    <row r="6329" spans="3:14" x14ac:dyDescent="0.3">
      <c r="C6329" s="54"/>
      <c r="N6329" s="33"/>
    </row>
    <row r="6330" spans="3:14" x14ac:dyDescent="0.3">
      <c r="C6330" s="54"/>
      <c r="N6330" s="33"/>
    </row>
    <row r="6331" spans="3:14" x14ac:dyDescent="0.3">
      <c r="C6331" s="54"/>
      <c r="N6331" s="33"/>
    </row>
    <row r="6332" spans="3:14" x14ac:dyDescent="0.3">
      <c r="C6332" s="54"/>
      <c r="N6332" s="33"/>
    </row>
    <row r="6333" spans="3:14" x14ac:dyDescent="0.3">
      <c r="C6333" s="54"/>
      <c r="N6333" s="33"/>
    </row>
    <row r="6334" spans="3:14" x14ac:dyDescent="0.3">
      <c r="C6334" s="54"/>
      <c r="N6334" s="33"/>
    </row>
    <row r="6335" spans="3:14" x14ac:dyDescent="0.3">
      <c r="C6335" s="54"/>
      <c r="N6335" s="33"/>
    </row>
    <row r="6336" spans="3:14" x14ac:dyDescent="0.3">
      <c r="C6336" s="54"/>
      <c r="N6336" s="33"/>
    </row>
    <row r="6337" spans="3:14" x14ac:dyDescent="0.3">
      <c r="C6337" s="54"/>
      <c r="N6337" s="33"/>
    </row>
    <row r="6338" spans="3:14" x14ac:dyDescent="0.3">
      <c r="C6338" s="54"/>
      <c r="N6338" s="33"/>
    </row>
    <row r="6339" spans="3:14" x14ac:dyDescent="0.3">
      <c r="C6339" s="54"/>
      <c r="N6339" s="33"/>
    </row>
    <row r="6340" spans="3:14" x14ac:dyDescent="0.3">
      <c r="C6340" s="54"/>
      <c r="N6340" s="33"/>
    </row>
    <row r="6341" spans="3:14" x14ac:dyDescent="0.3">
      <c r="C6341" s="54"/>
      <c r="N6341" s="33"/>
    </row>
    <row r="6342" spans="3:14" x14ac:dyDescent="0.3">
      <c r="C6342" s="54"/>
      <c r="N6342" s="33"/>
    </row>
    <row r="6343" spans="3:14" x14ac:dyDescent="0.3">
      <c r="C6343" s="54"/>
      <c r="N6343" s="33"/>
    </row>
    <row r="6344" spans="3:14" x14ac:dyDescent="0.3">
      <c r="C6344" s="54"/>
      <c r="N6344" s="33"/>
    </row>
    <row r="6345" spans="3:14" x14ac:dyDescent="0.3">
      <c r="C6345" s="54"/>
      <c r="N6345" s="33"/>
    </row>
    <row r="6346" spans="3:14" x14ac:dyDescent="0.3">
      <c r="C6346" s="54"/>
      <c r="N6346" s="33"/>
    </row>
    <row r="6347" spans="3:14" x14ac:dyDescent="0.3">
      <c r="C6347" s="54"/>
      <c r="N6347" s="33"/>
    </row>
    <row r="6348" spans="3:14" x14ac:dyDescent="0.3">
      <c r="C6348" s="54"/>
      <c r="N6348" s="33"/>
    </row>
    <row r="6349" spans="3:14" x14ac:dyDescent="0.3">
      <c r="C6349" s="54"/>
      <c r="N6349" s="33"/>
    </row>
    <row r="6350" spans="3:14" x14ac:dyDescent="0.3">
      <c r="C6350" s="54"/>
      <c r="N6350" s="33"/>
    </row>
    <row r="6351" spans="3:14" x14ac:dyDescent="0.3">
      <c r="C6351" s="54"/>
      <c r="N6351" s="33"/>
    </row>
    <row r="6352" spans="3:14" x14ac:dyDescent="0.3">
      <c r="C6352" s="54"/>
      <c r="N6352" s="33"/>
    </row>
    <row r="6353" spans="3:14" x14ac:dyDescent="0.3">
      <c r="C6353" s="54"/>
      <c r="N6353" s="33"/>
    </row>
    <row r="6354" spans="3:14" x14ac:dyDescent="0.3">
      <c r="C6354" s="54"/>
      <c r="N6354" s="33"/>
    </row>
    <row r="6355" spans="3:14" x14ac:dyDescent="0.3">
      <c r="C6355" s="54"/>
      <c r="N6355" s="33"/>
    </row>
    <row r="6356" spans="3:14" x14ac:dyDescent="0.3">
      <c r="C6356" s="54"/>
      <c r="N6356" s="33"/>
    </row>
    <row r="6357" spans="3:14" x14ac:dyDescent="0.3">
      <c r="C6357" s="54"/>
      <c r="N6357" s="33"/>
    </row>
    <row r="6358" spans="3:14" x14ac:dyDescent="0.3">
      <c r="C6358" s="54"/>
      <c r="N6358" s="33"/>
    </row>
    <row r="6359" spans="3:14" x14ac:dyDescent="0.3">
      <c r="C6359" s="54"/>
      <c r="N6359" s="33"/>
    </row>
    <row r="6360" spans="3:14" x14ac:dyDescent="0.3">
      <c r="C6360" s="54"/>
      <c r="N6360" s="33"/>
    </row>
    <row r="6361" spans="3:14" x14ac:dyDescent="0.3">
      <c r="C6361" s="54"/>
      <c r="N6361" s="33"/>
    </row>
    <row r="6362" spans="3:14" x14ac:dyDescent="0.3">
      <c r="C6362" s="54"/>
      <c r="N6362" s="33"/>
    </row>
    <row r="6363" spans="3:14" x14ac:dyDescent="0.3">
      <c r="C6363" s="54"/>
      <c r="N6363" s="33"/>
    </row>
    <row r="6364" spans="3:14" x14ac:dyDescent="0.3">
      <c r="C6364" s="54"/>
      <c r="N6364" s="33"/>
    </row>
    <row r="6365" spans="3:14" x14ac:dyDescent="0.3">
      <c r="C6365" s="54"/>
      <c r="N6365" s="33"/>
    </row>
    <row r="6366" spans="3:14" x14ac:dyDescent="0.3">
      <c r="C6366" s="54"/>
      <c r="N6366" s="33"/>
    </row>
    <row r="6367" spans="3:14" x14ac:dyDescent="0.3">
      <c r="C6367" s="54"/>
      <c r="N6367" s="33"/>
    </row>
    <row r="6368" spans="3:14" x14ac:dyDescent="0.3">
      <c r="C6368" s="54"/>
      <c r="N6368" s="33"/>
    </row>
    <row r="6369" spans="3:14" x14ac:dyDescent="0.3">
      <c r="C6369" s="54"/>
      <c r="N6369" s="33"/>
    </row>
    <row r="6370" spans="3:14" x14ac:dyDescent="0.3">
      <c r="C6370" s="54"/>
      <c r="N6370" s="33"/>
    </row>
    <row r="6371" spans="3:14" x14ac:dyDescent="0.3">
      <c r="C6371" s="54"/>
      <c r="N6371" s="33"/>
    </row>
    <row r="6372" spans="3:14" x14ac:dyDescent="0.3">
      <c r="C6372" s="54"/>
      <c r="N6372" s="33"/>
    </row>
    <row r="6373" spans="3:14" x14ac:dyDescent="0.3">
      <c r="C6373" s="54"/>
      <c r="N6373" s="33"/>
    </row>
    <row r="6374" spans="3:14" x14ac:dyDescent="0.3">
      <c r="C6374" s="54"/>
      <c r="N6374" s="33"/>
    </row>
    <row r="6375" spans="3:14" x14ac:dyDescent="0.3">
      <c r="C6375" s="54"/>
      <c r="N6375" s="33"/>
    </row>
    <row r="6376" spans="3:14" x14ac:dyDescent="0.3">
      <c r="C6376" s="54"/>
      <c r="N6376" s="33"/>
    </row>
    <row r="6377" spans="3:14" x14ac:dyDescent="0.3">
      <c r="C6377" s="54"/>
      <c r="N6377" s="33"/>
    </row>
    <row r="6378" spans="3:14" x14ac:dyDescent="0.3">
      <c r="C6378" s="54"/>
      <c r="N6378" s="33"/>
    </row>
    <row r="6379" spans="3:14" x14ac:dyDescent="0.3">
      <c r="C6379" s="54"/>
      <c r="N6379" s="33"/>
    </row>
    <row r="6380" spans="3:14" x14ac:dyDescent="0.3">
      <c r="C6380" s="54"/>
      <c r="N6380" s="33"/>
    </row>
    <row r="6381" spans="3:14" x14ac:dyDescent="0.3">
      <c r="C6381" s="54"/>
      <c r="N6381" s="33"/>
    </row>
    <row r="6382" spans="3:14" x14ac:dyDescent="0.3">
      <c r="C6382" s="54"/>
      <c r="N6382" s="33"/>
    </row>
    <row r="6383" spans="3:14" x14ac:dyDescent="0.3">
      <c r="C6383" s="54"/>
      <c r="N6383" s="33"/>
    </row>
    <row r="6384" spans="3:14" x14ac:dyDescent="0.3">
      <c r="C6384" s="54"/>
      <c r="N6384" s="33"/>
    </row>
    <row r="6385" spans="3:14" x14ac:dyDescent="0.3">
      <c r="C6385" s="54"/>
      <c r="N6385" s="33"/>
    </row>
    <row r="6386" spans="3:14" x14ac:dyDescent="0.3">
      <c r="C6386" s="54"/>
      <c r="N6386" s="33"/>
    </row>
    <row r="6387" spans="3:14" x14ac:dyDescent="0.3">
      <c r="C6387" s="54"/>
      <c r="N6387" s="33"/>
    </row>
    <row r="6388" spans="3:14" x14ac:dyDescent="0.3">
      <c r="C6388" s="54"/>
      <c r="N6388" s="33"/>
    </row>
    <row r="6389" spans="3:14" x14ac:dyDescent="0.3">
      <c r="C6389" s="54"/>
      <c r="N6389" s="33"/>
    </row>
    <row r="6390" spans="3:14" x14ac:dyDescent="0.3">
      <c r="C6390" s="54"/>
      <c r="N6390" s="33"/>
    </row>
    <row r="6391" spans="3:14" x14ac:dyDescent="0.3">
      <c r="C6391" s="54"/>
      <c r="N6391" s="33"/>
    </row>
    <row r="6392" spans="3:14" x14ac:dyDescent="0.3">
      <c r="C6392" s="54"/>
      <c r="N6392" s="33"/>
    </row>
    <row r="6393" spans="3:14" x14ac:dyDescent="0.3">
      <c r="C6393" s="54"/>
      <c r="N6393" s="33"/>
    </row>
    <row r="6394" spans="3:14" x14ac:dyDescent="0.3">
      <c r="C6394" s="54"/>
      <c r="N6394" s="33"/>
    </row>
    <row r="6395" spans="3:14" x14ac:dyDescent="0.3">
      <c r="C6395" s="54"/>
      <c r="N6395" s="33"/>
    </row>
    <row r="6396" spans="3:14" x14ac:dyDescent="0.3">
      <c r="C6396" s="54"/>
      <c r="N6396" s="33"/>
    </row>
    <row r="6397" spans="3:14" x14ac:dyDescent="0.3">
      <c r="C6397" s="54"/>
      <c r="N6397" s="33"/>
    </row>
    <row r="6398" spans="3:14" x14ac:dyDescent="0.3">
      <c r="C6398" s="54"/>
      <c r="N6398" s="33"/>
    </row>
    <row r="6399" spans="3:14" x14ac:dyDescent="0.3">
      <c r="C6399" s="54"/>
      <c r="N6399" s="33"/>
    </row>
    <row r="6400" spans="3:14" x14ac:dyDescent="0.3">
      <c r="C6400" s="54"/>
      <c r="N6400" s="33"/>
    </row>
    <row r="6401" spans="3:14" x14ac:dyDescent="0.3">
      <c r="C6401" s="54"/>
      <c r="N6401" s="33"/>
    </row>
    <row r="6402" spans="3:14" x14ac:dyDescent="0.3">
      <c r="C6402" s="54"/>
      <c r="N6402" s="33"/>
    </row>
    <row r="6403" spans="3:14" x14ac:dyDescent="0.3">
      <c r="C6403" s="54"/>
      <c r="N6403" s="33"/>
    </row>
    <row r="6404" spans="3:14" x14ac:dyDescent="0.3">
      <c r="C6404" s="54"/>
      <c r="N6404" s="33"/>
    </row>
    <row r="6405" spans="3:14" x14ac:dyDescent="0.3">
      <c r="C6405" s="54"/>
      <c r="N6405" s="33"/>
    </row>
    <row r="6406" spans="3:14" x14ac:dyDescent="0.3">
      <c r="C6406" s="54"/>
      <c r="N6406" s="33"/>
    </row>
    <row r="6407" spans="3:14" x14ac:dyDescent="0.3">
      <c r="C6407" s="54"/>
      <c r="N6407" s="33"/>
    </row>
    <row r="6408" spans="3:14" x14ac:dyDescent="0.3">
      <c r="C6408" s="54"/>
      <c r="N6408" s="33"/>
    </row>
    <row r="6409" spans="3:14" x14ac:dyDescent="0.3">
      <c r="C6409" s="54"/>
      <c r="N6409" s="33"/>
    </row>
    <row r="6410" spans="3:14" x14ac:dyDescent="0.3">
      <c r="C6410" s="54"/>
      <c r="N6410" s="33"/>
    </row>
    <row r="6411" spans="3:14" x14ac:dyDescent="0.3">
      <c r="C6411" s="54"/>
      <c r="N6411" s="33"/>
    </row>
    <row r="6412" spans="3:14" x14ac:dyDescent="0.3">
      <c r="C6412" s="54"/>
      <c r="N6412" s="33"/>
    </row>
    <row r="6413" spans="3:14" x14ac:dyDescent="0.3">
      <c r="C6413" s="54"/>
      <c r="N6413" s="33"/>
    </row>
    <row r="6414" spans="3:14" x14ac:dyDescent="0.3">
      <c r="C6414" s="54"/>
      <c r="N6414" s="33"/>
    </row>
    <row r="6415" spans="3:14" x14ac:dyDescent="0.3">
      <c r="C6415" s="54"/>
      <c r="N6415" s="33"/>
    </row>
    <row r="6416" spans="3:14" x14ac:dyDescent="0.3">
      <c r="C6416" s="54"/>
      <c r="N6416" s="33"/>
    </row>
    <row r="6417" spans="3:14" x14ac:dyDescent="0.3">
      <c r="C6417" s="54"/>
      <c r="N6417" s="33"/>
    </row>
    <row r="6418" spans="3:14" x14ac:dyDescent="0.3">
      <c r="C6418" s="54"/>
      <c r="N6418" s="33"/>
    </row>
    <row r="6419" spans="3:14" x14ac:dyDescent="0.3">
      <c r="C6419" s="54"/>
      <c r="N6419" s="33"/>
    </row>
    <row r="6420" spans="3:14" x14ac:dyDescent="0.3">
      <c r="C6420" s="54"/>
      <c r="N6420" s="33"/>
    </row>
    <row r="6421" spans="3:14" x14ac:dyDescent="0.3">
      <c r="C6421" s="54"/>
      <c r="N6421" s="33"/>
    </row>
    <row r="6422" spans="3:14" x14ac:dyDescent="0.3">
      <c r="C6422" s="54"/>
      <c r="N6422" s="33"/>
    </row>
    <row r="6423" spans="3:14" x14ac:dyDescent="0.3">
      <c r="C6423" s="54"/>
      <c r="N6423" s="33"/>
    </row>
    <row r="6424" spans="3:14" x14ac:dyDescent="0.3">
      <c r="C6424" s="54"/>
      <c r="N6424" s="33"/>
    </row>
    <row r="6425" spans="3:14" x14ac:dyDescent="0.3">
      <c r="C6425" s="54"/>
      <c r="N6425" s="33"/>
    </row>
    <row r="6426" spans="3:14" x14ac:dyDescent="0.3">
      <c r="C6426" s="54"/>
      <c r="N6426" s="33"/>
    </row>
    <row r="6427" spans="3:14" x14ac:dyDescent="0.3">
      <c r="C6427" s="54"/>
      <c r="N6427" s="33"/>
    </row>
    <row r="6428" spans="3:14" x14ac:dyDescent="0.3">
      <c r="C6428" s="54"/>
      <c r="N6428" s="33"/>
    </row>
    <row r="6429" spans="3:14" x14ac:dyDescent="0.3">
      <c r="C6429" s="54"/>
      <c r="N6429" s="33"/>
    </row>
    <row r="6430" spans="3:14" x14ac:dyDescent="0.3">
      <c r="C6430" s="54"/>
      <c r="N6430" s="33"/>
    </row>
    <row r="6431" spans="3:14" x14ac:dyDescent="0.3">
      <c r="C6431" s="54"/>
      <c r="N6431" s="33"/>
    </row>
    <row r="6432" spans="3:14" x14ac:dyDescent="0.3">
      <c r="C6432" s="54"/>
      <c r="N6432" s="33"/>
    </row>
    <row r="6433" spans="3:14" x14ac:dyDescent="0.3">
      <c r="C6433" s="54"/>
      <c r="N6433" s="33"/>
    </row>
    <row r="6434" spans="3:14" x14ac:dyDescent="0.3">
      <c r="C6434" s="54"/>
      <c r="N6434" s="33"/>
    </row>
    <row r="6435" spans="3:14" x14ac:dyDescent="0.3">
      <c r="C6435" s="54"/>
      <c r="N6435" s="33"/>
    </row>
    <row r="6436" spans="3:14" x14ac:dyDescent="0.3">
      <c r="C6436" s="54"/>
      <c r="N6436" s="33"/>
    </row>
    <row r="6437" spans="3:14" x14ac:dyDescent="0.3">
      <c r="C6437" s="54"/>
      <c r="N6437" s="33"/>
    </row>
    <row r="6438" spans="3:14" x14ac:dyDescent="0.3">
      <c r="C6438" s="54"/>
      <c r="N6438" s="33"/>
    </row>
    <row r="6439" spans="3:14" x14ac:dyDescent="0.3">
      <c r="C6439" s="54"/>
      <c r="N6439" s="33"/>
    </row>
    <row r="6440" spans="3:14" x14ac:dyDescent="0.3">
      <c r="C6440" s="54"/>
      <c r="N6440" s="33"/>
    </row>
    <row r="6441" spans="3:14" x14ac:dyDescent="0.3">
      <c r="C6441" s="54"/>
      <c r="N6441" s="33"/>
    </row>
    <row r="6442" spans="3:14" x14ac:dyDescent="0.3">
      <c r="C6442" s="54"/>
      <c r="N6442" s="33"/>
    </row>
    <row r="6443" spans="3:14" x14ac:dyDescent="0.3">
      <c r="C6443" s="54"/>
      <c r="N6443" s="33"/>
    </row>
    <row r="6444" spans="3:14" x14ac:dyDescent="0.3">
      <c r="C6444" s="54"/>
      <c r="N6444" s="33"/>
    </row>
    <row r="6445" spans="3:14" x14ac:dyDescent="0.3">
      <c r="C6445" s="54"/>
      <c r="N6445" s="33"/>
    </row>
    <row r="6446" spans="3:14" x14ac:dyDescent="0.3">
      <c r="C6446" s="54"/>
      <c r="N6446" s="33"/>
    </row>
    <row r="6447" spans="3:14" x14ac:dyDescent="0.3">
      <c r="C6447" s="54"/>
      <c r="N6447" s="33"/>
    </row>
    <row r="6448" spans="3:14" x14ac:dyDescent="0.3">
      <c r="C6448" s="54"/>
      <c r="N6448" s="33"/>
    </row>
    <row r="6449" spans="3:14" x14ac:dyDescent="0.3">
      <c r="C6449" s="54"/>
      <c r="N6449" s="33"/>
    </row>
    <row r="6450" spans="3:14" x14ac:dyDescent="0.3">
      <c r="C6450" s="54"/>
      <c r="N6450" s="33"/>
    </row>
    <row r="6451" spans="3:14" x14ac:dyDescent="0.3">
      <c r="C6451" s="54"/>
      <c r="N6451" s="33"/>
    </row>
    <row r="6452" spans="3:14" x14ac:dyDescent="0.3">
      <c r="C6452" s="54"/>
      <c r="N6452" s="33"/>
    </row>
    <row r="6453" spans="3:14" x14ac:dyDescent="0.3">
      <c r="C6453" s="54"/>
      <c r="N6453" s="33"/>
    </row>
    <row r="6454" spans="3:14" x14ac:dyDescent="0.3">
      <c r="C6454" s="54"/>
      <c r="N6454" s="33"/>
    </row>
    <row r="6455" spans="3:14" x14ac:dyDescent="0.3">
      <c r="C6455" s="54"/>
      <c r="N6455" s="33"/>
    </row>
    <row r="6456" spans="3:14" x14ac:dyDescent="0.3">
      <c r="C6456" s="54"/>
      <c r="N6456" s="33"/>
    </row>
    <row r="6457" spans="3:14" x14ac:dyDescent="0.3">
      <c r="C6457" s="54"/>
      <c r="N6457" s="33"/>
    </row>
    <row r="6458" spans="3:14" x14ac:dyDescent="0.3">
      <c r="C6458" s="54"/>
      <c r="N6458" s="33"/>
    </row>
    <row r="6459" spans="3:14" x14ac:dyDescent="0.3">
      <c r="C6459" s="54"/>
      <c r="N6459" s="33"/>
    </row>
    <row r="6460" spans="3:14" x14ac:dyDescent="0.3">
      <c r="C6460" s="54"/>
      <c r="N6460" s="33"/>
    </row>
    <row r="6461" spans="3:14" x14ac:dyDescent="0.3">
      <c r="C6461" s="54"/>
      <c r="N6461" s="33"/>
    </row>
    <row r="6462" spans="3:14" x14ac:dyDescent="0.3">
      <c r="C6462" s="54"/>
      <c r="N6462" s="33"/>
    </row>
    <row r="6463" spans="3:14" x14ac:dyDescent="0.3">
      <c r="C6463" s="54"/>
      <c r="N6463" s="33"/>
    </row>
    <row r="6464" spans="3:14" x14ac:dyDescent="0.3">
      <c r="C6464" s="54"/>
      <c r="N6464" s="33"/>
    </row>
    <row r="6465" spans="3:14" x14ac:dyDescent="0.3">
      <c r="C6465" s="54"/>
      <c r="N6465" s="33"/>
    </row>
    <row r="6466" spans="3:14" x14ac:dyDescent="0.3">
      <c r="C6466" s="54"/>
      <c r="N6466" s="33"/>
    </row>
    <row r="6467" spans="3:14" x14ac:dyDescent="0.3">
      <c r="C6467" s="54"/>
      <c r="N6467" s="33"/>
    </row>
    <row r="6468" spans="3:14" x14ac:dyDescent="0.3">
      <c r="C6468" s="54"/>
      <c r="N6468" s="33"/>
    </row>
    <row r="6469" spans="3:14" x14ac:dyDescent="0.3">
      <c r="C6469" s="54"/>
      <c r="N6469" s="33"/>
    </row>
    <row r="6470" spans="3:14" x14ac:dyDescent="0.3">
      <c r="C6470" s="54"/>
      <c r="N6470" s="33"/>
    </row>
    <row r="6471" spans="3:14" x14ac:dyDescent="0.3">
      <c r="C6471" s="54"/>
      <c r="N6471" s="33"/>
    </row>
    <row r="6472" spans="3:14" x14ac:dyDescent="0.3">
      <c r="C6472" s="54"/>
      <c r="N6472" s="33"/>
    </row>
    <row r="6473" spans="3:14" x14ac:dyDescent="0.3">
      <c r="C6473" s="54"/>
      <c r="N6473" s="33"/>
    </row>
    <row r="6474" spans="3:14" x14ac:dyDescent="0.3">
      <c r="C6474" s="54"/>
      <c r="N6474" s="33"/>
    </row>
    <row r="6475" spans="3:14" x14ac:dyDescent="0.3">
      <c r="C6475" s="54"/>
      <c r="N6475" s="33"/>
    </row>
    <row r="6476" spans="3:14" x14ac:dyDescent="0.3">
      <c r="C6476" s="54"/>
      <c r="N6476" s="33"/>
    </row>
    <row r="6477" spans="3:14" x14ac:dyDescent="0.3">
      <c r="C6477" s="54"/>
      <c r="N6477" s="33"/>
    </row>
    <row r="6478" spans="3:14" x14ac:dyDescent="0.3">
      <c r="C6478" s="54"/>
      <c r="N6478" s="33"/>
    </row>
    <row r="6479" spans="3:14" x14ac:dyDescent="0.3">
      <c r="C6479" s="54"/>
      <c r="N6479" s="33"/>
    </row>
    <row r="6480" spans="3:14" x14ac:dyDescent="0.3">
      <c r="C6480" s="54"/>
      <c r="N6480" s="33"/>
    </row>
    <row r="6481" spans="3:14" x14ac:dyDescent="0.3">
      <c r="C6481" s="54"/>
      <c r="N6481" s="33"/>
    </row>
    <row r="6482" spans="3:14" x14ac:dyDescent="0.3">
      <c r="C6482" s="54"/>
      <c r="N6482" s="33"/>
    </row>
    <row r="6483" spans="3:14" x14ac:dyDescent="0.3">
      <c r="C6483" s="54"/>
      <c r="N6483" s="33"/>
    </row>
    <row r="6484" spans="3:14" x14ac:dyDescent="0.3">
      <c r="C6484" s="54"/>
      <c r="N6484" s="33"/>
    </row>
    <row r="6485" spans="3:14" x14ac:dyDescent="0.3">
      <c r="C6485" s="54"/>
      <c r="N6485" s="33"/>
    </row>
    <row r="6486" spans="3:14" x14ac:dyDescent="0.3">
      <c r="C6486" s="54"/>
      <c r="N6486" s="33"/>
    </row>
    <row r="6487" spans="3:14" x14ac:dyDescent="0.3">
      <c r="C6487" s="54"/>
      <c r="N6487" s="33"/>
    </row>
    <row r="6488" spans="3:14" x14ac:dyDescent="0.3">
      <c r="C6488" s="54"/>
      <c r="N6488" s="33"/>
    </row>
    <row r="6489" spans="3:14" x14ac:dyDescent="0.3">
      <c r="C6489" s="54"/>
      <c r="N6489" s="33"/>
    </row>
    <row r="6490" spans="3:14" x14ac:dyDescent="0.3">
      <c r="C6490" s="54"/>
      <c r="N6490" s="33"/>
    </row>
    <row r="6491" spans="3:14" x14ac:dyDescent="0.3">
      <c r="C6491" s="54"/>
      <c r="N6491" s="33"/>
    </row>
    <row r="6492" spans="3:14" x14ac:dyDescent="0.3">
      <c r="C6492" s="54"/>
      <c r="N6492" s="33"/>
    </row>
    <row r="6493" spans="3:14" x14ac:dyDescent="0.3">
      <c r="C6493" s="54"/>
      <c r="N6493" s="33"/>
    </row>
    <row r="6494" spans="3:14" x14ac:dyDescent="0.3">
      <c r="C6494" s="54"/>
      <c r="N6494" s="33"/>
    </row>
    <row r="6495" spans="3:14" x14ac:dyDescent="0.3">
      <c r="C6495" s="54"/>
      <c r="N6495" s="33"/>
    </row>
    <row r="6496" spans="3:14" x14ac:dyDescent="0.3">
      <c r="C6496" s="54"/>
      <c r="N6496" s="33"/>
    </row>
    <row r="6497" spans="3:14" x14ac:dyDescent="0.3">
      <c r="C6497" s="54"/>
      <c r="N6497" s="33"/>
    </row>
    <row r="6498" spans="3:14" x14ac:dyDescent="0.3">
      <c r="C6498" s="54"/>
      <c r="N6498" s="33"/>
    </row>
    <row r="6499" spans="3:14" x14ac:dyDescent="0.3">
      <c r="C6499" s="54"/>
      <c r="N6499" s="33"/>
    </row>
    <row r="6500" spans="3:14" x14ac:dyDescent="0.3">
      <c r="C6500" s="54"/>
      <c r="N6500" s="33"/>
    </row>
    <row r="6501" spans="3:14" x14ac:dyDescent="0.3">
      <c r="C6501" s="54"/>
      <c r="N6501" s="33"/>
    </row>
    <row r="6502" spans="3:14" x14ac:dyDescent="0.3">
      <c r="C6502" s="54"/>
      <c r="N6502" s="33"/>
    </row>
    <row r="6503" spans="3:14" x14ac:dyDescent="0.3">
      <c r="C6503" s="54"/>
      <c r="N6503" s="33"/>
    </row>
    <row r="6504" spans="3:14" x14ac:dyDescent="0.3">
      <c r="C6504" s="54"/>
      <c r="N6504" s="33"/>
    </row>
    <row r="6505" spans="3:14" x14ac:dyDescent="0.3">
      <c r="C6505" s="54"/>
      <c r="N6505" s="33"/>
    </row>
    <row r="6506" spans="3:14" x14ac:dyDescent="0.3">
      <c r="C6506" s="54"/>
      <c r="N6506" s="33"/>
    </row>
    <row r="6507" spans="3:14" x14ac:dyDescent="0.3">
      <c r="C6507" s="54"/>
      <c r="N6507" s="33"/>
    </row>
    <row r="6508" spans="3:14" x14ac:dyDescent="0.3">
      <c r="C6508" s="54"/>
      <c r="N6508" s="33"/>
    </row>
    <row r="6509" spans="3:14" x14ac:dyDescent="0.3">
      <c r="C6509" s="54"/>
      <c r="N6509" s="33"/>
    </row>
    <row r="6510" spans="3:14" x14ac:dyDescent="0.3">
      <c r="C6510" s="54"/>
      <c r="N6510" s="33"/>
    </row>
    <row r="6511" spans="3:14" x14ac:dyDescent="0.3">
      <c r="C6511" s="54"/>
      <c r="N6511" s="33"/>
    </row>
    <row r="6512" spans="3:14" x14ac:dyDescent="0.3">
      <c r="C6512" s="54"/>
      <c r="N6512" s="33"/>
    </row>
    <row r="6513" spans="3:14" x14ac:dyDescent="0.3">
      <c r="C6513" s="54"/>
      <c r="N6513" s="33"/>
    </row>
    <row r="6514" spans="3:14" x14ac:dyDescent="0.3">
      <c r="C6514" s="54"/>
      <c r="N6514" s="33"/>
    </row>
    <row r="6515" spans="3:14" x14ac:dyDescent="0.3">
      <c r="C6515" s="54"/>
      <c r="N6515" s="33"/>
    </row>
    <row r="6516" spans="3:14" x14ac:dyDescent="0.3">
      <c r="C6516" s="54"/>
      <c r="N6516" s="33"/>
    </row>
    <row r="6517" spans="3:14" x14ac:dyDescent="0.3">
      <c r="C6517" s="54"/>
      <c r="N6517" s="33"/>
    </row>
    <row r="6518" spans="3:14" x14ac:dyDescent="0.3">
      <c r="C6518" s="54"/>
      <c r="N6518" s="33"/>
    </row>
    <row r="6519" spans="3:14" x14ac:dyDescent="0.3">
      <c r="C6519" s="54"/>
      <c r="N6519" s="33"/>
    </row>
    <row r="6520" spans="3:14" x14ac:dyDescent="0.3">
      <c r="C6520" s="54"/>
      <c r="N6520" s="33"/>
    </row>
    <row r="6521" spans="3:14" x14ac:dyDescent="0.3">
      <c r="C6521" s="54"/>
      <c r="N6521" s="33"/>
    </row>
    <row r="6522" spans="3:14" x14ac:dyDescent="0.3">
      <c r="C6522" s="54"/>
      <c r="N6522" s="33"/>
    </row>
    <row r="6523" spans="3:14" x14ac:dyDescent="0.3">
      <c r="C6523" s="54"/>
      <c r="N6523" s="33"/>
    </row>
    <row r="6524" spans="3:14" x14ac:dyDescent="0.3">
      <c r="C6524" s="54"/>
      <c r="N6524" s="33"/>
    </row>
    <row r="6525" spans="3:14" x14ac:dyDescent="0.3">
      <c r="C6525" s="54"/>
      <c r="N6525" s="33"/>
    </row>
    <row r="6526" spans="3:14" x14ac:dyDescent="0.3">
      <c r="C6526" s="54"/>
      <c r="N6526" s="33"/>
    </row>
    <row r="6527" spans="3:14" x14ac:dyDescent="0.3">
      <c r="C6527" s="54"/>
      <c r="N6527" s="33"/>
    </row>
    <row r="6528" spans="3:14" x14ac:dyDescent="0.3">
      <c r="C6528" s="54"/>
      <c r="N6528" s="33"/>
    </row>
    <row r="6529" spans="3:14" x14ac:dyDescent="0.3">
      <c r="C6529" s="54"/>
      <c r="N6529" s="33"/>
    </row>
    <row r="6530" spans="3:14" x14ac:dyDescent="0.3">
      <c r="C6530" s="54"/>
      <c r="N6530" s="33"/>
    </row>
    <row r="6531" spans="3:14" x14ac:dyDescent="0.3">
      <c r="C6531" s="54"/>
      <c r="N6531" s="33"/>
    </row>
    <row r="6532" spans="3:14" x14ac:dyDescent="0.3">
      <c r="C6532" s="54"/>
      <c r="N6532" s="33"/>
    </row>
    <row r="6533" spans="3:14" x14ac:dyDescent="0.3">
      <c r="C6533" s="54"/>
      <c r="N6533" s="33"/>
    </row>
    <row r="6534" spans="3:14" x14ac:dyDescent="0.3">
      <c r="C6534" s="54"/>
      <c r="N6534" s="33"/>
    </row>
    <row r="6535" spans="3:14" x14ac:dyDescent="0.3">
      <c r="C6535" s="54"/>
      <c r="N6535" s="33"/>
    </row>
    <row r="6536" spans="3:14" x14ac:dyDescent="0.3">
      <c r="C6536" s="54"/>
      <c r="N6536" s="33"/>
    </row>
    <row r="6537" spans="3:14" x14ac:dyDescent="0.3">
      <c r="C6537" s="54"/>
      <c r="N6537" s="33"/>
    </row>
    <row r="6538" spans="3:14" x14ac:dyDescent="0.3">
      <c r="C6538" s="54"/>
      <c r="N6538" s="33"/>
    </row>
    <row r="6539" spans="3:14" x14ac:dyDescent="0.3">
      <c r="C6539" s="54"/>
      <c r="N6539" s="33"/>
    </row>
    <row r="6540" spans="3:14" x14ac:dyDescent="0.3">
      <c r="C6540" s="54"/>
      <c r="N6540" s="33"/>
    </row>
    <row r="6541" spans="3:14" x14ac:dyDescent="0.3">
      <c r="C6541" s="54"/>
      <c r="N6541" s="33"/>
    </row>
    <row r="6542" spans="3:14" x14ac:dyDescent="0.3">
      <c r="C6542" s="54"/>
      <c r="N6542" s="33"/>
    </row>
    <row r="6543" spans="3:14" x14ac:dyDescent="0.3">
      <c r="C6543" s="54"/>
      <c r="N6543" s="33"/>
    </row>
    <row r="6544" spans="3:14" x14ac:dyDescent="0.3">
      <c r="C6544" s="54"/>
      <c r="N6544" s="33"/>
    </row>
    <row r="6545" spans="3:14" x14ac:dyDescent="0.3">
      <c r="C6545" s="54"/>
      <c r="N6545" s="33"/>
    </row>
    <row r="6546" spans="3:14" x14ac:dyDescent="0.3">
      <c r="C6546" s="54"/>
      <c r="N6546" s="33"/>
    </row>
    <row r="6547" spans="3:14" x14ac:dyDescent="0.3">
      <c r="C6547" s="54"/>
      <c r="N6547" s="33"/>
    </row>
    <row r="6548" spans="3:14" x14ac:dyDescent="0.3">
      <c r="C6548" s="54"/>
      <c r="N6548" s="33"/>
    </row>
    <row r="6549" spans="3:14" x14ac:dyDescent="0.3">
      <c r="C6549" s="54"/>
      <c r="N6549" s="33"/>
    </row>
    <row r="6550" spans="3:14" x14ac:dyDescent="0.3">
      <c r="C6550" s="54"/>
      <c r="N6550" s="33"/>
    </row>
    <row r="6551" spans="3:14" x14ac:dyDescent="0.3">
      <c r="C6551" s="54"/>
      <c r="N6551" s="33"/>
    </row>
    <row r="6552" spans="3:14" x14ac:dyDescent="0.3">
      <c r="C6552" s="54"/>
      <c r="N6552" s="33"/>
    </row>
    <row r="6553" spans="3:14" x14ac:dyDescent="0.3">
      <c r="C6553" s="54"/>
      <c r="N6553" s="33"/>
    </row>
    <row r="6554" spans="3:14" x14ac:dyDescent="0.3">
      <c r="C6554" s="54"/>
      <c r="N6554" s="33"/>
    </row>
    <row r="6555" spans="3:14" x14ac:dyDescent="0.3">
      <c r="C6555" s="54"/>
      <c r="N6555" s="33"/>
    </row>
    <row r="6556" spans="3:14" x14ac:dyDescent="0.3">
      <c r="C6556" s="54"/>
      <c r="N6556" s="33"/>
    </row>
    <row r="6557" spans="3:14" x14ac:dyDescent="0.3">
      <c r="C6557" s="54"/>
      <c r="N6557" s="33"/>
    </row>
    <row r="6558" spans="3:14" x14ac:dyDescent="0.3">
      <c r="C6558" s="54"/>
      <c r="N6558" s="33"/>
    </row>
    <row r="6559" spans="3:14" x14ac:dyDescent="0.3">
      <c r="C6559" s="54"/>
      <c r="N6559" s="33"/>
    </row>
    <row r="6560" spans="3:14" x14ac:dyDescent="0.3">
      <c r="C6560" s="54"/>
      <c r="N6560" s="33"/>
    </row>
    <row r="6561" spans="3:14" x14ac:dyDescent="0.3">
      <c r="C6561" s="54"/>
      <c r="N6561" s="33"/>
    </row>
    <row r="6562" spans="3:14" x14ac:dyDescent="0.3">
      <c r="C6562" s="54"/>
      <c r="N6562" s="33"/>
    </row>
    <row r="6563" spans="3:14" x14ac:dyDescent="0.3">
      <c r="C6563" s="54"/>
      <c r="N6563" s="33"/>
    </row>
    <row r="6564" spans="3:14" x14ac:dyDescent="0.3">
      <c r="C6564" s="54"/>
      <c r="N6564" s="33"/>
    </row>
    <row r="6565" spans="3:14" x14ac:dyDescent="0.3">
      <c r="C6565" s="54"/>
      <c r="N6565" s="33"/>
    </row>
    <row r="6566" spans="3:14" x14ac:dyDescent="0.3">
      <c r="C6566" s="54"/>
      <c r="N6566" s="33"/>
    </row>
    <row r="6567" spans="3:14" x14ac:dyDescent="0.3">
      <c r="C6567" s="54"/>
      <c r="N6567" s="33"/>
    </row>
    <row r="6568" spans="3:14" x14ac:dyDescent="0.3">
      <c r="C6568" s="54"/>
      <c r="N6568" s="33"/>
    </row>
    <row r="6569" spans="3:14" x14ac:dyDescent="0.3">
      <c r="C6569" s="54"/>
      <c r="N6569" s="33"/>
    </row>
    <row r="6570" spans="3:14" x14ac:dyDescent="0.3">
      <c r="C6570" s="54"/>
      <c r="N6570" s="33"/>
    </row>
    <row r="6571" spans="3:14" x14ac:dyDescent="0.3">
      <c r="C6571" s="54"/>
      <c r="N6571" s="33"/>
    </row>
    <row r="6572" spans="3:14" x14ac:dyDescent="0.3">
      <c r="C6572" s="54"/>
      <c r="N6572" s="33"/>
    </row>
    <row r="6573" spans="3:14" x14ac:dyDescent="0.3">
      <c r="C6573" s="54"/>
      <c r="N6573" s="33"/>
    </row>
    <row r="6574" spans="3:14" x14ac:dyDescent="0.3">
      <c r="C6574" s="54"/>
      <c r="N6574" s="33"/>
    </row>
    <row r="6575" spans="3:14" x14ac:dyDescent="0.3">
      <c r="C6575" s="54"/>
      <c r="N6575" s="33"/>
    </row>
    <row r="6576" spans="3:14" x14ac:dyDescent="0.3">
      <c r="C6576" s="54"/>
      <c r="N6576" s="33"/>
    </row>
    <row r="6577" spans="3:14" x14ac:dyDescent="0.3">
      <c r="C6577" s="54"/>
      <c r="N6577" s="33"/>
    </row>
    <row r="6578" spans="3:14" x14ac:dyDescent="0.3">
      <c r="C6578" s="54"/>
      <c r="N6578" s="33"/>
    </row>
    <row r="6579" spans="3:14" x14ac:dyDescent="0.3">
      <c r="C6579" s="54"/>
      <c r="N6579" s="33"/>
    </row>
    <row r="6580" spans="3:14" x14ac:dyDescent="0.3">
      <c r="C6580" s="54"/>
      <c r="N6580" s="33"/>
    </row>
    <row r="6581" spans="3:14" x14ac:dyDescent="0.3">
      <c r="C6581" s="54"/>
      <c r="N6581" s="33"/>
    </row>
    <row r="6582" spans="3:14" x14ac:dyDescent="0.3">
      <c r="C6582" s="54"/>
      <c r="N6582" s="33"/>
    </row>
    <row r="6583" spans="3:14" x14ac:dyDescent="0.3">
      <c r="C6583" s="54"/>
      <c r="N6583" s="33"/>
    </row>
    <row r="6584" spans="3:14" x14ac:dyDescent="0.3">
      <c r="C6584" s="54"/>
      <c r="N6584" s="33"/>
    </row>
    <row r="6585" spans="3:14" x14ac:dyDescent="0.3">
      <c r="C6585" s="54"/>
      <c r="N6585" s="33"/>
    </row>
    <row r="6586" spans="3:14" x14ac:dyDescent="0.3">
      <c r="C6586" s="54"/>
      <c r="N6586" s="33"/>
    </row>
    <row r="6587" spans="3:14" x14ac:dyDescent="0.3">
      <c r="C6587" s="54"/>
      <c r="N6587" s="33"/>
    </row>
    <row r="6588" spans="3:14" x14ac:dyDescent="0.3">
      <c r="C6588" s="54"/>
      <c r="N6588" s="33"/>
    </row>
    <row r="6589" spans="3:14" x14ac:dyDescent="0.3">
      <c r="C6589" s="54"/>
      <c r="N6589" s="33"/>
    </row>
    <row r="6590" spans="3:14" x14ac:dyDescent="0.3">
      <c r="C6590" s="54"/>
      <c r="N6590" s="33"/>
    </row>
    <row r="6591" spans="3:14" x14ac:dyDescent="0.3">
      <c r="C6591" s="54"/>
      <c r="N6591" s="33"/>
    </row>
    <row r="6592" spans="3:14" x14ac:dyDescent="0.3">
      <c r="C6592" s="54"/>
      <c r="N6592" s="33"/>
    </row>
    <row r="6593" spans="3:14" x14ac:dyDescent="0.3">
      <c r="C6593" s="54"/>
      <c r="N6593" s="33"/>
    </row>
    <row r="6594" spans="3:14" x14ac:dyDescent="0.3">
      <c r="C6594" s="54"/>
      <c r="N6594" s="33"/>
    </row>
    <row r="6595" spans="3:14" x14ac:dyDescent="0.3">
      <c r="C6595" s="54"/>
      <c r="N6595" s="33"/>
    </row>
    <row r="6596" spans="3:14" x14ac:dyDescent="0.3">
      <c r="C6596" s="54"/>
      <c r="N6596" s="33"/>
    </row>
    <row r="6597" spans="3:14" x14ac:dyDescent="0.3">
      <c r="C6597" s="54"/>
      <c r="N6597" s="33"/>
    </row>
    <row r="6598" spans="3:14" x14ac:dyDescent="0.3">
      <c r="C6598" s="54"/>
      <c r="N6598" s="33"/>
    </row>
    <row r="6599" spans="3:14" x14ac:dyDescent="0.3">
      <c r="C6599" s="54"/>
      <c r="N6599" s="33"/>
    </row>
    <row r="6600" spans="3:14" x14ac:dyDescent="0.3">
      <c r="C6600" s="54"/>
      <c r="N6600" s="33"/>
    </row>
    <row r="6601" spans="3:14" x14ac:dyDescent="0.3">
      <c r="C6601" s="54"/>
      <c r="N6601" s="33"/>
    </row>
    <row r="6602" spans="3:14" x14ac:dyDescent="0.3">
      <c r="C6602" s="54"/>
      <c r="N6602" s="33"/>
    </row>
    <row r="6603" spans="3:14" x14ac:dyDescent="0.3">
      <c r="C6603" s="54"/>
      <c r="N6603" s="33"/>
    </row>
    <row r="6604" spans="3:14" x14ac:dyDescent="0.3">
      <c r="C6604" s="54"/>
      <c r="N6604" s="33"/>
    </row>
    <row r="6605" spans="3:14" x14ac:dyDescent="0.3">
      <c r="C6605" s="54"/>
      <c r="N6605" s="33"/>
    </row>
    <row r="6606" spans="3:14" x14ac:dyDescent="0.3">
      <c r="C6606" s="54"/>
      <c r="N6606" s="33"/>
    </row>
    <row r="6607" spans="3:14" x14ac:dyDescent="0.3">
      <c r="C6607" s="54"/>
      <c r="N6607" s="33"/>
    </row>
    <row r="6608" spans="3:14" x14ac:dyDescent="0.3">
      <c r="C6608" s="54"/>
      <c r="N6608" s="33"/>
    </row>
    <row r="6609" spans="3:14" x14ac:dyDescent="0.3">
      <c r="C6609" s="54"/>
      <c r="N6609" s="33"/>
    </row>
    <row r="6610" spans="3:14" x14ac:dyDescent="0.3">
      <c r="C6610" s="54"/>
      <c r="N6610" s="33"/>
    </row>
    <row r="6611" spans="3:14" x14ac:dyDescent="0.3">
      <c r="C6611" s="54"/>
      <c r="N6611" s="33"/>
    </row>
    <row r="6612" spans="3:14" x14ac:dyDescent="0.3">
      <c r="C6612" s="54"/>
      <c r="N6612" s="33"/>
    </row>
    <row r="6613" spans="3:14" x14ac:dyDescent="0.3">
      <c r="C6613" s="54"/>
      <c r="N6613" s="33"/>
    </row>
    <row r="6614" spans="3:14" x14ac:dyDescent="0.3">
      <c r="C6614" s="54"/>
      <c r="N6614" s="33"/>
    </row>
    <row r="6615" spans="3:14" x14ac:dyDescent="0.3">
      <c r="C6615" s="54"/>
      <c r="N6615" s="33"/>
    </row>
    <row r="6616" spans="3:14" x14ac:dyDescent="0.3">
      <c r="C6616" s="54"/>
      <c r="N6616" s="33"/>
    </row>
    <row r="6617" spans="3:14" x14ac:dyDescent="0.3">
      <c r="C6617" s="54"/>
      <c r="N6617" s="33"/>
    </row>
    <row r="6618" spans="3:14" x14ac:dyDescent="0.3">
      <c r="C6618" s="54"/>
      <c r="N6618" s="33"/>
    </row>
    <row r="6619" spans="3:14" x14ac:dyDescent="0.3">
      <c r="C6619" s="54"/>
      <c r="N6619" s="33"/>
    </row>
    <row r="6620" spans="3:14" x14ac:dyDescent="0.3">
      <c r="C6620" s="54"/>
      <c r="N6620" s="33"/>
    </row>
    <row r="6621" spans="3:14" x14ac:dyDescent="0.3">
      <c r="C6621" s="54"/>
      <c r="N6621" s="33"/>
    </row>
    <row r="6622" spans="3:14" x14ac:dyDescent="0.3">
      <c r="C6622" s="54"/>
      <c r="N6622" s="33"/>
    </row>
    <row r="6623" spans="3:14" x14ac:dyDescent="0.3">
      <c r="C6623" s="54"/>
      <c r="N6623" s="33"/>
    </row>
    <row r="6624" spans="3:14" x14ac:dyDescent="0.3">
      <c r="C6624" s="54"/>
      <c r="N6624" s="33"/>
    </row>
    <row r="6625" spans="3:14" x14ac:dyDescent="0.3">
      <c r="C6625" s="54"/>
      <c r="N6625" s="33"/>
    </row>
    <row r="6626" spans="3:14" x14ac:dyDescent="0.3">
      <c r="C6626" s="54"/>
      <c r="N6626" s="33"/>
    </row>
    <row r="6627" spans="3:14" x14ac:dyDescent="0.3">
      <c r="C6627" s="54"/>
      <c r="N6627" s="33"/>
    </row>
    <row r="6628" spans="3:14" x14ac:dyDescent="0.3">
      <c r="C6628" s="54"/>
      <c r="N6628" s="33"/>
    </row>
    <row r="6629" spans="3:14" x14ac:dyDescent="0.3">
      <c r="C6629" s="54"/>
      <c r="N6629" s="33"/>
    </row>
    <row r="6630" spans="3:14" x14ac:dyDescent="0.3">
      <c r="C6630" s="54"/>
      <c r="N6630" s="33"/>
    </row>
    <row r="6631" spans="3:14" x14ac:dyDescent="0.3">
      <c r="C6631" s="54"/>
      <c r="N6631" s="33"/>
    </row>
    <row r="6632" spans="3:14" x14ac:dyDescent="0.3">
      <c r="C6632" s="54"/>
      <c r="N6632" s="33"/>
    </row>
    <row r="6633" spans="3:14" x14ac:dyDescent="0.3">
      <c r="C6633" s="54"/>
      <c r="N6633" s="33"/>
    </row>
    <row r="6634" spans="3:14" x14ac:dyDescent="0.3">
      <c r="C6634" s="54"/>
      <c r="N6634" s="33"/>
    </row>
    <row r="6635" spans="3:14" x14ac:dyDescent="0.3">
      <c r="C6635" s="54"/>
      <c r="N6635" s="33"/>
    </row>
    <row r="6636" spans="3:14" x14ac:dyDescent="0.3">
      <c r="C6636" s="54"/>
      <c r="N6636" s="33"/>
    </row>
    <row r="6637" spans="3:14" x14ac:dyDescent="0.3">
      <c r="C6637" s="54"/>
      <c r="N6637" s="33"/>
    </row>
    <row r="6638" spans="3:14" x14ac:dyDescent="0.3">
      <c r="C6638" s="54"/>
      <c r="N6638" s="33"/>
    </row>
    <row r="6639" spans="3:14" x14ac:dyDescent="0.3">
      <c r="C6639" s="54"/>
      <c r="N6639" s="33"/>
    </row>
    <row r="6640" spans="3:14" x14ac:dyDescent="0.3">
      <c r="C6640" s="54"/>
      <c r="N6640" s="33"/>
    </row>
    <row r="6641" spans="3:14" x14ac:dyDescent="0.3">
      <c r="C6641" s="54"/>
      <c r="N6641" s="33"/>
    </row>
    <row r="6642" spans="3:14" x14ac:dyDescent="0.3">
      <c r="C6642" s="54"/>
      <c r="N6642" s="33"/>
    </row>
    <row r="6643" spans="3:14" x14ac:dyDescent="0.3">
      <c r="C6643" s="54"/>
      <c r="N6643" s="33"/>
    </row>
    <row r="6644" spans="3:14" x14ac:dyDescent="0.3">
      <c r="C6644" s="54"/>
      <c r="N6644" s="33"/>
    </row>
    <row r="6645" spans="3:14" x14ac:dyDescent="0.3">
      <c r="C6645" s="54"/>
      <c r="N6645" s="33"/>
    </row>
    <row r="6646" spans="3:14" x14ac:dyDescent="0.3">
      <c r="C6646" s="54"/>
      <c r="N6646" s="33"/>
    </row>
    <row r="6647" spans="3:14" x14ac:dyDescent="0.3">
      <c r="C6647" s="54"/>
      <c r="N6647" s="33"/>
    </row>
    <row r="6648" spans="3:14" x14ac:dyDescent="0.3">
      <c r="C6648" s="54"/>
      <c r="N6648" s="33"/>
    </row>
    <row r="6649" spans="3:14" x14ac:dyDescent="0.3">
      <c r="C6649" s="54"/>
      <c r="N6649" s="33"/>
    </row>
    <row r="6650" spans="3:14" x14ac:dyDescent="0.3">
      <c r="C6650" s="54"/>
      <c r="N6650" s="33"/>
    </row>
    <row r="6651" spans="3:14" x14ac:dyDescent="0.3">
      <c r="C6651" s="54"/>
      <c r="N6651" s="33"/>
    </row>
    <row r="6652" spans="3:14" x14ac:dyDescent="0.3">
      <c r="C6652" s="54"/>
      <c r="N6652" s="33"/>
    </row>
    <row r="6653" spans="3:14" x14ac:dyDescent="0.3">
      <c r="C6653" s="54"/>
      <c r="N6653" s="33"/>
    </row>
    <row r="6654" spans="3:14" x14ac:dyDescent="0.3">
      <c r="C6654" s="54"/>
      <c r="N6654" s="33"/>
    </row>
    <row r="6655" spans="3:14" x14ac:dyDescent="0.3">
      <c r="C6655" s="54"/>
      <c r="N6655" s="33"/>
    </row>
    <row r="6656" spans="3:14" x14ac:dyDescent="0.3">
      <c r="C6656" s="54"/>
      <c r="N6656" s="33"/>
    </row>
    <row r="6657" spans="3:14" x14ac:dyDescent="0.3">
      <c r="C6657" s="54"/>
      <c r="N6657" s="33"/>
    </row>
    <row r="6658" spans="3:14" x14ac:dyDescent="0.3">
      <c r="C6658" s="54"/>
      <c r="N6658" s="33"/>
    </row>
    <row r="6659" spans="3:14" x14ac:dyDescent="0.3">
      <c r="C6659" s="54"/>
      <c r="N6659" s="33"/>
    </row>
    <row r="6660" spans="3:14" x14ac:dyDescent="0.3">
      <c r="C6660" s="54"/>
      <c r="N6660" s="33"/>
    </row>
    <row r="6661" spans="3:14" x14ac:dyDescent="0.3">
      <c r="C6661" s="54"/>
      <c r="N6661" s="33"/>
    </row>
    <row r="6662" spans="3:14" x14ac:dyDescent="0.3">
      <c r="C6662" s="54"/>
      <c r="N6662" s="33"/>
    </row>
    <row r="6663" spans="3:14" x14ac:dyDescent="0.3">
      <c r="C6663" s="54"/>
      <c r="N6663" s="33"/>
    </row>
    <row r="6664" spans="3:14" x14ac:dyDescent="0.3">
      <c r="C6664" s="54"/>
      <c r="N6664" s="33"/>
    </row>
    <row r="6665" spans="3:14" x14ac:dyDescent="0.3">
      <c r="C6665" s="54"/>
      <c r="N6665" s="33"/>
    </row>
    <row r="6666" spans="3:14" x14ac:dyDescent="0.3">
      <c r="C6666" s="54"/>
      <c r="N6666" s="33"/>
    </row>
    <row r="6667" spans="3:14" x14ac:dyDescent="0.3">
      <c r="C6667" s="54"/>
      <c r="N6667" s="33"/>
    </row>
    <row r="6668" spans="3:14" x14ac:dyDescent="0.3">
      <c r="C6668" s="54"/>
      <c r="N6668" s="33"/>
    </row>
    <row r="6669" spans="3:14" x14ac:dyDescent="0.3">
      <c r="C6669" s="54"/>
      <c r="N6669" s="33"/>
    </row>
    <row r="6670" spans="3:14" x14ac:dyDescent="0.3">
      <c r="C6670" s="54"/>
      <c r="N6670" s="33"/>
    </row>
    <row r="6671" spans="3:14" x14ac:dyDescent="0.3">
      <c r="C6671" s="54"/>
      <c r="N6671" s="33"/>
    </row>
    <row r="6672" spans="3:14" x14ac:dyDescent="0.3">
      <c r="C6672" s="54"/>
      <c r="N6672" s="33"/>
    </row>
    <row r="6673" spans="3:14" x14ac:dyDescent="0.3">
      <c r="C6673" s="54"/>
      <c r="N6673" s="33"/>
    </row>
    <row r="6674" spans="3:14" x14ac:dyDescent="0.3">
      <c r="C6674" s="54"/>
      <c r="N6674" s="33"/>
    </row>
    <row r="6675" spans="3:14" x14ac:dyDescent="0.3">
      <c r="C6675" s="54"/>
      <c r="N6675" s="33"/>
    </row>
    <row r="6676" spans="3:14" x14ac:dyDescent="0.3">
      <c r="C6676" s="54"/>
      <c r="N6676" s="33"/>
    </row>
    <row r="6677" spans="3:14" x14ac:dyDescent="0.3">
      <c r="C6677" s="54"/>
      <c r="N6677" s="33"/>
    </row>
    <row r="6678" spans="3:14" x14ac:dyDescent="0.3">
      <c r="C6678" s="54"/>
      <c r="N6678" s="33"/>
    </row>
    <row r="6679" spans="3:14" x14ac:dyDescent="0.3">
      <c r="C6679" s="54"/>
      <c r="N6679" s="33"/>
    </row>
    <row r="6680" spans="3:14" x14ac:dyDescent="0.3">
      <c r="C6680" s="54"/>
      <c r="N6680" s="33"/>
    </row>
    <row r="6681" spans="3:14" x14ac:dyDescent="0.3">
      <c r="C6681" s="54"/>
      <c r="N6681" s="33"/>
    </row>
    <row r="6682" spans="3:14" x14ac:dyDescent="0.3">
      <c r="C6682" s="54"/>
      <c r="N6682" s="33"/>
    </row>
    <row r="6683" spans="3:14" x14ac:dyDescent="0.3">
      <c r="C6683" s="54"/>
      <c r="N6683" s="33"/>
    </row>
    <row r="6684" spans="3:14" x14ac:dyDescent="0.3">
      <c r="C6684" s="54"/>
      <c r="N6684" s="33"/>
    </row>
    <row r="6685" spans="3:14" x14ac:dyDescent="0.3">
      <c r="C6685" s="54"/>
      <c r="N6685" s="33"/>
    </row>
    <row r="6686" spans="3:14" x14ac:dyDescent="0.3">
      <c r="C6686" s="54"/>
      <c r="N6686" s="33"/>
    </row>
    <row r="6687" spans="3:14" x14ac:dyDescent="0.3">
      <c r="C6687" s="54"/>
      <c r="N6687" s="33"/>
    </row>
    <row r="6688" spans="3:14" x14ac:dyDescent="0.3">
      <c r="C6688" s="54"/>
      <c r="N6688" s="33"/>
    </row>
    <row r="6689" spans="3:14" x14ac:dyDescent="0.3">
      <c r="C6689" s="54"/>
      <c r="N6689" s="33"/>
    </row>
    <row r="6690" spans="3:14" x14ac:dyDescent="0.3">
      <c r="C6690" s="54"/>
      <c r="N6690" s="33"/>
    </row>
    <row r="6691" spans="3:14" x14ac:dyDescent="0.3">
      <c r="C6691" s="54"/>
      <c r="N6691" s="33"/>
    </row>
    <row r="6692" spans="3:14" x14ac:dyDescent="0.3">
      <c r="C6692" s="54"/>
      <c r="N6692" s="33"/>
    </row>
    <row r="6693" spans="3:14" x14ac:dyDescent="0.3">
      <c r="C6693" s="54"/>
      <c r="N6693" s="33"/>
    </row>
    <row r="6694" spans="3:14" x14ac:dyDescent="0.3">
      <c r="C6694" s="54"/>
      <c r="N6694" s="33"/>
    </row>
    <row r="6695" spans="3:14" x14ac:dyDescent="0.3">
      <c r="C6695" s="54"/>
      <c r="N6695" s="33"/>
    </row>
    <row r="6696" spans="3:14" x14ac:dyDescent="0.3">
      <c r="C6696" s="54"/>
      <c r="N6696" s="33"/>
    </row>
    <row r="6697" spans="3:14" x14ac:dyDescent="0.3">
      <c r="C6697" s="54"/>
      <c r="N6697" s="33"/>
    </row>
    <row r="6698" spans="3:14" x14ac:dyDescent="0.3">
      <c r="C6698" s="54"/>
      <c r="N6698" s="33"/>
    </row>
    <row r="6699" spans="3:14" x14ac:dyDescent="0.3">
      <c r="C6699" s="54"/>
      <c r="N6699" s="33"/>
    </row>
    <row r="6700" spans="3:14" x14ac:dyDescent="0.3">
      <c r="C6700" s="54"/>
      <c r="N6700" s="33"/>
    </row>
    <row r="6701" spans="3:14" x14ac:dyDescent="0.3">
      <c r="C6701" s="54"/>
      <c r="N6701" s="33"/>
    </row>
    <row r="6702" spans="3:14" x14ac:dyDescent="0.3">
      <c r="C6702" s="54"/>
      <c r="N6702" s="33"/>
    </row>
    <row r="6703" spans="3:14" x14ac:dyDescent="0.3">
      <c r="C6703" s="54"/>
      <c r="N6703" s="33"/>
    </row>
    <row r="6704" spans="3:14" x14ac:dyDescent="0.3">
      <c r="C6704" s="54"/>
      <c r="N6704" s="33"/>
    </row>
    <row r="6705" spans="3:14" x14ac:dyDescent="0.3">
      <c r="C6705" s="54"/>
      <c r="N6705" s="33"/>
    </row>
    <row r="6706" spans="3:14" x14ac:dyDescent="0.3">
      <c r="C6706" s="54"/>
      <c r="N6706" s="33"/>
    </row>
    <row r="6707" spans="3:14" x14ac:dyDescent="0.3">
      <c r="C6707" s="54"/>
      <c r="N6707" s="33"/>
    </row>
    <row r="6708" spans="3:14" x14ac:dyDescent="0.3">
      <c r="C6708" s="54"/>
      <c r="N6708" s="33"/>
    </row>
    <row r="6709" spans="3:14" x14ac:dyDescent="0.3">
      <c r="C6709" s="54"/>
      <c r="N6709" s="33"/>
    </row>
    <row r="6710" spans="3:14" x14ac:dyDescent="0.3">
      <c r="C6710" s="54"/>
      <c r="N6710" s="33"/>
    </row>
    <row r="6711" spans="3:14" x14ac:dyDescent="0.3">
      <c r="C6711" s="54"/>
      <c r="N6711" s="33"/>
    </row>
    <row r="6712" spans="3:14" x14ac:dyDescent="0.3">
      <c r="C6712" s="54"/>
      <c r="N6712" s="33"/>
    </row>
    <row r="6713" spans="3:14" x14ac:dyDescent="0.3">
      <c r="C6713" s="54"/>
      <c r="N6713" s="33"/>
    </row>
    <row r="6714" spans="3:14" x14ac:dyDescent="0.3">
      <c r="C6714" s="54"/>
      <c r="N6714" s="33"/>
    </row>
    <row r="6715" spans="3:14" x14ac:dyDescent="0.3">
      <c r="C6715" s="54"/>
      <c r="N6715" s="33"/>
    </row>
    <row r="6716" spans="3:14" x14ac:dyDescent="0.3">
      <c r="C6716" s="54"/>
      <c r="N6716" s="33"/>
    </row>
    <row r="6717" spans="3:14" x14ac:dyDescent="0.3">
      <c r="C6717" s="54"/>
      <c r="N6717" s="33"/>
    </row>
    <row r="6718" spans="3:14" x14ac:dyDescent="0.3">
      <c r="C6718" s="54"/>
      <c r="N6718" s="33"/>
    </row>
    <row r="6719" spans="3:14" x14ac:dyDescent="0.3">
      <c r="C6719" s="54"/>
      <c r="N6719" s="33"/>
    </row>
    <row r="6720" spans="3:14" x14ac:dyDescent="0.3">
      <c r="C6720" s="54"/>
      <c r="N6720" s="33"/>
    </row>
    <row r="6721" spans="3:14" x14ac:dyDescent="0.3">
      <c r="C6721" s="54"/>
      <c r="N6721" s="33"/>
    </row>
    <row r="6722" spans="3:14" x14ac:dyDescent="0.3">
      <c r="C6722" s="54"/>
      <c r="N6722" s="33"/>
    </row>
    <row r="6723" spans="3:14" x14ac:dyDescent="0.3">
      <c r="C6723" s="54"/>
      <c r="N6723" s="33"/>
    </row>
    <row r="6724" spans="3:14" x14ac:dyDescent="0.3">
      <c r="C6724" s="54"/>
      <c r="N6724" s="33"/>
    </row>
    <row r="6725" spans="3:14" x14ac:dyDescent="0.3">
      <c r="C6725" s="54"/>
      <c r="N6725" s="33"/>
    </row>
    <row r="6726" spans="3:14" x14ac:dyDescent="0.3">
      <c r="C6726" s="54"/>
      <c r="N6726" s="33"/>
    </row>
    <row r="6727" spans="3:14" x14ac:dyDescent="0.3">
      <c r="C6727" s="54"/>
      <c r="N6727" s="33"/>
    </row>
    <row r="6728" spans="3:14" x14ac:dyDescent="0.3">
      <c r="C6728" s="54"/>
      <c r="N6728" s="33"/>
    </row>
    <row r="6729" spans="3:14" x14ac:dyDescent="0.3">
      <c r="C6729" s="54"/>
      <c r="N6729" s="33"/>
    </row>
    <row r="6730" spans="3:14" x14ac:dyDescent="0.3">
      <c r="C6730" s="54"/>
      <c r="N6730" s="33"/>
    </row>
    <row r="6731" spans="3:14" x14ac:dyDescent="0.3">
      <c r="C6731" s="54"/>
      <c r="N6731" s="33"/>
    </row>
    <row r="6732" spans="3:14" x14ac:dyDescent="0.3">
      <c r="C6732" s="54"/>
      <c r="N6732" s="33"/>
    </row>
    <row r="6733" spans="3:14" x14ac:dyDescent="0.3">
      <c r="C6733" s="54"/>
      <c r="N6733" s="33"/>
    </row>
    <row r="6734" spans="3:14" x14ac:dyDescent="0.3">
      <c r="C6734" s="54"/>
      <c r="N6734" s="33"/>
    </row>
    <row r="6735" spans="3:14" x14ac:dyDescent="0.3">
      <c r="C6735" s="54"/>
      <c r="N6735" s="33"/>
    </row>
    <row r="6736" spans="3:14" x14ac:dyDescent="0.3">
      <c r="C6736" s="54"/>
      <c r="N6736" s="33"/>
    </row>
    <row r="6737" spans="3:14" x14ac:dyDescent="0.3">
      <c r="C6737" s="54"/>
      <c r="N6737" s="33"/>
    </row>
    <row r="6738" spans="3:14" x14ac:dyDescent="0.3">
      <c r="C6738" s="54"/>
      <c r="N6738" s="33"/>
    </row>
    <row r="6739" spans="3:14" x14ac:dyDescent="0.3">
      <c r="C6739" s="54"/>
      <c r="N6739" s="33"/>
    </row>
    <row r="6740" spans="3:14" x14ac:dyDescent="0.3">
      <c r="C6740" s="54"/>
      <c r="N6740" s="33"/>
    </row>
    <row r="6741" spans="3:14" x14ac:dyDescent="0.3">
      <c r="C6741" s="54"/>
      <c r="N6741" s="33"/>
    </row>
    <row r="6742" spans="3:14" x14ac:dyDescent="0.3">
      <c r="C6742" s="54"/>
      <c r="N6742" s="33"/>
    </row>
    <row r="6743" spans="3:14" x14ac:dyDescent="0.3">
      <c r="C6743" s="54"/>
      <c r="N6743" s="33"/>
    </row>
    <row r="6744" spans="3:14" x14ac:dyDescent="0.3">
      <c r="C6744" s="54"/>
      <c r="N6744" s="33"/>
    </row>
    <row r="6745" spans="3:14" x14ac:dyDescent="0.3">
      <c r="C6745" s="54"/>
      <c r="N6745" s="33"/>
    </row>
    <row r="6746" spans="3:14" x14ac:dyDescent="0.3">
      <c r="C6746" s="54"/>
      <c r="N6746" s="33"/>
    </row>
    <row r="6747" spans="3:14" x14ac:dyDescent="0.3">
      <c r="C6747" s="54"/>
      <c r="N6747" s="33"/>
    </row>
    <row r="6748" spans="3:14" x14ac:dyDescent="0.3">
      <c r="C6748" s="54"/>
      <c r="N6748" s="33"/>
    </row>
    <row r="6749" spans="3:14" x14ac:dyDescent="0.3">
      <c r="C6749" s="54"/>
      <c r="N6749" s="33"/>
    </row>
    <row r="6750" spans="3:14" x14ac:dyDescent="0.3">
      <c r="C6750" s="54"/>
      <c r="N6750" s="33"/>
    </row>
    <row r="6751" spans="3:14" x14ac:dyDescent="0.3">
      <c r="C6751" s="54"/>
      <c r="N6751" s="33"/>
    </row>
    <row r="6752" spans="3:14" x14ac:dyDescent="0.3">
      <c r="C6752" s="54"/>
      <c r="N6752" s="33"/>
    </row>
    <row r="6753" spans="3:14" x14ac:dyDescent="0.3">
      <c r="C6753" s="54"/>
      <c r="N6753" s="33"/>
    </row>
    <row r="6754" spans="3:14" x14ac:dyDescent="0.3">
      <c r="C6754" s="54"/>
      <c r="N6754" s="33"/>
    </row>
    <row r="6755" spans="3:14" x14ac:dyDescent="0.3">
      <c r="C6755" s="54"/>
      <c r="N6755" s="33"/>
    </row>
    <row r="6756" spans="3:14" x14ac:dyDescent="0.3">
      <c r="C6756" s="54"/>
      <c r="N6756" s="33"/>
    </row>
    <row r="6757" spans="3:14" x14ac:dyDescent="0.3">
      <c r="C6757" s="54"/>
      <c r="N6757" s="33"/>
    </row>
    <row r="6758" spans="3:14" x14ac:dyDescent="0.3">
      <c r="C6758" s="54"/>
      <c r="N6758" s="33"/>
    </row>
    <row r="6759" spans="3:14" x14ac:dyDescent="0.3">
      <c r="C6759" s="54"/>
      <c r="N6759" s="33"/>
    </row>
    <row r="6760" spans="3:14" x14ac:dyDescent="0.3">
      <c r="C6760" s="54"/>
      <c r="N6760" s="33"/>
    </row>
    <row r="6761" spans="3:14" x14ac:dyDescent="0.3">
      <c r="C6761" s="54"/>
      <c r="N6761" s="33"/>
    </row>
    <row r="6762" spans="3:14" x14ac:dyDescent="0.3">
      <c r="C6762" s="54"/>
      <c r="N6762" s="33"/>
    </row>
    <row r="6763" spans="3:14" x14ac:dyDescent="0.3">
      <c r="C6763" s="54"/>
      <c r="N6763" s="33"/>
    </row>
    <row r="6764" spans="3:14" x14ac:dyDescent="0.3">
      <c r="C6764" s="54"/>
      <c r="N6764" s="33"/>
    </row>
    <row r="6765" spans="3:14" x14ac:dyDescent="0.3">
      <c r="C6765" s="54"/>
      <c r="N6765" s="33"/>
    </row>
    <row r="6766" spans="3:14" x14ac:dyDescent="0.3">
      <c r="C6766" s="54"/>
      <c r="N6766" s="33"/>
    </row>
    <row r="6767" spans="3:14" x14ac:dyDescent="0.3">
      <c r="C6767" s="54"/>
      <c r="N6767" s="33"/>
    </row>
    <row r="6768" spans="3:14" x14ac:dyDescent="0.3">
      <c r="C6768" s="54"/>
      <c r="N6768" s="33"/>
    </row>
    <row r="6769" spans="3:14" x14ac:dyDescent="0.3">
      <c r="C6769" s="54"/>
      <c r="N6769" s="33"/>
    </row>
    <row r="6770" spans="3:14" x14ac:dyDescent="0.3">
      <c r="C6770" s="54"/>
      <c r="N6770" s="33"/>
    </row>
    <row r="6771" spans="3:14" x14ac:dyDescent="0.3">
      <c r="C6771" s="54"/>
      <c r="N6771" s="33"/>
    </row>
    <row r="6772" spans="3:14" x14ac:dyDescent="0.3">
      <c r="C6772" s="54"/>
      <c r="N6772" s="33"/>
    </row>
    <row r="6773" spans="3:14" x14ac:dyDescent="0.3">
      <c r="C6773" s="54"/>
      <c r="N6773" s="33"/>
    </row>
    <row r="6774" spans="3:14" x14ac:dyDescent="0.3">
      <c r="C6774" s="54"/>
      <c r="N6774" s="33"/>
    </row>
    <row r="6775" spans="3:14" x14ac:dyDescent="0.3">
      <c r="C6775" s="54"/>
      <c r="N6775" s="33"/>
    </row>
    <row r="6776" spans="3:14" x14ac:dyDescent="0.3">
      <c r="C6776" s="54"/>
      <c r="N6776" s="33"/>
    </row>
    <row r="6777" spans="3:14" x14ac:dyDescent="0.3">
      <c r="C6777" s="54"/>
      <c r="N6777" s="33"/>
    </row>
    <row r="6778" spans="3:14" x14ac:dyDescent="0.3">
      <c r="C6778" s="54"/>
      <c r="N6778" s="33"/>
    </row>
    <row r="6779" spans="3:14" x14ac:dyDescent="0.3">
      <c r="C6779" s="54"/>
      <c r="N6779" s="33"/>
    </row>
    <row r="6780" spans="3:14" x14ac:dyDescent="0.3">
      <c r="C6780" s="54"/>
      <c r="N6780" s="33"/>
    </row>
    <row r="6781" spans="3:14" x14ac:dyDescent="0.3">
      <c r="C6781" s="54"/>
      <c r="N6781" s="33"/>
    </row>
    <row r="6782" spans="3:14" x14ac:dyDescent="0.3">
      <c r="C6782" s="54"/>
      <c r="N6782" s="33"/>
    </row>
    <row r="6783" spans="3:14" x14ac:dyDescent="0.3">
      <c r="C6783" s="54"/>
      <c r="N6783" s="33"/>
    </row>
    <row r="6784" spans="3:14" x14ac:dyDescent="0.3">
      <c r="C6784" s="54"/>
      <c r="N6784" s="33"/>
    </row>
    <row r="6785" spans="3:14" x14ac:dyDescent="0.3">
      <c r="C6785" s="54"/>
      <c r="N6785" s="33"/>
    </row>
    <row r="6786" spans="3:14" x14ac:dyDescent="0.3">
      <c r="C6786" s="54"/>
      <c r="N6786" s="33"/>
    </row>
    <row r="6787" spans="3:14" x14ac:dyDescent="0.3">
      <c r="C6787" s="54"/>
      <c r="N6787" s="33"/>
    </row>
    <row r="6788" spans="3:14" x14ac:dyDescent="0.3">
      <c r="C6788" s="54"/>
      <c r="N6788" s="33"/>
    </row>
    <row r="6789" spans="3:14" x14ac:dyDescent="0.3">
      <c r="C6789" s="54"/>
      <c r="N6789" s="33"/>
    </row>
    <row r="6790" spans="3:14" x14ac:dyDescent="0.3">
      <c r="C6790" s="54"/>
      <c r="N6790" s="33"/>
    </row>
    <row r="6791" spans="3:14" x14ac:dyDescent="0.3">
      <c r="C6791" s="54"/>
      <c r="N6791" s="33"/>
    </row>
    <row r="6792" spans="3:14" x14ac:dyDescent="0.3">
      <c r="C6792" s="54"/>
      <c r="N6792" s="33"/>
    </row>
    <row r="6793" spans="3:14" x14ac:dyDescent="0.3">
      <c r="C6793" s="54"/>
      <c r="N6793" s="33"/>
    </row>
    <row r="6794" spans="3:14" x14ac:dyDescent="0.3">
      <c r="C6794" s="54"/>
      <c r="N6794" s="33"/>
    </row>
    <row r="6795" spans="3:14" x14ac:dyDescent="0.3">
      <c r="C6795" s="54"/>
      <c r="N6795" s="33"/>
    </row>
    <row r="6796" spans="3:14" x14ac:dyDescent="0.3">
      <c r="C6796" s="54"/>
      <c r="N6796" s="33"/>
    </row>
    <row r="6797" spans="3:14" x14ac:dyDescent="0.3">
      <c r="C6797" s="54"/>
      <c r="N6797" s="33"/>
    </row>
    <row r="6798" spans="3:14" x14ac:dyDescent="0.3">
      <c r="C6798" s="54"/>
      <c r="N6798" s="33"/>
    </row>
    <row r="6799" spans="3:14" x14ac:dyDescent="0.3">
      <c r="C6799" s="54"/>
      <c r="N6799" s="33"/>
    </row>
    <row r="6800" spans="3:14" x14ac:dyDescent="0.3">
      <c r="C6800" s="54"/>
      <c r="N6800" s="33"/>
    </row>
    <row r="6801" spans="3:14" x14ac:dyDescent="0.3">
      <c r="C6801" s="54"/>
      <c r="N6801" s="33"/>
    </row>
    <row r="6802" spans="3:14" x14ac:dyDescent="0.3">
      <c r="C6802" s="54"/>
      <c r="N6802" s="33"/>
    </row>
    <row r="6803" spans="3:14" x14ac:dyDescent="0.3">
      <c r="C6803" s="54"/>
      <c r="N6803" s="33"/>
    </row>
    <row r="6804" spans="3:14" x14ac:dyDescent="0.3">
      <c r="C6804" s="54"/>
      <c r="N6804" s="33"/>
    </row>
    <row r="6805" spans="3:14" x14ac:dyDescent="0.3">
      <c r="C6805" s="54"/>
      <c r="N6805" s="33"/>
    </row>
    <row r="6806" spans="3:14" x14ac:dyDescent="0.3">
      <c r="C6806" s="54"/>
      <c r="N6806" s="33"/>
    </row>
    <row r="6807" spans="3:14" x14ac:dyDescent="0.3">
      <c r="C6807" s="54"/>
      <c r="N6807" s="33"/>
    </row>
    <row r="6808" spans="3:14" x14ac:dyDescent="0.3">
      <c r="C6808" s="54"/>
      <c r="N6808" s="33"/>
    </row>
    <row r="6809" spans="3:14" x14ac:dyDescent="0.3">
      <c r="C6809" s="54"/>
      <c r="N6809" s="33"/>
    </row>
    <row r="6810" spans="3:14" x14ac:dyDescent="0.3">
      <c r="C6810" s="54"/>
      <c r="N6810" s="33"/>
    </row>
    <row r="6811" spans="3:14" x14ac:dyDescent="0.3">
      <c r="C6811" s="54"/>
      <c r="N6811" s="33"/>
    </row>
    <row r="6812" spans="3:14" x14ac:dyDescent="0.3">
      <c r="C6812" s="54"/>
      <c r="N6812" s="33"/>
    </row>
    <row r="6813" spans="3:14" x14ac:dyDescent="0.3">
      <c r="C6813" s="54"/>
      <c r="N6813" s="33"/>
    </row>
    <row r="6814" spans="3:14" x14ac:dyDescent="0.3">
      <c r="C6814" s="54"/>
      <c r="N6814" s="33"/>
    </row>
    <row r="6815" spans="3:14" x14ac:dyDescent="0.3">
      <c r="C6815" s="54"/>
      <c r="N6815" s="33"/>
    </row>
    <row r="6816" spans="3:14" x14ac:dyDescent="0.3">
      <c r="C6816" s="54"/>
      <c r="N6816" s="33"/>
    </row>
    <row r="6817" spans="3:14" x14ac:dyDescent="0.3">
      <c r="C6817" s="54"/>
      <c r="N6817" s="33"/>
    </row>
    <row r="6818" spans="3:14" x14ac:dyDescent="0.3">
      <c r="C6818" s="54"/>
      <c r="N6818" s="33"/>
    </row>
    <row r="6819" spans="3:14" x14ac:dyDescent="0.3">
      <c r="C6819" s="54"/>
      <c r="N6819" s="33"/>
    </row>
    <row r="6820" spans="3:14" x14ac:dyDescent="0.3">
      <c r="C6820" s="54"/>
      <c r="N6820" s="33"/>
    </row>
    <row r="6821" spans="3:14" x14ac:dyDescent="0.3">
      <c r="C6821" s="54"/>
      <c r="N6821" s="33"/>
    </row>
    <row r="6822" spans="3:14" x14ac:dyDescent="0.3">
      <c r="C6822" s="54"/>
      <c r="N6822" s="33"/>
    </row>
    <row r="6823" spans="3:14" x14ac:dyDescent="0.3">
      <c r="C6823" s="54"/>
      <c r="N6823" s="33"/>
    </row>
    <row r="6824" spans="3:14" x14ac:dyDescent="0.3">
      <c r="C6824" s="54"/>
      <c r="N6824" s="33"/>
    </row>
    <row r="6825" spans="3:14" x14ac:dyDescent="0.3">
      <c r="C6825" s="54"/>
      <c r="N6825" s="33"/>
    </row>
    <row r="6826" spans="3:14" x14ac:dyDescent="0.3">
      <c r="C6826" s="54"/>
      <c r="N6826" s="33"/>
    </row>
    <row r="6827" spans="3:14" x14ac:dyDescent="0.3">
      <c r="C6827" s="54"/>
      <c r="N6827" s="33"/>
    </row>
    <row r="6828" spans="3:14" x14ac:dyDescent="0.3">
      <c r="C6828" s="54"/>
      <c r="N6828" s="33"/>
    </row>
    <row r="6829" spans="3:14" x14ac:dyDescent="0.3">
      <c r="C6829" s="54"/>
      <c r="N6829" s="33"/>
    </row>
    <row r="6830" spans="3:14" x14ac:dyDescent="0.3">
      <c r="C6830" s="54"/>
      <c r="N6830" s="33"/>
    </row>
    <row r="6831" spans="3:14" x14ac:dyDescent="0.3">
      <c r="C6831" s="54"/>
      <c r="N6831" s="33"/>
    </row>
    <row r="6832" spans="3:14" x14ac:dyDescent="0.3">
      <c r="C6832" s="54"/>
      <c r="N6832" s="33"/>
    </row>
    <row r="6833" spans="3:14" x14ac:dyDescent="0.3">
      <c r="C6833" s="54"/>
      <c r="N6833" s="33"/>
    </row>
    <row r="6834" spans="3:14" x14ac:dyDescent="0.3">
      <c r="C6834" s="54"/>
      <c r="N6834" s="33"/>
    </row>
    <row r="6835" spans="3:14" x14ac:dyDescent="0.3">
      <c r="C6835" s="54"/>
      <c r="N6835" s="33"/>
    </row>
    <row r="6836" spans="3:14" x14ac:dyDescent="0.3">
      <c r="C6836" s="54"/>
      <c r="N6836" s="33"/>
    </row>
    <row r="6837" spans="3:14" x14ac:dyDescent="0.3">
      <c r="C6837" s="54"/>
      <c r="N6837" s="33"/>
    </row>
    <row r="6838" spans="3:14" x14ac:dyDescent="0.3">
      <c r="C6838" s="54"/>
      <c r="N6838" s="33"/>
    </row>
    <row r="6839" spans="3:14" x14ac:dyDescent="0.3">
      <c r="C6839" s="54"/>
      <c r="N6839" s="33"/>
    </row>
    <row r="6840" spans="3:14" x14ac:dyDescent="0.3">
      <c r="C6840" s="54"/>
      <c r="N6840" s="33"/>
    </row>
    <row r="6841" spans="3:14" x14ac:dyDescent="0.3">
      <c r="C6841" s="54"/>
      <c r="N6841" s="33"/>
    </row>
    <row r="6842" spans="3:14" x14ac:dyDescent="0.3">
      <c r="C6842" s="54"/>
      <c r="N6842" s="33"/>
    </row>
    <row r="6843" spans="3:14" x14ac:dyDescent="0.3">
      <c r="C6843" s="54"/>
      <c r="N6843" s="33"/>
    </row>
    <row r="6844" spans="3:14" x14ac:dyDescent="0.3">
      <c r="C6844" s="54"/>
      <c r="N6844" s="33"/>
    </row>
    <row r="6845" spans="3:14" x14ac:dyDescent="0.3">
      <c r="C6845" s="54"/>
      <c r="N6845" s="33"/>
    </row>
    <row r="6846" spans="3:14" x14ac:dyDescent="0.3">
      <c r="C6846" s="54"/>
      <c r="N6846" s="33"/>
    </row>
    <row r="6847" spans="3:14" x14ac:dyDescent="0.3">
      <c r="C6847" s="54"/>
      <c r="N6847" s="33"/>
    </row>
    <row r="6848" spans="3:14" x14ac:dyDescent="0.3">
      <c r="C6848" s="54"/>
      <c r="N6848" s="33"/>
    </row>
    <row r="6849" spans="3:14" x14ac:dyDescent="0.3">
      <c r="C6849" s="54"/>
      <c r="N6849" s="33"/>
    </row>
    <row r="6850" spans="3:14" x14ac:dyDescent="0.3">
      <c r="C6850" s="54"/>
      <c r="N6850" s="33"/>
    </row>
    <row r="6851" spans="3:14" x14ac:dyDescent="0.3">
      <c r="C6851" s="54"/>
      <c r="N6851" s="33"/>
    </row>
    <row r="6852" spans="3:14" x14ac:dyDescent="0.3">
      <c r="C6852" s="54"/>
      <c r="N6852" s="33"/>
    </row>
    <row r="6853" spans="3:14" x14ac:dyDescent="0.3">
      <c r="C6853" s="54"/>
      <c r="N6853" s="33"/>
    </row>
    <row r="6854" spans="3:14" x14ac:dyDescent="0.3">
      <c r="C6854" s="54"/>
      <c r="N6854" s="33"/>
    </row>
    <row r="6855" spans="3:14" x14ac:dyDescent="0.3">
      <c r="C6855" s="54"/>
      <c r="N6855" s="33"/>
    </row>
    <row r="6856" spans="3:14" x14ac:dyDescent="0.3">
      <c r="C6856" s="54"/>
      <c r="N6856" s="33"/>
    </row>
    <row r="6857" spans="3:14" x14ac:dyDescent="0.3">
      <c r="C6857" s="54"/>
      <c r="N6857" s="33"/>
    </row>
    <row r="6858" spans="3:14" x14ac:dyDescent="0.3">
      <c r="C6858" s="54"/>
      <c r="N6858" s="33"/>
    </row>
    <row r="6859" spans="3:14" x14ac:dyDescent="0.3">
      <c r="C6859" s="54"/>
      <c r="N6859" s="33"/>
    </row>
    <row r="6860" spans="3:14" x14ac:dyDescent="0.3">
      <c r="C6860" s="54"/>
      <c r="N6860" s="33"/>
    </row>
    <row r="6861" spans="3:14" x14ac:dyDescent="0.3">
      <c r="C6861" s="54"/>
      <c r="N6861" s="33"/>
    </row>
    <row r="6862" spans="3:14" x14ac:dyDescent="0.3">
      <c r="C6862" s="54"/>
      <c r="N6862" s="33"/>
    </row>
    <row r="6863" spans="3:14" x14ac:dyDescent="0.3">
      <c r="C6863" s="54"/>
      <c r="N6863" s="33"/>
    </row>
    <row r="6864" spans="3:14" x14ac:dyDescent="0.3">
      <c r="C6864" s="54"/>
      <c r="N6864" s="33"/>
    </row>
    <row r="6865" spans="3:14" x14ac:dyDescent="0.3">
      <c r="C6865" s="54"/>
      <c r="N6865" s="33"/>
    </row>
    <row r="6866" spans="3:14" x14ac:dyDescent="0.3">
      <c r="C6866" s="54"/>
      <c r="N6866" s="33"/>
    </row>
    <row r="6867" spans="3:14" x14ac:dyDescent="0.3">
      <c r="C6867" s="54"/>
      <c r="N6867" s="33"/>
    </row>
    <row r="6868" spans="3:14" x14ac:dyDescent="0.3">
      <c r="C6868" s="54"/>
      <c r="N6868" s="33"/>
    </row>
    <row r="6869" spans="3:14" x14ac:dyDescent="0.3">
      <c r="C6869" s="54"/>
      <c r="N6869" s="33"/>
    </row>
    <row r="6870" spans="3:14" x14ac:dyDescent="0.3">
      <c r="C6870" s="54"/>
      <c r="N6870" s="33"/>
    </row>
    <row r="6871" spans="3:14" x14ac:dyDescent="0.3">
      <c r="C6871" s="54"/>
      <c r="N6871" s="33"/>
    </row>
    <row r="6872" spans="3:14" x14ac:dyDescent="0.3">
      <c r="C6872" s="54"/>
      <c r="N6872" s="33"/>
    </row>
    <row r="6873" spans="3:14" x14ac:dyDescent="0.3">
      <c r="C6873" s="54"/>
      <c r="N6873" s="33"/>
    </row>
    <row r="6874" spans="3:14" x14ac:dyDescent="0.3">
      <c r="C6874" s="54"/>
      <c r="N6874" s="33"/>
    </row>
    <row r="6875" spans="3:14" x14ac:dyDescent="0.3">
      <c r="C6875" s="54"/>
      <c r="N6875" s="33"/>
    </row>
    <row r="6876" spans="3:14" x14ac:dyDescent="0.3">
      <c r="C6876" s="54"/>
      <c r="N6876" s="33"/>
    </row>
    <row r="6877" spans="3:14" x14ac:dyDescent="0.3">
      <c r="C6877" s="54"/>
      <c r="N6877" s="33"/>
    </row>
    <row r="6878" spans="3:14" x14ac:dyDescent="0.3">
      <c r="C6878" s="54"/>
      <c r="N6878" s="33"/>
    </row>
    <row r="6879" spans="3:14" x14ac:dyDescent="0.3">
      <c r="C6879" s="54"/>
      <c r="N6879" s="33"/>
    </row>
    <row r="6880" spans="3:14" x14ac:dyDescent="0.3">
      <c r="C6880" s="54"/>
      <c r="N6880" s="33"/>
    </row>
    <row r="6881" spans="3:14" x14ac:dyDescent="0.3">
      <c r="C6881" s="54"/>
      <c r="N6881" s="33"/>
    </row>
    <row r="6882" spans="3:14" x14ac:dyDescent="0.3">
      <c r="C6882" s="54"/>
      <c r="N6882" s="33"/>
    </row>
    <row r="6883" spans="3:14" x14ac:dyDescent="0.3">
      <c r="C6883" s="54"/>
      <c r="N6883" s="33"/>
    </row>
    <row r="6884" spans="3:14" x14ac:dyDescent="0.3">
      <c r="C6884" s="54"/>
      <c r="N6884" s="33"/>
    </row>
    <row r="6885" spans="3:14" x14ac:dyDescent="0.3">
      <c r="C6885" s="54"/>
      <c r="N6885" s="33"/>
    </row>
    <row r="6886" spans="3:14" x14ac:dyDescent="0.3">
      <c r="C6886" s="54"/>
      <c r="N6886" s="33"/>
    </row>
    <row r="6887" spans="3:14" x14ac:dyDescent="0.3">
      <c r="C6887" s="54"/>
      <c r="N6887" s="33"/>
    </row>
    <row r="6888" spans="3:14" x14ac:dyDescent="0.3">
      <c r="C6888" s="54"/>
      <c r="N6888" s="33"/>
    </row>
    <row r="6889" spans="3:14" x14ac:dyDescent="0.3">
      <c r="C6889" s="54"/>
      <c r="N6889" s="33"/>
    </row>
    <row r="6890" spans="3:14" x14ac:dyDescent="0.3">
      <c r="C6890" s="54"/>
      <c r="N6890" s="33"/>
    </row>
    <row r="6891" spans="3:14" x14ac:dyDescent="0.3">
      <c r="C6891" s="54"/>
      <c r="N6891" s="33"/>
    </row>
    <row r="6892" spans="3:14" x14ac:dyDescent="0.3">
      <c r="C6892" s="54"/>
      <c r="N6892" s="33"/>
    </row>
    <row r="6893" spans="3:14" x14ac:dyDescent="0.3">
      <c r="C6893" s="54"/>
      <c r="N6893" s="33"/>
    </row>
    <row r="6894" spans="3:14" x14ac:dyDescent="0.3">
      <c r="C6894" s="54"/>
      <c r="N6894" s="33"/>
    </row>
    <row r="6895" spans="3:14" x14ac:dyDescent="0.3">
      <c r="C6895" s="54"/>
      <c r="N6895" s="33"/>
    </row>
    <row r="6896" spans="3:14" x14ac:dyDescent="0.3">
      <c r="C6896" s="54"/>
      <c r="N6896" s="33"/>
    </row>
    <row r="6897" spans="3:14" x14ac:dyDescent="0.3">
      <c r="C6897" s="54"/>
      <c r="N6897" s="33"/>
    </row>
    <row r="6898" spans="3:14" x14ac:dyDescent="0.3">
      <c r="C6898" s="54"/>
      <c r="N6898" s="33"/>
    </row>
    <row r="6899" spans="3:14" x14ac:dyDescent="0.3">
      <c r="C6899" s="54"/>
      <c r="N6899" s="33"/>
    </row>
    <row r="6900" spans="3:14" x14ac:dyDescent="0.3">
      <c r="C6900" s="54"/>
      <c r="N6900" s="33"/>
    </row>
    <row r="6901" spans="3:14" x14ac:dyDescent="0.3">
      <c r="C6901" s="54"/>
      <c r="N6901" s="33"/>
    </row>
    <row r="6902" spans="3:14" x14ac:dyDescent="0.3">
      <c r="C6902" s="54"/>
      <c r="N6902" s="33"/>
    </row>
    <row r="6903" spans="3:14" x14ac:dyDescent="0.3">
      <c r="C6903" s="54"/>
      <c r="N6903" s="33"/>
    </row>
    <row r="6904" spans="3:14" x14ac:dyDescent="0.3">
      <c r="C6904" s="54"/>
      <c r="N6904" s="33"/>
    </row>
    <row r="6905" spans="3:14" x14ac:dyDescent="0.3">
      <c r="C6905" s="54"/>
      <c r="N6905" s="33"/>
    </row>
    <row r="6906" spans="3:14" x14ac:dyDescent="0.3">
      <c r="C6906" s="54"/>
      <c r="N6906" s="33"/>
    </row>
    <row r="6907" spans="3:14" x14ac:dyDescent="0.3">
      <c r="C6907" s="54"/>
      <c r="N6907" s="33"/>
    </row>
    <row r="6908" spans="3:14" x14ac:dyDescent="0.3">
      <c r="C6908" s="54"/>
      <c r="N6908" s="33"/>
    </row>
    <row r="6909" spans="3:14" x14ac:dyDescent="0.3">
      <c r="C6909" s="54"/>
      <c r="N6909" s="33"/>
    </row>
    <row r="6910" spans="3:14" x14ac:dyDescent="0.3">
      <c r="C6910" s="54"/>
      <c r="N6910" s="33"/>
    </row>
    <row r="6911" spans="3:14" x14ac:dyDescent="0.3">
      <c r="C6911" s="54"/>
      <c r="N6911" s="33"/>
    </row>
    <row r="6912" spans="3:14" x14ac:dyDescent="0.3">
      <c r="C6912" s="54"/>
      <c r="N6912" s="33"/>
    </row>
    <row r="6913" spans="3:14" x14ac:dyDescent="0.3">
      <c r="C6913" s="54"/>
      <c r="N6913" s="33"/>
    </row>
    <row r="6914" spans="3:14" x14ac:dyDescent="0.3">
      <c r="C6914" s="54"/>
      <c r="N6914" s="33"/>
    </row>
    <row r="6915" spans="3:14" x14ac:dyDescent="0.3">
      <c r="C6915" s="54"/>
      <c r="N6915" s="33"/>
    </row>
    <row r="6916" spans="3:14" x14ac:dyDescent="0.3">
      <c r="C6916" s="54"/>
      <c r="N6916" s="33"/>
    </row>
    <row r="6917" spans="3:14" x14ac:dyDescent="0.3">
      <c r="C6917" s="54"/>
      <c r="N6917" s="33"/>
    </row>
    <row r="6918" spans="3:14" x14ac:dyDescent="0.3">
      <c r="C6918" s="54"/>
      <c r="N6918" s="33"/>
    </row>
    <row r="6919" spans="3:14" x14ac:dyDescent="0.3">
      <c r="C6919" s="54"/>
      <c r="N6919" s="33"/>
    </row>
    <row r="6920" spans="3:14" x14ac:dyDescent="0.3">
      <c r="C6920" s="54"/>
      <c r="N6920" s="33"/>
    </row>
    <row r="6921" spans="3:14" x14ac:dyDescent="0.3">
      <c r="C6921" s="54"/>
      <c r="N6921" s="33"/>
    </row>
    <row r="6922" spans="3:14" x14ac:dyDescent="0.3">
      <c r="C6922" s="54"/>
      <c r="N6922" s="33"/>
    </row>
    <row r="6923" spans="3:14" x14ac:dyDescent="0.3">
      <c r="C6923" s="54"/>
      <c r="N6923" s="33"/>
    </row>
    <row r="6924" spans="3:14" x14ac:dyDescent="0.3">
      <c r="C6924" s="54"/>
      <c r="N6924" s="33"/>
    </row>
    <row r="6925" spans="3:14" x14ac:dyDescent="0.3">
      <c r="C6925" s="54"/>
      <c r="N6925" s="33"/>
    </row>
    <row r="6926" spans="3:14" x14ac:dyDescent="0.3">
      <c r="C6926" s="54"/>
      <c r="N6926" s="33"/>
    </row>
    <row r="6927" spans="3:14" x14ac:dyDescent="0.3">
      <c r="C6927" s="54"/>
      <c r="N6927" s="33"/>
    </row>
    <row r="6928" spans="3:14" x14ac:dyDescent="0.3">
      <c r="C6928" s="54"/>
      <c r="N6928" s="33"/>
    </row>
    <row r="6929" spans="3:14" x14ac:dyDescent="0.3">
      <c r="C6929" s="54"/>
      <c r="N6929" s="33"/>
    </row>
    <row r="6930" spans="3:14" x14ac:dyDescent="0.3">
      <c r="C6930" s="54"/>
      <c r="N6930" s="33"/>
    </row>
    <row r="6931" spans="3:14" x14ac:dyDescent="0.3">
      <c r="C6931" s="54"/>
      <c r="N6931" s="33"/>
    </row>
    <row r="6932" spans="3:14" x14ac:dyDescent="0.3">
      <c r="C6932" s="54"/>
      <c r="N6932" s="33"/>
    </row>
    <row r="6933" spans="3:14" x14ac:dyDescent="0.3">
      <c r="C6933" s="54"/>
      <c r="N6933" s="33"/>
    </row>
    <row r="6934" spans="3:14" x14ac:dyDescent="0.3">
      <c r="C6934" s="54"/>
      <c r="N6934" s="33"/>
    </row>
    <row r="6935" spans="3:14" x14ac:dyDescent="0.3">
      <c r="C6935" s="54"/>
      <c r="N6935" s="33"/>
    </row>
    <row r="6936" spans="3:14" x14ac:dyDescent="0.3">
      <c r="C6936" s="54"/>
      <c r="N6936" s="33"/>
    </row>
    <row r="6937" spans="3:14" x14ac:dyDescent="0.3">
      <c r="C6937" s="54"/>
      <c r="N6937" s="33"/>
    </row>
    <row r="6938" spans="3:14" x14ac:dyDescent="0.3">
      <c r="C6938" s="54"/>
      <c r="N6938" s="33"/>
    </row>
    <row r="6939" spans="3:14" x14ac:dyDescent="0.3">
      <c r="C6939" s="54"/>
      <c r="N6939" s="33"/>
    </row>
    <row r="6940" spans="3:14" x14ac:dyDescent="0.3">
      <c r="C6940" s="54"/>
      <c r="N6940" s="33"/>
    </row>
    <row r="6941" spans="3:14" x14ac:dyDescent="0.3">
      <c r="C6941" s="54"/>
      <c r="N6941" s="33"/>
    </row>
    <row r="6942" spans="3:14" x14ac:dyDescent="0.3">
      <c r="C6942" s="54"/>
      <c r="N6942" s="33"/>
    </row>
    <row r="6943" spans="3:14" x14ac:dyDescent="0.3">
      <c r="C6943" s="54"/>
      <c r="N6943" s="33"/>
    </row>
    <row r="6944" spans="3:14" x14ac:dyDescent="0.3">
      <c r="C6944" s="54"/>
      <c r="N6944" s="33"/>
    </row>
    <row r="6945" spans="3:14" x14ac:dyDescent="0.3">
      <c r="C6945" s="54"/>
      <c r="N6945" s="33"/>
    </row>
    <row r="6946" spans="3:14" x14ac:dyDescent="0.3">
      <c r="C6946" s="54"/>
      <c r="N6946" s="33"/>
    </row>
    <row r="6947" spans="3:14" x14ac:dyDescent="0.3">
      <c r="C6947" s="54"/>
      <c r="N6947" s="33"/>
    </row>
    <row r="6948" spans="3:14" x14ac:dyDescent="0.3">
      <c r="C6948" s="54"/>
      <c r="N6948" s="33"/>
    </row>
    <row r="6949" spans="3:14" x14ac:dyDescent="0.3">
      <c r="C6949" s="54"/>
      <c r="N6949" s="33"/>
    </row>
    <row r="6950" spans="3:14" x14ac:dyDescent="0.3">
      <c r="C6950" s="54"/>
      <c r="N6950" s="33"/>
    </row>
    <row r="6951" spans="3:14" x14ac:dyDescent="0.3">
      <c r="C6951" s="54"/>
      <c r="N6951" s="33"/>
    </row>
    <row r="6952" spans="3:14" x14ac:dyDescent="0.3">
      <c r="C6952" s="54"/>
      <c r="N6952" s="33"/>
    </row>
    <row r="6953" spans="3:14" x14ac:dyDescent="0.3">
      <c r="C6953" s="54"/>
      <c r="N6953" s="33"/>
    </row>
    <row r="6954" spans="3:14" x14ac:dyDescent="0.3">
      <c r="C6954" s="54"/>
      <c r="N6954" s="33"/>
    </row>
    <row r="6955" spans="3:14" x14ac:dyDescent="0.3">
      <c r="C6955" s="54"/>
      <c r="N6955" s="33"/>
    </row>
    <row r="6956" spans="3:14" x14ac:dyDescent="0.3">
      <c r="C6956" s="54"/>
      <c r="N6956" s="33"/>
    </row>
    <row r="6957" spans="3:14" x14ac:dyDescent="0.3">
      <c r="C6957" s="54"/>
      <c r="N6957" s="33"/>
    </row>
    <row r="6958" spans="3:14" x14ac:dyDescent="0.3">
      <c r="C6958" s="54"/>
      <c r="N6958" s="33"/>
    </row>
    <row r="6959" spans="3:14" x14ac:dyDescent="0.3">
      <c r="C6959" s="54"/>
      <c r="N6959" s="33"/>
    </row>
    <row r="6960" spans="3:14" x14ac:dyDescent="0.3">
      <c r="C6960" s="54"/>
      <c r="N6960" s="33"/>
    </row>
    <row r="6961" spans="3:14" x14ac:dyDescent="0.3">
      <c r="C6961" s="54"/>
      <c r="N6961" s="33"/>
    </row>
    <row r="6962" spans="3:14" x14ac:dyDescent="0.3">
      <c r="C6962" s="54"/>
      <c r="N6962" s="33"/>
    </row>
    <row r="6963" spans="3:14" x14ac:dyDescent="0.3">
      <c r="C6963" s="54"/>
      <c r="N6963" s="33"/>
    </row>
    <row r="6964" spans="3:14" x14ac:dyDescent="0.3">
      <c r="C6964" s="54"/>
      <c r="N6964" s="33"/>
    </row>
    <row r="6965" spans="3:14" x14ac:dyDescent="0.3">
      <c r="C6965" s="54"/>
      <c r="N6965" s="33"/>
    </row>
    <row r="6966" spans="3:14" x14ac:dyDescent="0.3">
      <c r="C6966" s="54"/>
      <c r="N6966" s="33"/>
    </row>
    <row r="6967" spans="3:14" x14ac:dyDescent="0.3">
      <c r="C6967" s="54"/>
      <c r="N6967" s="33"/>
    </row>
    <row r="6968" spans="3:14" x14ac:dyDescent="0.3">
      <c r="C6968" s="54"/>
      <c r="N6968" s="33"/>
    </row>
    <row r="6969" spans="3:14" x14ac:dyDescent="0.3">
      <c r="C6969" s="54"/>
      <c r="N6969" s="33"/>
    </row>
    <row r="6970" spans="3:14" x14ac:dyDescent="0.3">
      <c r="C6970" s="54"/>
      <c r="N6970" s="33"/>
    </row>
    <row r="6971" spans="3:14" x14ac:dyDescent="0.3">
      <c r="C6971" s="54"/>
      <c r="N6971" s="33"/>
    </row>
    <row r="6972" spans="3:14" x14ac:dyDescent="0.3">
      <c r="C6972" s="54"/>
      <c r="N6972" s="33"/>
    </row>
    <row r="6973" spans="3:14" x14ac:dyDescent="0.3">
      <c r="C6973" s="54"/>
      <c r="N6973" s="33"/>
    </row>
    <row r="6974" spans="3:14" x14ac:dyDescent="0.3">
      <c r="C6974" s="54"/>
      <c r="N6974" s="33"/>
    </row>
    <row r="6975" spans="3:14" x14ac:dyDescent="0.3">
      <c r="C6975" s="54"/>
      <c r="N6975" s="33"/>
    </row>
    <row r="6976" spans="3:14" x14ac:dyDescent="0.3">
      <c r="C6976" s="54"/>
      <c r="N6976" s="33"/>
    </row>
    <row r="6977" spans="3:14" x14ac:dyDescent="0.3">
      <c r="C6977" s="54"/>
      <c r="N6977" s="33"/>
    </row>
    <row r="6978" spans="3:14" x14ac:dyDescent="0.3">
      <c r="C6978" s="54"/>
      <c r="N6978" s="33"/>
    </row>
    <row r="6979" spans="3:14" x14ac:dyDescent="0.3">
      <c r="C6979" s="54"/>
      <c r="N6979" s="33"/>
    </row>
    <row r="6980" spans="3:14" x14ac:dyDescent="0.3">
      <c r="C6980" s="54"/>
      <c r="N6980" s="33"/>
    </row>
    <row r="6981" spans="3:14" x14ac:dyDescent="0.3">
      <c r="C6981" s="54"/>
      <c r="N6981" s="33"/>
    </row>
    <row r="6982" spans="3:14" x14ac:dyDescent="0.3">
      <c r="C6982" s="54"/>
      <c r="N6982" s="33"/>
    </row>
    <row r="6983" spans="3:14" x14ac:dyDescent="0.3">
      <c r="C6983" s="54"/>
      <c r="N6983" s="33"/>
    </row>
    <row r="6984" spans="3:14" x14ac:dyDescent="0.3">
      <c r="C6984" s="54"/>
      <c r="N6984" s="33"/>
    </row>
    <row r="6985" spans="3:14" x14ac:dyDescent="0.3">
      <c r="C6985" s="54"/>
      <c r="N6985" s="33"/>
    </row>
    <row r="6986" spans="3:14" x14ac:dyDescent="0.3">
      <c r="C6986" s="54"/>
      <c r="N6986" s="33"/>
    </row>
    <row r="6987" spans="3:14" x14ac:dyDescent="0.3">
      <c r="C6987" s="54"/>
      <c r="N6987" s="33"/>
    </row>
    <row r="6988" spans="3:14" x14ac:dyDescent="0.3">
      <c r="C6988" s="54"/>
      <c r="N6988" s="33"/>
    </row>
    <row r="6989" spans="3:14" x14ac:dyDescent="0.3">
      <c r="C6989" s="54"/>
      <c r="N6989" s="33"/>
    </row>
    <row r="6990" spans="3:14" x14ac:dyDescent="0.3">
      <c r="C6990" s="54"/>
      <c r="N6990" s="33"/>
    </row>
    <row r="6991" spans="3:14" x14ac:dyDescent="0.3">
      <c r="C6991" s="54"/>
      <c r="N6991" s="33"/>
    </row>
    <row r="6992" spans="3:14" x14ac:dyDescent="0.3">
      <c r="C6992" s="54"/>
      <c r="N6992" s="33"/>
    </row>
    <row r="6993" spans="3:14" x14ac:dyDescent="0.3">
      <c r="C6993" s="54"/>
      <c r="N6993" s="33"/>
    </row>
    <row r="6994" spans="3:14" x14ac:dyDescent="0.3">
      <c r="C6994" s="54"/>
      <c r="N6994" s="33"/>
    </row>
    <row r="6995" spans="3:14" x14ac:dyDescent="0.3">
      <c r="C6995" s="54"/>
      <c r="N6995" s="33"/>
    </row>
    <row r="6996" spans="3:14" x14ac:dyDescent="0.3">
      <c r="C6996" s="54"/>
      <c r="N6996" s="33"/>
    </row>
    <row r="6997" spans="3:14" x14ac:dyDescent="0.3">
      <c r="C6997" s="54"/>
      <c r="N6997" s="33"/>
    </row>
    <row r="6998" spans="3:14" x14ac:dyDescent="0.3">
      <c r="C6998" s="54"/>
      <c r="N6998" s="33"/>
    </row>
    <row r="6999" spans="3:14" x14ac:dyDescent="0.3">
      <c r="C6999" s="54"/>
      <c r="N6999" s="33"/>
    </row>
    <row r="7000" spans="3:14" x14ac:dyDescent="0.3">
      <c r="C7000" s="54"/>
      <c r="N7000" s="33"/>
    </row>
    <row r="7001" spans="3:14" x14ac:dyDescent="0.3">
      <c r="C7001" s="54"/>
      <c r="N7001" s="33"/>
    </row>
    <row r="7002" spans="3:14" x14ac:dyDescent="0.3">
      <c r="C7002" s="54"/>
      <c r="N7002" s="33"/>
    </row>
    <row r="7003" spans="3:14" x14ac:dyDescent="0.3">
      <c r="C7003" s="54"/>
      <c r="N7003" s="33"/>
    </row>
    <row r="7004" spans="3:14" x14ac:dyDescent="0.3">
      <c r="C7004" s="54"/>
      <c r="N7004" s="33"/>
    </row>
    <row r="7005" spans="3:14" x14ac:dyDescent="0.3">
      <c r="C7005" s="54"/>
      <c r="N7005" s="33"/>
    </row>
    <row r="7006" spans="3:14" x14ac:dyDescent="0.3">
      <c r="C7006" s="54"/>
      <c r="N7006" s="33"/>
    </row>
    <row r="7007" spans="3:14" x14ac:dyDescent="0.3">
      <c r="C7007" s="54"/>
      <c r="N7007" s="33"/>
    </row>
    <row r="7008" spans="3:14" x14ac:dyDescent="0.3">
      <c r="C7008" s="54"/>
      <c r="N7008" s="33"/>
    </row>
    <row r="7009" spans="3:14" x14ac:dyDescent="0.3">
      <c r="C7009" s="54"/>
      <c r="N7009" s="33"/>
    </row>
    <row r="7010" spans="3:14" x14ac:dyDescent="0.3">
      <c r="C7010" s="54"/>
      <c r="N7010" s="33"/>
    </row>
    <row r="7011" spans="3:14" x14ac:dyDescent="0.3">
      <c r="C7011" s="54"/>
      <c r="N7011" s="33"/>
    </row>
    <row r="7012" spans="3:14" x14ac:dyDescent="0.3">
      <c r="C7012" s="54"/>
      <c r="N7012" s="33"/>
    </row>
    <row r="7013" spans="3:14" x14ac:dyDescent="0.3">
      <c r="C7013" s="54"/>
      <c r="N7013" s="33"/>
    </row>
    <row r="7014" spans="3:14" x14ac:dyDescent="0.3">
      <c r="C7014" s="54"/>
      <c r="N7014" s="33"/>
    </row>
    <row r="7015" spans="3:14" x14ac:dyDescent="0.3">
      <c r="C7015" s="54"/>
      <c r="N7015" s="33"/>
    </row>
    <row r="7016" spans="3:14" x14ac:dyDescent="0.3">
      <c r="C7016" s="54"/>
      <c r="N7016" s="33"/>
    </row>
    <row r="7017" spans="3:14" x14ac:dyDescent="0.3">
      <c r="C7017" s="54"/>
      <c r="N7017" s="33"/>
    </row>
    <row r="7018" spans="3:14" x14ac:dyDescent="0.3">
      <c r="C7018" s="54"/>
      <c r="N7018" s="33"/>
    </row>
    <row r="7019" spans="3:14" x14ac:dyDescent="0.3">
      <c r="C7019" s="54"/>
      <c r="N7019" s="33"/>
    </row>
    <row r="7020" spans="3:14" x14ac:dyDescent="0.3">
      <c r="C7020" s="54"/>
      <c r="N7020" s="33"/>
    </row>
    <row r="7021" spans="3:14" x14ac:dyDescent="0.3">
      <c r="C7021" s="54"/>
      <c r="N7021" s="33"/>
    </row>
    <row r="7022" spans="3:14" x14ac:dyDescent="0.3">
      <c r="C7022" s="54"/>
      <c r="N7022" s="33"/>
    </row>
    <row r="7023" spans="3:14" x14ac:dyDescent="0.3">
      <c r="C7023" s="54"/>
      <c r="N7023" s="33"/>
    </row>
    <row r="7024" spans="3:14" x14ac:dyDescent="0.3">
      <c r="C7024" s="54"/>
      <c r="N7024" s="33"/>
    </row>
    <row r="7025" spans="3:14" x14ac:dyDescent="0.3">
      <c r="C7025" s="54"/>
      <c r="N7025" s="33"/>
    </row>
    <row r="7026" spans="3:14" x14ac:dyDescent="0.3">
      <c r="C7026" s="54"/>
      <c r="N7026" s="33"/>
    </row>
    <row r="7027" spans="3:14" x14ac:dyDescent="0.3">
      <c r="C7027" s="54"/>
      <c r="N7027" s="33"/>
    </row>
    <row r="7028" spans="3:14" x14ac:dyDescent="0.3">
      <c r="C7028" s="54"/>
      <c r="N7028" s="33"/>
    </row>
    <row r="7029" spans="3:14" x14ac:dyDescent="0.3">
      <c r="C7029" s="54"/>
      <c r="N7029" s="33"/>
    </row>
    <row r="7030" spans="3:14" x14ac:dyDescent="0.3">
      <c r="C7030" s="54"/>
      <c r="N7030" s="33"/>
    </row>
    <row r="7031" spans="3:14" x14ac:dyDescent="0.3">
      <c r="C7031" s="54"/>
      <c r="N7031" s="33"/>
    </row>
    <row r="7032" spans="3:14" x14ac:dyDescent="0.3">
      <c r="C7032" s="54"/>
      <c r="N7032" s="33"/>
    </row>
    <row r="7033" spans="3:14" x14ac:dyDescent="0.3">
      <c r="C7033" s="54"/>
      <c r="N7033" s="33"/>
    </row>
    <row r="7034" spans="3:14" x14ac:dyDescent="0.3">
      <c r="C7034" s="54"/>
      <c r="N7034" s="33"/>
    </row>
    <row r="7035" spans="3:14" x14ac:dyDescent="0.3">
      <c r="C7035" s="54"/>
      <c r="N7035" s="33"/>
    </row>
    <row r="7036" spans="3:14" x14ac:dyDescent="0.3">
      <c r="C7036" s="54"/>
      <c r="N7036" s="33"/>
    </row>
    <row r="7037" spans="3:14" x14ac:dyDescent="0.3">
      <c r="C7037" s="54"/>
      <c r="N7037" s="33"/>
    </row>
    <row r="7038" spans="3:14" x14ac:dyDescent="0.3">
      <c r="C7038" s="54"/>
      <c r="N7038" s="33"/>
    </row>
    <row r="7039" spans="3:14" x14ac:dyDescent="0.3">
      <c r="C7039" s="54"/>
      <c r="N7039" s="33"/>
    </row>
    <row r="7040" spans="3:14" x14ac:dyDescent="0.3">
      <c r="C7040" s="54"/>
      <c r="N7040" s="33"/>
    </row>
    <row r="7041" spans="3:14" x14ac:dyDescent="0.3">
      <c r="C7041" s="54"/>
      <c r="N7041" s="33"/>
    </row>
    <row r="7042" spans="3:14" x14ac:dyDescent="0.3">
      <c r="C7042" s="54"/>
      <c r="N7042" s="33"/>
    </row>
    <row r="7043" spans="3:14" x14ac:dyDescent="0.3">
      <c r="C7043" s="54"/>
      <c r="N7043" s="33"/>
    </row>
    <row r="7044" spans="3:14" x14ac:dyDescent="0.3">
      <c r="C7044" s="54"/>
      <c r="N7044" s="33"/>
    </row>
    <row r="7045" spans="3:14" x14ac:dyDescent="0.3">
      <c r="C7045" s="54"/>
      <c r="N7045" s="33"/>
    </row>
    <row r="7046" spans="3:14" x14ac:dyDescent="0.3">
      <c r="C7046" s="54"/>
      <c r="N7046" s="33"/>
    </row>
    <row r="7047" spans="3:14" x14ac:dyDescent="0.3">
      <c r="C7047" s="54"/>
      <c r="N7047" s="33"/>
    </row>
    <row r="7048" spans="3:14" x14ac:dyDescent="0.3">
      <c r="C7048" s="54"/>
      <c r="N7048" s="33"/>
    </row>
    <row r="7049" spans="3:14" x14ac:dyDescent="0.3">
      <c r="C7049" s="54"/>
      <c r="N7049" s="33"/>
    </row>
    <row r="7050" spans="3:14" x14ac:dyDescent="0.3">
      <c r="C7050" s="54"/>
      <c r="N7050" s="33"/>
    </row>
    <row r="7051" spans="3:14" x14ac:dyDescent="0.3">
      <c r="C7051" s="54"/>
      <c r="N7051" s="33"/>
    </row>
    <row r="7052" spans="3:14" x14ac:dyDescent="0.3">
      <c r="C7052" s="54"/>
      <c r="N7052" s="33"/>
    </row>
    <row r="7053" spans="3:14" x14ac:dyDescent="0.3">
      <c r="C7053" s="54"/>
      <c r="N7053" s="33"/>
    </row>
    <row r="7054" spans="3:14" x14ac:dyDescent="0.3">
      <c r="C7054" s="54"/>
      <c r="N7054" s="33"/>
    </row>
    <row r="7055" spans="3:14" x14ac:dyDescent="0.3">
      <c r="C7055" s="54"/>
      <c r="N7055" s="33"/>
    </row>
    <row r="7056" spans="3:14" x14ac:dyDescent="0.3">
      <c r="C7056" s="54"/>
      <c r="N7056" s="33"/>
    </row>
    <row r="7057" spans="3:14" x14ac:dyDescent="0.3">
      <c r="C7057" s="54"/>
      <c r="N7057" s="33"/>
    </row>
    <row r="7058" spans="3:14" x14ac:dyDescent="0.3">
      <c r="C7058" s="54"/>
      <c r="N7058" s="33"/>
    </row>
    <row r="7059" spans="3:14" x14ac:dyDescent="0.3">
      <c r="C7059" s="54"/>
      <c r="N7059" s="33"/>
    </row>
    <row r="7060" spans="3:14" x14ac:dyDescent="0.3">
      <c r="C7060" s="54"/>
      <c r="N7060" s="33"/>
    </row>
    <row r="7061" spans="3:14" x14ac:dyDescent="0.3">
      <c r="C7061" s="54"/>
      <c r="N7061" s="33"/>
    </row>
    <row r="7062" spans="3:14" x14ac:dyDescent="0.3">
      <c r="C7062" s="54"/>
      <c r="N7062" s="33"/>
    </row>
    <row r="7063" spans="3:14" x14ac:dyDescent="0.3">
      <c r="C7063" s="54"/>
      <c r="N7063" s="33"/>
    </row>
    <row r="7064" spans="3:14" x14ac:dyDescent="0.3">
      <c r="C7064" s="54"/>
      <c r="N7064" s="33"/>
    </row>
    <row r="7065" spans="3:14" x14ac:dyDescent="0.3">
      <c r="C7065" s="54"/>
      <c r="N7065" s="33"/>
    </row>
    <row r="7066" spans="3:14" x14ac:dyDescent="0.3">
      <c r="C7066" s="54"/>
      <c r="N7066" s="33"/>
    </row>
    <row r="7067" spans="3:14" x14ac:dyDescent="0.3">
      <c r="C7067" s="54"/>
      <c r="N7067" s="33"/>
    </row>
    <row r="7068" spans="3:14" x14ac:dyDescent="0.3">
      <c r="C7068" s="54"/>
      <c r="N7068" s="33"/>
    </row>
    <row r="7069" spans="3:14" x14ac:dyDescent="0.3">
      <c r="C7069" s="54"/>
      <c r="N7069" s="33"/>
    </row>
    <row r="7070" spans="3:14" x14ac:dyDescent="0.3">
      <c r="C7070" s="54"/>
      <c r="N7070" s="33"/>
    </row>
    <row r="7071" spans="3:14" x14ac:dyDescent="0.3">
      <c r="C7071" s="54"/>
      <c r="N7071" s="33"/>
    </row>
    <row r="7072" spans="3:14" x14ac:dyDescent="0.3">
      <c r="C7072" s="54"/>
      <c r="N7072" s="33"/>
    </row>
    <row r="7073" spans="3:14" x14ac:dyDescent="0.3">
      <c r="C7073" s="54"/>
      <c r="N7073" s="33"/>
    </row>
    <row r="7074" spans="3:14" x14ac:dyDescent="0.3">
      <c r="C7074" s="54"/>
      <c r="N7074" s="33"/>
    </row>
    <row r="7075" spans="3:14" x14ac:dyDescent="0.3">
      <c r="C7075" s="54"/>
      <c r="N7075" s="33"/>
    </row>
    <row r="7076" spans="3:14" x14ac:dyDescent="0.3">
      <c r="C7076" s="54"/>
      <c r="N7076" s="33"/>
    </row>
    <row r="7077" spans="3:14" x14ac:dyDescent="0.3">
      <c r="C7077" s="54"/>
      <c r="N7077" s="33"/>
    </row>
    <row r="7078" spans="3:14" x14ac:dyDescent="0.3">
      <c r="C7078" s="54"/>
      <c r="N7078" s="33"/>
    </row>
    <row r="7079" spans="3:14" x14ac:dyDescent="0.3">
      <c r="C7079" s="54"/>
      <c r="N7079" s="33"/>
    </row>
    <row r="7080" spans="3:14" x14ac:dyDescent="0.3">
      <c r="C7080" s="54"/>
      <c r="N7080" s="33"/>
    </row>
    <row r="7081" spans="3:14" x14ac:dyDescent="0.3">
      <c r="C7081" s="54"/>
      <c r="N7081" s="33"/>
    </row>
    <row r="7082" spans="3:14" x14ac:dyDescent="0.3">
      <c r="C7082" s="54"/>
      <c r="N7082" s="33"/>
    </row>
    <row r="7083" spans="3:14" x14ac:dyDescent="0.3">
      <c r="C7083" s="54"/>
      <c r="N7083" s="33"/>
    </row>
    <row r="7084" spans="3:14" x14ac:dyDescent="0.3">
      <c r="C7084" s="54"/>
      <c r="N7084" s="33"/>
    </row>
    <row r="7085" spans="3:14" x14ac:dyDescent="0.3">
      <c r="C7085" s="54"/>
      <c r="N7085" s="33"/>
    </row>
    <row r="7086" spans="3:14" x14ac:dyDescent="0.3">
      <c r="C7086" s="54"/>
      <c r="N7086" s="33"/>
    </row>
    <row r="7087" spans="3:14" x14ac:dyDescent="0.3">
      <c r="C7087" s="54"/>
      <c r="N7087" s="33"/>
    </row>
    <row r="7088" spans="3:14" x14ac:dyDescent="0.3">
      <c r="C7088" s="54"/>
      <c r="N7088" s="33"/>
    </row>
    <row r="7089" spans="3:14" x14ac:dyDescent="0.3">
      <c r="C7089" s="54"/>
      <c r="N7089" s="33"/>
    </row>
    <row r="7090" spans="3:14" x14ac:dyDescent="0.3">
      <c r="C7090" s="54"/>
      <c r="N7090" s="33"/>
    </row>
    <row r="7091" spans="3:14" x14ac:dyDescent="0.3">
      <c r="C7091" s="54"/>
      <c r="N7091" s="33"/>
    </row>
    <row r="7092" spans="3:14" x14ac:dyDescent="0.3">
      <c r="C7092" s="54"/>
      <c r="N7092" s="33"/>
    </row>
    <row r="7093" spans="3:14" x14ac:dyDescent="0.3">
      <c r="C7093" s="54"/>
      <c r="N7093" s="33"/>
    </row>
    <row r="7094" spans="3:14" x14ac:dyDescent="0.3">
      <c r="C7094" s="54"/>
      <c r="N7094" s="33"/>
    </row>
    <row r="7095" spans="3:14" x14ac:dyDescent="0.3">
      <c r="C7095" s="54"/>
      <c r="N7095" s="33"/>
    </row>
    <row r="7096" spans="3:14" x14ac:dyDescent="0.3">
      <c r="C7096" s="54"/>
      <c r="N7096" s="33"/>
    </row>
    <row r="7097" spans="3:14" x14ac:dyDescent="0.3">
      <c r="C7097" s="54"/>
      <c r="N7097" s="33"/>
    </row>
    <row r="7098" spans="3:14" x14ac:dyDescent="0.3">
      <c r="C7098" s="54"/>
      <c r="N7098" s="33"/>
    </row>
    <row r="7099" spans="3:14" x14ac:dyDescent="0.3">
      <c r="C7099" s="54"/>
      <c r="N7099" s="33"/>
    </row>
    <row r="7100" spans="3:14" x14ac:dyDescent="0.3">
      <c r="C7100" s="54"/>
      <c r="N7100" s="33"/>
    </row>
    <row r="7101" spans="3:14" x14ac:dyDescent="0.3">
      <c r="C7101" s="54"/>
      <c r="N7101" s="33"/>
    </row>
    <row r="7102" spans="3:14" x14ac:dyDescent="0.3">
      <c r="C7102" s="54"/>
      <c r="N7102" s="33"/>
    </row>
    <row r="7103" spans="3:14" x14ac:dyDescent="0.3">
      <c r="C7103" s="54"/>
      <c r="N7103" s="33"/>
    </row>
    <row r="7104" spans="3:14" x14ac:dyDescent="0.3">
      <c r="C7104" s="54"/>
      <c r="N7104" s="33"/>
    </row>
    <row r="7105" spans="3:14" x14ac:dyDescent="0.3">
      <c r="C7105" s="54"/>
      <c r="N7105" s="33"/>
    </row>
    <row r="7106" spans="3:14" x14ac:dyDescent="0.3">
      <c r="C7106" s="54"/>
      <c r="N7106" s="33"/>
    </row>
    <row r="7107" spans="3:14" x14ac:dyDescent="0.3">
      <c r="C7107" s="54"/>
      <c r="N7107" s="33"/>
    </row>
    <row r="7108" spans="3:14" x14ac:dyDescent="0.3">
      <c r="C7108" s="54"/>
      <c r="N7108" s="33"/>
    </row>
    <row r="7109" spans="3:14" x14ac:dyDescent="0.3">
      <c r="C7109" s="54"/>
      <c r="N7109" s="33"/>
    </row>
    <row r="7110" spans="3:14" x14ac:dyDescent="0.3">
      <c r="C7110" s="54"/>
      <c r="N7110" s="33"/>
    </row>
    <row r="7111" spans="3:14" x14ac:dyDescent="0.3">
      <c r="C7111" s="54"/>
      <c r="N7111" s="33"/>
    </row>
    <row r="7112" spans="3:14" x14ac:dyDescent="0.3">
      <c r="C7112" s="54"/>
      <c r="N7112" s="33"/>
    </row>
    <row r="7113" spans="3:14" x14ac:dyDescent="0.3">
      <c r="C7113" s="54"/>
      <c r="N7113" s="33"/>
    </row>
    <row r="7114" spans="3:14" x14ac:dyDescent="0.3">
      <c r="C7114" s="54"/>
      <c r="N7114" s="33"/>
    </row>
    <row r="7115" spans="3:14" x14ac:dyDescent="0.3">
      <c r="C7115" s="54"/>
      <c r="N7115" s="33"/>
    </row>
    <row r="7116" spans="3:14" x14ac:dyDescent="0.3">
      <c r="C7116" s="54"/>
      <c r="N7116" s="33"/>
    </row>
    <row r="7117" spans="3:14" x14ac:dyDescent="0.3">
      <c r="C7117" s="54"/>
      <c r="N7117" s="33"/>
    </row>
    <row r="7118" spans="3:14" x14ac:dyDescent="0.3">
      <c r="C7118" s="54"/>
      <c r="N7118" s="33"/>
    </row>
    <row r="7119" spans="3:14" x14ac:dyDescent="0.3">
      <c r="C7119" s="54"/>
      <c r="N7119" s="33"/>
    </row>
    <row r="7120" spans="3:14" x14ac:dyDescent="0.3">
      <c r="C7120" s="54"/>
      <c r="N7120" s="33"/>
    </row>
    <row r="7121" spans="3:14" x14ac:dyDescent="0.3">
      <c r="C7121" s="54"/>
      <c r="N7121" s="33"/>
    </row>
    <row r="7122" spans="3:14" x14ac:dyDescent="0.3">
      <c r="C7122" s="54"/>
      <c r="N7122" s="33"/>
    </row>
    <row r="7123" spans="3:14" x14ac:dyDescent="0.3">
      <c r="C7123" s="54"/>
      <c r="N7123" s="33"/>
    </row>
    <row r="7124" spans="3:14" x14ac:dyDescent="0.3">
      <c r="C7124" s="54"/>
      <c r="N7124" s="33"/>
    </row>
    <row r="7125" spans="3:14" x14ac:dyDescent="0.3">
      <c r="C7125" s="54"/>
      <c r="N7125" s="33"/>
    </row>
    <row r="7126" spans="3:14" x14ac:dyDescent="0.3">
      <c r="C7126" s="54"/>
      <c r="N7126" s="33"/>
    </row>
    <row r="7127" spans="3:14" x14ac:dyDescent="0.3">
      <c r="C7127" s="54"/>
      <c r="N7127" s="33"/>
    </row>
    <row r="7128" spans="3:14" x14ac:dyDescent="0.3">
      <c r="C7128" s="54"/>
      <c r="N7128" s="33"/>
    </row>
    <row r="7129" spans="3:14" x14ac:dyDescent="0.3">
      <c r="C7129" s="54"/>
      <c r="N7129" s="33"/>
    </row>
    <row r="7130" spans="3:14" x14ac:dyDescent="0.3">
      <c r="C7130" s="54"/>
      <c r="N7130" s="33"/>
    </row>
    <row r="7131" spans="3:14" x14ac:dyDescent="0.3">
      <c r="C7131" s="54"/>
      <c r="N7131" s="33"/>
    </row>
    <row r="7132" spans="3:14" x14ac:dyDescent="0.3">
      <c r="C7132" s="54"/>
      <c r="N7132" s="33"/>
    </row>
    <row r="7133" spans="3:14" x14ac:dyDescent="0.3">
      <c r="C7133" s="54"/>
      <c r="N7133" s="33"/>
    </row>
    <row r="7134" spans="3:14" x14ac:dyDescent="0.3">
      <c r="C7134" s="54"/>
      <c r="N7134" s="33"/>
    </row>
    <row r="7135" spans="3:14" x14ac:dyDescent="0.3">
      <c r="C7135" s="54"/>
      <c r="N7135" s="33"/>
    </row>
    <row r="7136" spans="3:14" x14ac:dyDescent="0.3">
      <c r="C7136" s="54"/>
      <c r="N7136" s="33"/>
    </row>
    <row r="7137" spans="3:14" x14ac:dyDescent="0.3">
      <c r="C7137" s="54"/>
      <c r="N7137" s="33"/>
    </row>
    <row r="7138" spans="3:14" x14ac:dyDescent="0.3">
      <c r="C7138" s="54"/>
      <c r="N7138" s="33"/>
    </row>
    <row r="7139" spans="3:14" x14ac:dyDescent="0.3">
      <c r="C7139" s="54"/>
      <c r="N7139" s="33"/>
    </row>
    <row r="7140" spans="3:14" x14ac:dyDescent="0.3">
      <c r="C7140" s="54"/>
      <c r="N7140" s="33"/>
    </row>
    <row r="7141" spans="3:14" x14ac:dyDescent="0.3">
      <c r="C7141" s="54"/>
      <c r="N7141" s="33"/>
    </row>
    <row r="7142" spans="3:14" x14ac:dyDescent="0.3">
      <c r="C7142" s="54"/>
      <c r="N7142" s="33"/>
    </row>
    <row r="7143" spans="3:14" x14ac:dyDescent="0.3">
      <c r="C7143" s="54"/>
      <c r="N7143" s="33"/>
    </row>
    <row r="7144" spans="3:14" x14ac:dyDescent="0.3">
      <c r="C7144" s="54"/>
      <c r="N7144" s="33"/>
    </row>
    <row r="7145" spans="3:14" x14ac:dyDescent="0.3">
      <c r="C7145" s="54"/>
      <c r="N7145" s="33"/>
    </row>
    <row r="7146" spans="3:14" x14ac:dyDescent="0.3">
      <c r="C7146" s="54"/>
      <c r="N7146" s="33"/>
    </row>
    <row r="7147" spans="3:14" x14ac:dyDescent="0.3">
      <c r="C7147" s="54"/>
      <c r="N7147" s="33"/>
    </row>
    <row r="7148" spans="3:14" x14ac:dyDescent="0.3">
      <c r="C7148" s="54"/>
      <c r="N7148" s="33"/>
    </row>
    <row r="7149" spans="3:14" x14ac:dyDescent="0.3">
      <c r="C7149" s="54"/>
      <c r="N7149" s="33"/>
    </row>
    <row r="7150" spans="3:14" x14ac:dyDescent="0.3">
      <c r="C7150" s="54"/>
      <c r="N7150" s="33"/>
    </row>
    <row r="7151" spans="3:14" x14ac:dyDescent="0.3">
      <c r="C7151" s="54"/>
      <c r="N7151" s="33"/>
    </row>
    <row r="7152" spans="3:14" x14ac:dyDescent="0.3">
      <c r="C7152" s="54"/>
      <c r="N7152" s="33"/>
    </row>
    <row r="7153" spans="3:14" x14ac:dyDescent="0.3">
      <c r="C7153" s="54"/>
      <c r="N7153" s="33"/>
    </row>
    <row r="7154" spans="3:14" x14ac:dyDescent="0.3">
      <c r="C7154" s="54"/>
      <c r="N7154" s="33"/>
    </row>
    <row r="7155" spans="3:14" x14ac:dyDescent="0.3">
      <c r="C7155" s="54"/>
      <c r="N7155" s="33"/>
    </row>
    <row r="7156" spans="3:14" x14ac:dyDescent="0.3">
      <c r="C7156" s="54"/>
      <c r="N7156" s="33"/>
    </row>
    <row r="7157" spans="3:14" x14ac:dyDescent="0.3">
      <c r="C7157" s="54"/>
      <c r="N7157" s="33"/>
    </row>
    <row r="7158" spans="3:14" x14ac:dyDescent="0.3">
      <c r="C7158" s="54"/>
      <c r="N7158" s="33"/>
    </row>
    <row r="7159" spans="3:14" x14ac:dyDescent="0.3">
      <c r="C7159" s="54"/>
      <c r="N7159" s="33"/>
    </row>
    <row r="7160" spans="3:14" x14ac:dyDescent="0.3">
      <c r="C7160" s="54"/>
      <c r="N7160" s="33"/>
    </row>
    <row r="7161" spans="3:14" x14ac:dyDescent="0.3">
      <c r="C7161" s="54"/>
      <c r="N7161" s="33"/>
    </row>
    <row r="7162" spans="3:14" x14ac:dyDescent="0.3">
      <c r="C7162" s="54"/>
      <c r="N7162" s="33"/>
    </row>
    <row r="7163" spans="3:14" x14ac:dyDescent="0.3">
      <c r="C7163" s="54"/>
      <c r="N7163" s="33"/>
    </row>
    <row r="7164" spans="3:14" x14ac:dyDescent="0.3">
      <c r="C7164" s="54"/>
      <c r="N7164" s="33"/>
    </row>
    <row r="7165" spans="3:14" x14ac:dyDescent="0.3">
      <c r="C7165" s="54"/>
      <c r="N7165" s="33"/>
    </row>
    <row r="7166" spans="3:14" x14ac:dyDescent="0.3">
      <c r="C7166" s="54"/>
      <c r="N7166" s="33"/>
    </row>
    <row r="7167" spans="3:14" x14ac:dyDescent="0.3">
      <c r="C7167" s="54"/>
      <c r="N7167" s="33"/>
    </row>
    <row r="7168" spans="3:14" x14ac:dyDescent="0.3">
      <c r="C7168" s="54"/>
      <c r="N7168" s="33"/>
    </row>
    <row r="7169" spans="3:14" x14ac:dyDescent="0.3">
      <c r="C7169" s="54"/>
      <c r="N7169" s="33"/>
    </row>
    <row r="7170" spans="3:14" x14ac:dyDescent="0.3">
      <c r="C7170" s="54"/>
      <c r="N7170" s="33"/>
    </row>
    <row r="7171" spans="3:14" x14ac:dyDescent="0.3">
      <c r="C7171" s="54"/>
      <c r="N7171" s="33"/>
    </row>
    <row r="7172" spans="3:14" x14ac:dyDescent="0.3">
      <c r="C7172" s="54"/>
      <c r="N7172" s="33"/>
    </row>
    <row r="7173" spans="3:14" x14ac:dyDescent="0.3">
      <c r="C7173" s="54"/>
      <c r="N7173" s="33"/>
    </row>
    <row r="7174" spans="3:14" x14ac:dyDescent="0.3">
      <c r="C7174" s="54"/>
      <c r="N7174" s="33"/>
    </row>
    <row r="7175" spans="3:14" x14ac:dyDescent="0.3">
      <c r="C7175" s="54"/>
      <c r="N7175" s="33"/>
    </row>
    <row r="7176" spans="3:14" x14ac:dyDescent="0.3">
      <c r="C7176" s="54"/>
      <c r="N7176" s="33"/>
    </row>
    <row r="7177" spans="3:14" x14ac:dyDescent="0.3">
      <c r="C7177" s="54"/>
      <c r="N7177" s="33"/>
    </row>
    <row r="7178" spans="3:14" x14ac:dyDescent="0.3">
      <c r="C7178" s="54"/>
      <c r="N7178" s="33"/>
    </row>
    <row r="7179" spans="3:14" x14ac:dyDescent="0.3">
      <c r="C7179" s="54"/>
      <c r="N7179" s="33"/>
    </row>
    <row r="7180" spans="3:14" x14ac:dyDescent="0.3">
      <c r="C7180" s="54"/>
      <c r="N7180" s="33"/>
    </row>
    <row r="7181" spans="3:14" x14ac:dyDescent="0.3">
      <c r="C7181" s="54"/>
      <c r="N7181" s="33"/>
    </row>
    <row r="7182" spans="3:14" x14ac:dyDescent="0.3">
      <c r="C7182" s="54"/>
      <c r="N7182" s="33"/>
    </row>
    <row r="7183" spans="3:14" x14ac:dyDescent="0.3">
      <c r="C7183" s="54"/>
      <c r="N7183" s="33"/>
    </row>
    <row r="7184" spans="3:14" x14ac:dyDescent="0.3">
      <c r="C7184" s="54"/>
      <c r="N7184" s="33"/>
    </row>
    <row r="7185" spans="3:14" x14ac:dyDescent="0.3">
      <c r="C7185" s="54"/>
      <c r="N7185" s="33"/>
    </row>
    <row r="7186" spans="3:14" x14ac:dyDescent="0.3">
      <c r="C7186" s="54"/>
      <c r="N7186" s="33"/>
    </row>
    <row r="7187" spans="3:14" x14ac:dyDescent="0.3">
      <c r="C7187" s="54"/>
      <c r="N7187" s="33"/>
    </row>
    <row r="7188" spans="3:14" x14ac:dyDescent="0.3">
      <c r="C7188" s="54"/>
      <c r="N7188" s="33"/>
    </row>
    <row r="7189" spans="3:14" x14ac:dyDescent="0.3">
      <c r="C7189" s="54"/>
      <c r="N7189" s="33"/>
    </row>
    <row r="7190" spans="3:14" x14ac:dyDescent="0.3">
      <c r="C7190" s="54"/>
      <c r="N7190" s="33"/>
    </row>
    <row r="7191" spans="3:14" x14ac:dyDescent="0.3">
      <c r="C7191" s="54"/>
      <c r="N7191" s="33"/>
    </row>
    <row r="7192" spans="3:14" x14ac:dyDescent="0.3">
      <c r="C7192" s="54"/>
      <c r="N7192" s="33"/>
    </row>
    <row r="7193" spans="3:14" x14ac:dyDescent="0.3">
      <c r="C7193" s="54"/>
      <c r="N7193" s="33"/>
    </row>
    <row r="7194" spans="3:14" x14ac:dyDescent="0.3">
      <c r="C7194" s="54"/>
      <c r="N7194" s="33"/>
    </row>
    <row r="7195" spans="3:14" x14ac:dyDescent="0.3">
      <c r="C7195" s="54"/>
      <c r="N7195" s="33"/>
    </row>
    <row r="7196" spans="3:14" x14ac:dyDescent="0.3">
      <c r="C7196" s="54"/>
      <c r="N7196" s="33"/>
    </row>
    <row r="7197" spans="3:14" x14ac:dyDescent="0.3">
      <c r="C7197" s="54"/>
      <c r="N7197" s="33"/>
    </row>
    <row r="7198" spans="3:14" x14ac:dyDescent="0.3">
      <c r="C7198" s="54"/>
      <c r="N7198" s="33"/>
    </row>
    <row r="7199" spans="3:14" x14ac:dyDescent="0.3">
      <c r="C7199" s="54"/>
      <c r="N7199" s="33"/>
    </row>
    <row r="7200" spans="3:14" x14ac:dyDescent="0.3">
      <c r="C7200" s="54"/>
      <c r="N7200" s="33"/>
    </row>
    <row r="7201" spans="3:14" x14ac:dyDescent="0.3">
      <c r="C7201" s="54"/>
      <c r="N7201" s="33"/>
    </row>
    <row r="7202" spans="3:14" x14ac:dyDescent="0.3">
      <c r="C7202" s="54"/>
      <c r="N7202" s="33"/>
    </row>
    <row r="7203" spans="3:14" x14ac:dyDescent="0.3">
      <c r="C7203" s="54"/>
      <c r="N7203" s="33"/>
    </row>
    <row r="7204" spans="3:14" x14ac:dyDescent="0.3">
      <c r="C7204" s="54"/>
      <c r="N7204" s="33"/>
    </row>
    <row r="7205" spans="3:14" x14ac:dyDescent="0.3">
      <c r="C7205" s="54"/>
      <c r="N7205" s="33"/>
    </row>
    <row r="7206" spans="3:14" x14ac:dyDescent="0.3">
      <c r="C7206" s="54"/>
      <c r="N7206" s="33"/>
    </row>
    <row r="7207" spans="3:14" x14ac:dyDescent="0.3">
      <c r="C7207" s="54"/>
      <c r="N7207" s="33"/>
    </row>
    <row r="7208" spans="3:14" x14ac:dyDescent="0.3">
      <c r="C7208" s="54"/>
      <c r="N7208" s="33"/>
    </row>
    <row r="7209" spans="3:14" x14ac:dyDescent="0.3">
      <c r="C7209" s="54"/>
      <c r="N7209" s="33"/>
    </row>
    <row r="7210" spans="3:14" x14ac:dyDescent="0.3">
      <c r="C7210" s="54"/>
      <c r="N7210" s="33"/>
    </row>
    <row r="7211" spans="3:14" x14ac:dyDescent="0.3">
      <c r="C7211" s="54"/>
      <c r="N7211" s="33"/>
    </row>
    <row r="7212" spans="3:14" x14ac:dyDescent="0.3">
      <c r="C7212" s="54"/>
      <c r="N7212" s="33"/>
    </row>
    <row r="7213" spans="3:14" x14ac:dyDescent="0.3">
      <c r="C7213" s="54"/>
      <c r="N7213" s="33"/>
    </row>
    <row r="7214" spans="3:14" x14ac:dyDescent="0.3">
      <c r="C7214" s="54"/>
      <c r="N7214" s="33"/>
    </row>
    <row r="7215" spans="3:14" x14ac:dyDescent="0.3">
      <c r="C7215" s="54"/>
      <c r="N7215" s="33"/>
    </row>
    <row r="7216" spans="3:14" x14ac:dyDescent="0.3">
      <c r="C7216" s="54"/>
      <c r="N7216" s="33"/>
    </row>
    <row r="7217" spans="3:14" x14ac:dyDescent="0.3">
      <c r="C7217" s="54"/>
      <c r="N7217" s="33"/>
    </row>
    <row r="7218" spans="3:14" x14ac:dyDescent="0.3">
      <c r="C7218" s="54"/>
      <c r="N7218" s="33"/>
    </row>
    <row r="7219" spans="3:14" x14ac:dyDescent="0.3">
      <c r="C7219" s="54"/>
      <c r="N7219" s="33"/>
    </row>
    <row r="7220" spans="3:14" x14ac:dyDescent="0.3">
      <c r="C7220" s="54"/>
      <c r="N7220" s="33"/>
    </row>
    <row r="7221" spans="3:14" x14ac:dyDescent="0.3">
      <c r="C7221" s="54"/>
      <c r="N7221" s="33"/>
    </row>
    <row r="7222" spans="3:14" x14ac:dyDescent="0.3">
      <c r="C7222" s="54"/>
      <c r="N7222" s="33"/>
    </row>
    <row r="7223" spans="3:14" x14ac:dyDescent="0.3">
      <c r="C7223" s="54"/>
      <c r="N7223" s="33"/>
    </row>
    <row r="7224" spans="3:14" x14ac:dyDescent="0.3">
      <c r="C7224" s="54"/>
      <c r="N7224" s="33"/>
    </row>
    <row r="7225" spans="3:14" x14ac:dyDescent="0.3">
      <c r="C7225" s="54"/>
      <c r="N7225" s="33"/>
    </row>
    <row r="7226" spans="3:14" x14ac:dyDescent="0.3">
      <c r="C7226" s="54"/>
      <c r="N7226" s="33"/>
    </row>
    <row r="7227" spans="3:14" x14ac:dyDescent="0.3">
      <c r="C7227" s="54"/>
      <c r="N7227" s="33"/>
    </row>
    <row r="7228" spans="3:14" x14ac:dyDescent="0.3">
      <c r="C7228" s="54"/>
      <c r="N7228" s="33"/>
    </row>
    <row r="7229" spans="3:14" x14ac:dyDescent="0.3">
      <c r="C7229" s="54"/>
      <c r="N7229" s="33"/>
    </row>
    <row r="7230" spans="3:14" x14ac:dyDescent="0.3">
      <c r="C7230" s="54"/>
      <c r="N7230" s="33"/>
    </row>
    <row r="7231" spans="3:14" x14ac:dyDescent="0.3">
      <c r="C7231" s="54"/>
      <c r="N7231" s="33"/>
    </row>
    <row r="7232" spans="3:14" x14ac:dyDescent="0.3">
      <c r="C7232" s="54"/>
      <c r="N7232" s="33"/>
    </row>
    <row r="7233" spans="3:14" x14ac:dyDescent="0.3">
      <c r="C7233" s="54"/>
      <c r="N7233" s="33"/>
    </row>
    <row r="7234" spans="3:14" x14ac:dyDescent="0.3">
      <c r="C7234" s="54"/>
      <c r="N7234" s="33"/>
    </row>
    <row r="7235" spans="3:14" x14ac:dyDescent="0.3">
      <c r="C7235" s="54"/>
      <c r="N7235" s="33"/>
    </row>
    <row r="7236" spans="3:14" x14ac:dyDescent="0.3">
      <c r="C7236" s="54"/>
      <c r="N7236" s="33"/>
    </row>
    <row r="7237" spans="3:14" x14ac:dyDescent="0.3">
      <c r="C7237" s="54"/>
      <c r="N7237" s="33"/>
    </row>
    <row r="7238" spans="3:14" x14ac:dyDescent="0.3">
      <c r="C7238" s="54"/>
      <c r="N7238" s="33"/>
    </row>
    <row r="7239" spans="3:14" x14ac:dyDescent="0.3">
      <c r="C7239" s="54"/>
      <c r="N7239" s="33"/>
    </row>
    <row r="7240" spans="3:14" x14ac:dyDescent="0.3">
      <c r="C7240" s="54"/>
      <c r="N7240" s="33"/>
    </row>
    <row r="7241" spans="3:14" x14ac:dyDescent="0.3">
      <c r="C7241" s="54"/>
      <c r="N7241" s="33"/>
    </row>
    <row r="7242" spans="3:14" x14ac:dyDescent="0.3">
      <c r="C7242" s="54"/>
      <c r="N7242" s="33"/>
    </row>
    <row r="7243" spans="3:14" x14ac:dyDescent="0.3">
      <c r="C7243" s="54"/>
      <c r="N7243" s="33"/>
    </row>
    <row r="7244" spans="3:14" x14ac:dyDescent="0.3">
      <c r="C7244" s="54"/>
      <c r="N7244" s="33"/>
    </row>
    <row r="7245" spans="3:14" x14ac:dyDescent="0.3">
      <c r="C7245" s="54"/>
      <c r="N7245" s="33"/>
    </row>
    <row r="7246" spans="3:14" x14ac:dyDescent="0.3">
      <c r="C7246" s="54"/>
      <c r="N7246" s="33"/>
    </row>
    <row r="7247" spans="3:14" x14ac:dyDescent="0.3">
      <c r="C7247" s="54"/>
      <c r="N7247" s="33"/>
    </row>
    <row r="7248" spans="3:14" x14ac:dyDescent="0.3">
      <c r="C7248" s="54"/>
      <c r="N7248" s="33"/>
    </row>
    <row r="7249" spans="3:14" x14ac:dyDescent="0.3">
      <c r="C7249" s="54"/>
      <c r="N7249" s="33"/>
    </row>
    <row r="7250" spans="3:14" x14ac:dyDescent="0.3">
      <c r="C7250" s="54"/>
      <c r="N7250" s="33"/>
    </row>
    <row r="7251" spans="3:14" x14ac:dyDescent="0.3">
      <c r="C7251" s="54"/>
      <c r="N7251" s="33"/>
    </row>
    <row r="7252" spans="3:14" x14ac:dyDescent="0.3">
      <c r="C7252" s="54"/>
      <c r="N7252" s="33"/>
    </row>
    <row r="7253" spans="3:14" x14ac:dyDescent="0.3">
      <c r="C7253" s="54"/>
      <c r="N7253" s="33"/>
    </row>
    <row r="7254" spans="3:14" x14ac:dyDescent="0.3">
      <c r="C7254" s="54"/>
      <c r="N7254" s="33"/>
    </row>
    <row r="7255" spans="3:14" x14ac:dyDescent="0.3">
      <c r="C7255" s="54"/>
      <c r="N7255" s="33"/>
    </row>
    <row r="7256" spans="3:14" x14ac:dyDescent="0.3">
      <c r="C7256" s="54"/>
      <c r="N7256" s="33"/>
    </row>
    <row r="7257" spans="3:14" x14ac:dyDescent="0.3">
      <c r="C7257" s="54"/>
      <c r="N7257" s="33"/>
    </row>
    <row r="7258" spans="3:14" x14ac:dyDescent="0.3">
      <c r="C7258" s="54"/>
      <c r="N7258" s="33"/>
    </row>
    <row r="7259" spans="3:14" x14ac:dyDescent="0.3">
      <c r="C7259" s="54"/>
      <c r="N7259" s="33"/>
    </row>
    <row r="7260" spans="3:14" x14ac:dyDescent="0.3">
      <c r="C7260" s="54"/>
      <c r="N7260" s="33"/>
    </row>
    <row r="7261" spans="3:14" x14ac:dyDescent="0.3">
      <c r="C7261" s="54"/>
      <c r="N7261" s="33"/>
    </row>
    <row r="7262" spans="3:14" x14ac:dyDescent="0.3">
      <c r="C7262" s="54"/>
      <c r="N7262" s="33"/>
    </row>
    <row r="7263" spans="3:14" x14ac:dyDescent="0.3">
      <c r="C7263" s="54"/>
      <c r="N7263" s="33"/>
    </row>
    <row r="7264" spans="3:14" x14ac:dyDescent="0.3">
      <c r="C7264" s="54"/>
      <c r="N7264" s="33"/>
    </row>
    <row r="7265" spans="3:14" x14ac:dyDescent="0.3">
      <c r="C7265" s="54"/>
      <c r="N7265" s="33"/>
    </row>
    <row r="7266" spans="3:14" x14ac:dyDescent="0.3">
      <c r="C7266" s="54"/>
      <c r="N7266" s="33"/>
    </row>
    <row r="7267" spans="3:14" x14ac:dyDescent="0.3">
      <c r="C7267" s="54"/>
      <c r="N7267" s="33"/>
    </row>
    <row r="7268" spans="3:14" x14ac:dyDescent="0.3">
      <c r="C7268" s="54"/>
      <c r="N7268" s="33"/>
    </row>
    <row r="7269" spans="3:14" x14ac:dyDescent="0.3">
      <c r="C7269" s="54"/>
      <c r="N7269" s="33"/>
    </row>
    <row r="7270" spans="3:14" x14ac:dyDescent="0.3">
      <c r="C7270" s="54"/>
      <c r="N7270" s="33"/>
    </row>
    <row r="7271" spans="3:14" x14ac:dyDescent="0.3">
      <c r="C7271" s="54"/>
      <c r="N7271" s="33"/>
    </row>
    <row r="7272" spans="3:14" x14ac:dyDescent="0.3">
      <c r="C7272" s="54"/>
      <c r="N7272" s="33"/>
    </row>
    <row r="7273" spans="3:14" x14ac:dyDescent="0.3">
      <c r="C7273" s="54"/>
      <c r="N7273" s="33"/>
    </row>
    <row r="7274" spans="3:14" x14ac:dyDescent="0.3">
      <c r="C7274" s="54"/>
      <c r="N7274" s="33"/>
    </row>
    <row r="7275" spans="3:14" x14ac:dyDescent="0.3">
      <c r="C7275" s="54"/>
      <c r="N7275" s="33"/>
    </row>
    <row r="7276" spans="3:14" x14ac:dyDescent="0.3">
      <c r="C7276" s="54"/>
      <c r="N7276" s="33"/>
    </row>
    <row r="7277" spans="3:14" x14ac:dyDescent="0.3">
      <c r="C7277" s="54"/>
      <c r="N7277" s="33"/>
    </row>
    <row r="7278" spans="3:14" x14ac:dyDescent="0.3">
      <c r="C7278" s="54"/>
      <c r="N7278" s="33"/>
    </row>
    <row r="7279" spans="3:14" x14ac:dyDescent="0.3">
      <c r="C7279" s="54"/>
      <c r="N7279" s="33"/>
    </row>
    <row r="7280" spans="3:14" x14ac:dyDescent="0.3">
      <c r="C7280" s="54"/>
      <c r="N7280" s="33"/>
    </row>
    <row r="7281" spans="3:14" x14ac:dyDescent="0.3">
      <c r="C7281" s="54"/>
      <c r="N7281" s="33"/>
    </row>
    <row r="7282" spans="3:14" x14ac:dyDescent="0.3">
      <c r="C7282" s="54"/>
      <c r="N7282" s="33"/>
    </row>
    <row r="7283" spans="3:14" x14ac:dyDescent="0.3">
      <c r="C7283" s="54"/>
      <c r="N7283" s="33"/>
    </row>
    <row r="7284" spans="3:14" x14ac:dyDescent="0.3">
      <c r="C7284" s="54"/>
      <c r="N7284" s="33"/>
    </row>
    <row r="7285" spans="3:14" x14ac:dyDescent="0.3">
      <c r="C7285" s="54"/>
      <c r="N7285" s="33"/>
    </row>
    <row r="7286" spans="3:14" x14ac:dyDescent="0.3">
      <c r="C7286" s="54"/>
      <c r="N7286" s="33"/>
    </row>
    <row r="7287" spans="3:14" x14ac:dyDescent="0.3">
      <c r="C7287" s="54"/>
      <c r="N7287" s="33"/>
    </row>
    <row r="7288" spans="3:14" x14ac:dyDescent="0.3">
      <c r="C7288" s="54"/>
      <c r="N7288" s="33"/>
    </row>
    <row r="7289" spans="3:14" x14ac:dyDescent="0.3">
      <c r="C7289" s="54"/>
      <c r="N7289" s="33"/>
    </row>
    <row r="7290" spans="3:14" x14ac:dyDescent="0.3">
      <c r="C7290" s="54"/>
      <c r="N7290" s="33"/>
    </row>
    <row r="7291" spans="3:14" x14ac:dyDescent="0.3">
      <c r="C7291" s="54"/>
      <c r="N7291" s="33"/>
    </row>
    <row r="7292" spans="3:14" x14ac:dyDescent="0.3">
      <c r="C7292" s="54"/>
      <c r="N7292" s="33"/>
    </row>
    <row r="7293" spans="3:14" x14ac:dyDescent="0.3">
      <c r="C7293" s="54"/>
      <c r="N7293" s="33"/>
    </row>
    <row r="7294" spans="3:14" x14ac:dyDescent="0.3">
      <c r="C7294" s="54"/>
      <c r="N7294" s="33"/>
    </row>
    <row r="7295" spans="3:14" x14ac:dyDescent="0.3">
      <c r="C7295" s="54"/>
      <c r="N7295" s="33"/>
    </row>
    <row r="7296" spans="3:14" x14ac:dyDescent="0.3">
      <c r="C7296" s="54"/>
      <c r="N7296" s="33"/>
    </row>
    <row r="7297" spans="3:14" x14ac:dyDescent="0.3">
      <c r="C7297" s="54"/>
      <c r="N7297" s="33"/>
    </row>
    <row r="7298" spans="3:14" x14ac:dyDescent="0.3">
      <c r="C7298" s="54"/>
      <c r="N7298" s="33"/>
    </row>
    <row r="7299" spans="3:14" x14ac:dyDescent="0.3">
      <c r="C7299" s="54"/>
      <c r="N7299" s="33"/>
    </row>
    <row r="7300" spans="3:14" x14ac:dyDescent="0.3">
      <c r="C7300" s="54"/>
      <c r="N7300" s="33"/>
    </row>
    <row r="7301" spans="3:14" x14ac:dyDescent="0.3">
      <c r="C7301" s="54"/>
      <c r="N7301" s="33"/>
    </row>
    <row r="7302" spans="3:14" x14ac:dyDescent="0.3">
      <c r="C7302" s="54"/>
      <c r="N7302" s="33"/>
    </row>
    <row r="7303" spans="3:14" x14ac:dyDescent="0.3">
      <c r="C7303" s="54"/>
      <c r="N7303" s="33"/>
    </row>
    <row r="7304" spans="3:14" x14ac:dyDescent="0.3">
      <c r="C7304" s="54"/>
      <c r="N7304" s="33"/>
    </row>
    <row r="7305" spans="3:14" x14ac:dyDescent="0.3">
      <c r="C7305" s="54"/>
      <c r="N7305" s="33"/>
    </row>
    <row r="7306" spans="3:14" x14ac:dyDescent="0.3">
      <c r="C7306" s="54"/>
      <c r="N7306" s="33"/>
    </row>
    <row r="7307" spans="3:14" x14ac:dyDescent="0.3">
      <c r="C7307" s="54"/>
      <c r="N7307" s="33"/>
    </row>
    <row r="7308" spans="3:14" x14ac:dyDescent="0.3">
      <c r="C7308" s="54"/>
      <c r="N7308" s="33"/>
    </row>
    <row r="7309" spans="3:14" x14ac:dyDescent="0.3">
      <c r="C7309" s="54"/>
      <c r="N7309" s="33"/>
    </row>
    <row r="7310" spans="3:14" x14ac:dyDescent="0.3">
      <c r="C7310" s="54"/>
      <c r="N7310" s="33"/>
    </row>
    <row r="7311" spans="3:14" x14ac:dyDescent="0.3">
      <c r="C7311" s="54"/>
      <c r="N7311" s="33"/>
    </row>
    <row r="7312" spans="3:14" x14ac:dyDescent="0.3">
      <c r="C7312" s="54"/>
      <c r="N7312" s="33"/>
    </row>
    <row r="7313" spans="3:14" x14ac:dyDescent="0.3">
      <c r="C7313" s="54"/>
      <c r="N7313" s="33"/>
    </row>
    <row r="7314" spans="3:14" x14ac:dyDescent="0.3">
      <c r="C7314" s="54"/>
      <c r="N7314" s="33"/>
    </row>
    <row r="7315" spans="3:14" x14ac:dyDescent="0.3">
      <c r="C7315" s="54"/>
      <c r="N7315" s="33"/>
    </row>
    <row r="7316" spans="3:14" x14ac:dyDescent="0.3">
      <c r="C7316" s="54"/>
      <c r="N7316" s="33"/>
    </row>
    <row r="7317" spans="3:14" x14ac:dyDescent="0.3">
      <c r="C7317" s="54"/>
      <c r="N7317" s="33"/>
    </row>
    <row r="7318" spans="3:14" x14ac:dyDescent="0.3">
      <c r="C7318" s="54"/>
      <c r="N7318" s="33"/>
    </row>
    <row r="7319" spans="3:14" x14ac:dyDescent="0.3">
      <c r="C7319" s="54"/>
      <c r="N7319" s="33"/>
    </row>
    <row r="7320" spans="3:14" x14ac:dyDescent="0.3">
      <c r="C7320" s="54"/>
      <c r="N7320" s="33"/>
    </row>
    <row r="7321" spans="3:14" x14ac:dyDescent="0.3">
      <c r="C7321" s="54"/>
      <c r="N7321" s="33"/>
    </row>
    <row r="7322" spans="3:14" x14ac:dyDescent="0.3">
      <c r="C7322" s="54"/>
      <c r="N7322" s="33"/>
    </row>
    <row r="7323" spans="3:14" x14ac:dyDescent="0.3">
      <c r="C7323" s="54"/>
      <c r="N7323" s="33"/>
    </row>
    <row r="7324" spans="3:14" x14ac:dyDescent="0.3">
      <c r="C7324" s="54"/>
      <c r="N7324" s="33"/>
    </row>
    <row r="7325" spans="3:14" x14ac:dyDescent="0.3">
      <c r="C7325" s="54"/>
      <c r="N7325" s="33"/>
    </row>
    <row r="7326" spans="3:14" x14ac:dyDescent="0.3">
      <c r="C7326" s="54"/>
      <c r="N7326" s="33"/>
    </row>
    <row r="7327" spans="3:14" x14ac:dyDescent="0.3">
      <c r="C7327" s="54"/>
      <c r="N7327" s="33"/>
    </row>
    <row r="7328" spans="3:14" x14ac:dyDescent="0.3">
      <c r="C7328" s="54"/>
      <c r="N7328" s="33"/>
    </row>
    <row r="7329" spans="3:14" x14ac:dyDescent="0.3">
      <c r="C7329" s="54"/>
      <c r="N7329" s="33"/>
    </row>
    <row r="7330" spans="3:14" x14ac:dyDescent="0.3">
      <c r="C7330" s="54"/>
      <c r="N7330" s="33"/>
    </row>
    <row r="7331" spans="3:14" x14ac:dyDescent="0.3">
      <c r="C7331" s="54"/>
      <c r="N7331" s="33"/>
    </row>
    <row r="7332" spans="3:14" x14ac:dyDescent="0.3">
      <c r="C7332" s="54"/>
      <c r="N7332" s="33"/>
    </row>
    <row r="7333" spans="3:14" x14ac:dyDescent="0.3">
      <c r="C7333" s="54"/>
      <c r="N7333" s="33"/>
    </row>
    <row r="7334" spans="3:14" x14ac:dyDescent="0.3">
      <c r="C7334" s="54"/>
      <c r="N7334" s="33"/>
    </row>
    <row r="7335" spans="3:14" x14ac:dyDescent="0.3">
      <c r="C7335" s="54"/>
      <c r="N7335" s="33"/>
    </row>
    <row r="7336" spans="3:14" x14ac:dyDescent="0.3">
      <c r="C7336" s="54"/>
      <c r="N7336" s="33"/>
    </row>
    <row r="7337" spans="3:14" x14ac:dyDescent="0.3">
      <c r="C7337" s="54"/>
      <c r="N7337" s="33"/>
    </row>
    <row r="7338" spans="3:14" x14ac:dyDescent="0.3">
      <c r="C7338" s="54"/>
      <c r="N7338" s="33"/>
    </row>
    <row r="7339" spans="3:14" x14ac:dyDescent="0.3">
      <c r="C7339" s="54"/>
      <c r="N7339" s="33"/>
    </row>
    <row r="7340" spans="3:14" x14ac:dyDescent="0.3">
      <c r="C7340" s="54"/>
      <c r="N7340" s="33"/>
    </row>
    <row r="7341" spans="3:14" x14ac:dyDescent="0.3">
      <c r="C7341" s="54"/>
      <c r="N7341" s="33"/>
    </row>
    <row r="7342" spans="3:14" x14ac:dyDescent="0.3">
      <c r="C7342" s="54"/>
      <c r="N7342" s="33"/>
    </row>
    <row r="7343" spans="3:14" x14ac:dyDescent="0.3">
      <c r="C7343" s="54"/>
      <c r="N7343" s="33"/>
    </row>
    <row r="7344" spans="3:14" x14ac:dyDescent="0.3">
      <c r="C7344" s="54"/>
      <c r="N7344" s="33"/>
    </row>
    <row r="7345" spans="3:14" x14ac:dyDescent="0.3">
      <c r="C7345" s="54"/>
      <c r="N7345" s="33"/>
    </row>
    <row r="7346" spans="3:14" x14ac:dyDescent="0.3">
      <c r="C7346" s="54"/>
      <c r="N7346" s="33"/>
    </row>
    <row r="7347" spans="3:14" x14ac:dyDescent="0.3">
      <c r="C7347" s="54"/>
      <c r="N7347" s="33"/>
    </row>
    <row r="7348" spans="3:14" x14ac:dyDescent="0.3">
      <c r="C7348" s="54"/>
      <c r="N7348" s="33"/>
    </row>
    <row r="7349" spans="3:14" x14ac:dyDescent="0.3">
      <c r="C7349" s="54"/>
      <c r="N7349" s="33"/>
    </row>
    <row r="7350" spans="3:14" x14ac:dyDescent="0.3">
      <c r="C7350" s="54"/>
      <c r="N7350" s="33"/>
    </row>
    <row r="7351" spans="3:14" x14ac:dyDescent="0.3">
      <c r="C7351" s="54"/>
      <c r="N7351" s="33"/>
    </row>
    <row r="7352" spans="3:14" x14ac:dyDescent="0.3">
      <c r="C7352" s="54"/>
      <c r="N7352" s="33"/>
    </row>
    <row r="7353" spans="3:14" x14ac:dyDescent="0.3">
      <c r="C7353" s="54"/>
      <c r="N7353" s="33"/>
    </row>
    <row r="7354" spans="3:14" x14ac:dyDescent="0.3">
      <c r="C7354" s="54"/>
      <c r="N7354" s="33"/>
    </row>
    <row r="7355" spans="3:14" x14ac:dyDescent="0.3">
      <c r="C7355" s="54"/>
      <c r="N7355" s="33"/>
    </row>
    <row r="7356" spans="3:14" x14ac:dyDescent="0.3">
      <c r="C7356" s="54"/>
      <c r="N7356" s="33"/>
    </row>
    <row r="7357" spans="3:14" x14ac:dyDescent="0.3">
      <c r="C7357" s="54"/>
      <c r="N7357" s="33"/>
    </row>
    <row r="7358" spans="3:14" x14ac:dyDescent="0.3">
      <c r="C7358" s="54"/>
      <c r="N7358" s="33"/>
    </row>
    <row r="7359" spans="3:14" x14ac:dyDescent="0.3">
      <c r="C7359" s="54"/>
      <c r="N7359" s="33"/>
    </row>
    <row r="7360" spans="3:14" x14ac:dyDescent="0.3">
      <c r="C7360" s="54"/>
      <c r="N7360" s="33"/>
    </row>
    <row r="7361" spans="3:14" x14ac:dyDescent="0.3">
      <c r="C7361" s="54"/>
      <c r="N7361" s="33"/>
    </row>
    <row r="7362" spans="3:14" x14ac:dyDescent="0.3">
      <c r="C7362" s="54"/>
      <c r="N7362" s="33"/>
    </row>
    <row r="7363" spans="3:14" x14ac:dyDescent="0.3">
      <c r="C7363" s="54"/>
      <c r="N7363" s="33"/>
    </row>
    <row r="7364" spans="3:14" x14ac:dyDescent="0.3">
      <c r="C7364" s="54"/>
      <c r="N7364" s="33"/>
    </row>
    <row r="7365" spans="3:14" x14ac:dyDescent="0.3">
      <c r="C7365" s="54"/>
      <c r="N7365" s="33"/>
    </row>
    <row r="7366" spans="3:14" x14ac:dyDescent="0.3">
      <c r="C7366" s="54"/>
      <c r="N7366" s="33"/>
    </row>
    <row r="7367" spans="3:14" x14ac:dyDescent="0.3">
      <c r="C7367" s="54"/>
      <c r="N7367" s="33"/>
    </row>
    <row r="7368" spans="3:14" x14ac:dyDescent="0.3">
      <c r="C7368" s="54"/>
      <c r="N7368" s="33"/>
    </row>
    <row r="7369" spans="3:14" x14ac:dyDescent="0.3">
      <c r="C7369" s="54"/>
      <c r="N7369" s="33"/>
    </row>
    <row r="7370" spans="3:14" x14ac:dyDescent="0.3">
      <c r="C7370" s="54"/>
      <c r="N7370" s="33"/>
    </row>
    <row r="7371" spans="3:14" x14ac:dyDescent="0.3">
      <c r="C7371" s="54"/>
      <c r="N7371" s="33"/>
    </row>
    <row r="7372" spans="3:14" x14ac:dyDescent="0.3">
      <c r="C7372" s="54"/>
      <c r="N7372" s="33"/>
    </row>
    <row r="7373" spans="3:14" x14ac:dyDescent="0.3">
      <c r="C7373" s="54"/>
      <c r="N7373" s="33"/>
    </row>
    <row r="7374" spans="3:14" x14ac:dyDescent="0.3">
      <c r="C7374" s="54"/>
      <c r="N7374" s="33"/>
    </row>
    <row r="7375" spans="3:14" x14ac:dyDescent="0.3">
      <c r="C7375" s="54"/>
      <c r="N7375" s="33"/>
    </row>
    <row r="7376" spans="3:14" x14ac:dyDescent="0.3">
      <c r="C7376" s="54"/>
      <c r="N7376" s="33"/>
    </row>
    <row r="7377" spans="3:14" x14ac:dyDescent="0.3">
      <c r="C7377" s="54"/>
      <c r="N7377" s="33"/>
    </row>
    <row r="7378" spans="3:14" x14ac:dyDescent="0.3">
      <c r="C7378" s="54"/>
      <c r="N7378" s="33"/>
    </row>
    <row r="7379" spans="3:14" x14ac:dyDescent="0.3">
      <c r="C7379" s="54"/>
      <c r="N7379" s="33"/>
    </row>
    <row r="7380" spans="3:14" x14ac:dyDescent="0.3">
      <c r="C7380" s="54"/>
      <c r="N7380" s="33"/>
    </row>
    <row r="7381" spans="3:14" x14ac:dyDescent="0.3">
      <c r="C7381" s="54"/>
      <c r="N7381" s="33"/>
    </row>
    <row r="7382" spans="3:14" x14ac:dyDescent="0.3">
      <c r="C7382" s="54"/>
      <c r="N7382" s="33"/>
    </row>
    <row r="7383" spans="3:14" x14ac:dyDescent="0.3">
      <c r="C7383" s="54"/>
      <c r="N7383" s="33"/>
    </row>
    <row r="7384" spans="3:14" x14ac:dyDescent="0.3">
      <c r="C7384" s="54"/>
      <c r="N7384" s="33"/>
    </row>
    <row r="7385" spans="3:14" x14ac:dyDescent="0.3">
      <c r="C7385" s="54"/>
      <c r="N7385" s="33"/>
    </row>
    <row r="7386" spans="3:14" x14ac:dyDescent="0.3">
      <c r="C7386" s="54"/>
      <c r="N7386" s="33"/>
    </row>
    <row r="7387" spans="3:14" x14ac:dyDescent="0.3">
      <c r="C7387" s="54"/>
      <c r="N7387" s="33"/>
    </row>
    <row r="7388" spans="3:14" x14ac:dyDescent="0.3">
      <c r="C7388" s="54"/>
      <c r="N7388" s="33"/>
    </row>
    <row r="7389" spans="3:14" x14ac:dyDescent="0.3">
      <c r="C7389" s="54"/>
      <c r="N7389" s="33"/>
    </row>
    <row r="7390" spans="3:14" x14ac:dyDescent="0.3">
      <c r="C7390" s="54"/>
      <c r="N7390" s="33"/>
    </row>
    <row r="7391" spans="3:14" x14ac:dyDescent="0.3">
      <c r="C7391" s="54"/>
      <c r="N7391" s="33"/>
    </row>
    <row r="7392" spans="3:14" x14ac:dyDescent="0.3">
      <c r="C7392" s="54"/>
      <c r="N7392" s="33"/>
    </row>
    <row r="7393" spans="3:14" x14ac:dyDescent="0.3">
      <c r="C7393" s="54"/>
      <c r="N7393" s="33"/>
    </row>
    <row r="7394" spans="3:14" x14ac:dyDescent="0.3">
      <c r="C7394" s="54"/>
      <c r="N7394" s="33"/>
    </row>
    <row r="7395" spans="3:14" x14ac:dyDescent="0.3">
      <c r="C7395" s="54"/>
      <c r="N7395" s="33"/>
    </row>
    <row r="7396" spans="3:14" x14ac:dyDescent="0.3">
      <c r="C7396" s="54"/>
      <c r="N7396" s="33"/>
    </row>
    <row r="7397" spans="3:14" x14ac:dyDescent="0.3">
      <c r="C7397" s="54"/>
      <c r="N7397" s="33"/>
    </row>
    <row r="7398" spans="3:14" x14ac:dyDescent="0.3">
      <c r="C7398" s="54"/>
      <c r="N7398" s="33"/>
    </row>
    <row r="7399" spans="3:14" x14ac:dyDescent="0.3">
      <c r="C7399" s="54"/>
      <c r="N7399" s="33"/>
    </row>
    <row r="7400" spans="3:14" x14ac:dyDescent="0.3">
      <c r="C7400" s="54"/>
      <c r="N7400" s="33"/>
    </row>
    <row r="7401" spans="3:14" x14ac:dyDescent="0.3">
      <c r="C7401" s="54"/>
      <c r="N7401" s="33"/>
    </row>
    <row r="7402" spans="3:14" x14ac:dyDescent="0.3">
      <c r="C7402" s="54"/>
      <c r="N7402" s="33"/>
    </row>
    <row r="7403" spans="3:14" x14ac:dyDescent="0.3">
      <c r="C7403" s="54"/>
      <c r="N7403" s="33"/>
    </row>
    <row r="7404" spans="3:14" x14ac:dyDescent="0.3">
      <c r="C7404" s="54"/>
      <c r="N7404" s="33"/>
    </row>
    <row r="7405" spans="3:14" x14ac:dyDescent="0.3">
      <c r="C7405" s="54"/>
      <c r="N7405" s="33"/>
    </row>
    <row r="7406" spans="3:14" x14ac:dyDescent="0.3">
      <c r="C7406" s="54"/>
      <c r="N7406" s="33"/>
    </row>
    <row r="7407" spans="3:14" x14ac:dyDescent="0.3">
      <c r="C7407" s="54"/>
      <c r="N7407" s="33"/>
    </row>
    <row r="7408" spans="3:14" x14ac:dyDescent="0.3">
      <c r="C7408" s="54"/>
      <c r="N7408" s="33"/>
    </row>
    <row r="7409" spans="3:14" x14ac:dyDescent="0.3">
      <c r="C7409" s="54"/>
      <c r="N7409" s="33"/>
    </row>
    <row r="7410" spans="3:14" x14ac:dyDescent="0.3">
      <c r="C7410" s="54"/>
      <c r="N7410" s="33"/>
    </row>
    <row r="7411" spans="3:14" x14ac:dyDescent="0.3">
      <c r="C7411" s="54"/>
      <c r="N7411" s="33"/>
    </row>
    <row r="7412" spans="3:14" x14ac:dyDescent="0.3">
      <c r="C7412" s="54"/>
      <c r="N7412" s="33"/>
    </row>
    <row r="7413" spans="3:14" x14ac:dyDescent="0.3">
      <c r="C7413" s="54"/>
      <c r="N7413" s="33"/>
    </row>
    <row r="7414" spans="3:14" x14ac:dyDescent="0.3">
      <c r="C7414" s="54"/>
      <c r="N7414" s="33"/>
    </row>
    <row r="7415" spans="3:14" x14ac:dyDescent="0.3">
      <c r="C7415" s="54"/>
      <c r="N7415" s="33"/>
    </row>
    <row r="7416" spans="3:14" x14ac:dyDescent="0.3">
      <c r="C7416" s="54"/>
      <c r="N7416" s="33"/>
    </row>
    <row r="7417" spans="3:14" x14ac:dyDescent="0.3">
      <c r="C7417" s="54"/>
      <c r="N7417" s="33"/>
    </row>
    <row r="7418" spans="3:14" x14ac:dyDescent="0.3">
      <c r="C7418" s="54"/>
      <c r="N7418" s="33"/>
    </row>
    <row r="7419" spans="3:14" x14ac:dyDescent="0.3">
      <c r="C7419" s="54"/>
      <c r="N7419" s="33"/>
    </row>
    <row r="7420" spans="3:14" x14ac:dyDescent="0.3">
      <c r="C7420" s="54"/>
      <c r="N7420" s="33"/>
    </row>
    <row r="7421" spans="3:14" x14ac:dyDescent="0.3">
      <c r="C7421" s="54"/>
      <c r="N7421" s="33"/>
    </row>
    <row r="7422" spans="3:14" x14ac:dyDescent="0.3">
      <c r="C7422" s="54"/>
      <c r="N7422" s="33"/>
    </row>
    <row r="7423" spans="3:14" x14ac:dyDescent="0.3">
      <c r="C7423" s="54"/>
      <c r="N7423" s="33"/>
    </row>
    <row r="7424" spans="3:14" x14ac:dyDescent="0.3">
      <c r="C7424" s="54"/>
      <c r="N7424" s="33"/>
    </row>
    <row r="7425" spans="3:14" x14ac:dyDescent="0.3">
      <c r="C7425" s="54"/>
      <c r="N7425" s="33"/>
    </row>
    <row r="7426" spans="3:14" x14ac:dyDescent="0.3">
      <c r="C7426" s="54"/>
      <c r="N7426" s="33"/>
    </row>
    <row r="7427" spans="3:14" x14ac:dyDescent="0.3">
      <c r="C7427" s="54"/>
      <c r="N7427" s="33"/>
    </row>
    <row r="7428" spans="3:14" x14ac:dyDescent="0.3">
      <c r="C7428" s="54"/>
      <c r="N7428" s="33"/>
    </row>
    <row r="7429" spans="3:14" x14ac:dyDescent="0.3">
      <c r="C7429" s="54"/>
      <c r="N7429" s="33"/>
    </row>
    <row r="7430" spans="3:14" x14ac:dyDescent="0.3">
      <c r="C7430" s="54"/>
      <c r="N7430" s="33"/>
    </row>
    <row r="7431" spans="3:14" x14ac:dyDescent="0.3">
      <c r="C7431" s="54"/>
      <c r="N7431" s="33"/>
    </row>
    <row r="7432" spans="3:14" x14ac:dyDescent="0.3">
      <c r="C7432" s="54"/>
      <c r="N7432" s="33"/>
    </row>
    <row r="7433" spans="3:14" x14ac:dyDescent="0.3">
      <c r="C7433" s="54"/>
      <c r="N7433" s="33"/>
    </row>
    <row r="7434" spans="3:14" x14ac:dyDescent="0.3">
      <c r="C7434" s="54"/>
      <c r="N7434" s="33"/>
    </row>
    <row r="7435" spans="3:14" x14ac:dyDescent="0.3">
      <c r="C7435" s="54"/>
      <c r="N7435" s="33"/>
    </row>
    <row r="7436" spans="3:14" x14ac:dyDescent="0.3">
      <c r="C7436" s="54"/>
      <c r="N7436" s="33"/>
    </row>
    <row r="7437" spans="3:14" x14ac:dyDescent="0.3">
      <c r="C7437" s="54"/>
      <c r="N7437" s="33"/>
    </row>
    <row r="7438" spans="3:14" x14ac:dyDescent="0.3">
      <c r="C7438" s="54"/>
      <c r="N7438" s="33"/>
    </row>
    <row r="7439" spans="3:14" x14ac:dyDescent="0.3">
      <c r="C7439" s="54"/>
      <c r="N7439" s="33"/>
    </row>
    <row r="7440" spans="3:14" x14ac:dyDescent="0.3">
      <c r="C7440" s="54"/>
      <c r="N7440" s="33"/>
    </row>
    <row r="7441" spans="3:14" x14ac:dyDescent="0.3">
      <c r="C7441" s="54"/>
      <c r="N7441" s="33"/>
    </row>
    <row r="7442" spans="3:14" x14ac:dyDescent="0.3">
      <c r="C7442" s="54"/>
      <c r="N7442" s="33"/>
    </row>
    <row r="7443" spans="3:14" x14ac:dyDescent="0.3">
      <c r="C7443" s="54"/>
      <c r="N7443" s="33"/>
    </row>
    <row r="7444" spans="3:14" x14ac:dyDescent="0.3">
      <c r="C7444" s="54"/>
      <c r="N7444" s="33"/>
    </row>
    <row r="7445" spans="3:14" x14ac:dyDescent="0.3">
      <c r="C7445" s="54"/>
      <c r="N7445" s="33"/>
    </row>
    <row r="7446" spans="3:14" x14ac:dyDescent="0.3">
      <c r="C7446" s="54"/>
      <c r="N7446" s="33"/>
    </row>
    <row r="7447" spans="3:14" x14ac:dyDescent="0.3">
      <c r="C7447" s="54"/>
      <c r="N7447" s="33"/>
    </row>
    <row r="7448" spans="3:14" x14ac:dyDescent="0.3">
      <c r="C7448" s="54"/>
      <c r="N7448" s="33"/>
    </row>
    <row r="7449" spans="3:14" x14ac:dyDescent="0.3">
      <c r="C7449" s="54"/>
      <c r="N7449" s="33"/>
    </row>
    <row r="7450" spans="3:14" x14ac:dyDescent="0.3">
      <c r="C7450" s="54"/>
      <c r="N7450" s="33"/>
    </row>
    <row r="7451" spans="3:14" x14ac:dyDescent="0.3">
      <c r="C7451" s="54"/>
      <c r="N7451" s="33"/>
    </row>
    <row r="7452" spans="3:14" x14ac:dyDescent="0.3">
      <c r="C7452" s="54"/>
      <c r="N7452" s="33"/>
    </row>
    <row r="7453" spans="3:14" x14ac:dyDescent="0.3">
      <c r="C7453" s="54"/>
      <c r="N7453" s="33"/>
    </row>
    <row r="7454" spans="3:14" x14ac:dyDescent="0.3">
      <c r="C7454" s="54"/>
      <c r="N7454" s="33"/>
    </row>
    <row r="7455" spans="3:14" x14ac:dyDescent="0.3">
      <c r="C7455" s="54"/>
      <c r="N7455" s="33"/>
    </row>
    <row r="7456" spans="3:14" x14ac:dyDescent="0.3">
      <c r="C7456" s="54"/>
      <c r="N7456" s="33"/>
    </row>
    <row r="7457" spans="3:14" x14ac:dyDescent="0.3">
      <c r="C7457" s="54"/>
      <c r="N7457" s="33"/>
    </row>
    <row r="7458" spans="3:14" x14ac:dyDescent="0.3">
      <c r="C7458" s="54"/>
      <c r="N7458" s="33"/>
    </row>
    <row r="7459" spans="3:14" x14ac:dyDescent="0.3">
      <c r="C7459" s="54"/>
      <c r="N7459" s="33"/>
    </row>
    <row r="7460" spans="3:14" x14ac:dyDescent="0.3">
      <c r="C7460" s="54"/>
      <c r="N7460" s="33"/>
    </row>
    <row r="7461" spans="3:14" x14ac:dyDescent="0.3">
      <c r="C7461" s="54"/>
      <c r="N7461" s="33"/>
    </row>
    <row r="7462" spans="3:14" x14ac:dyDescent="0.3">
      <c r="C7462" s="54"/>
      <c r="N7462" s="33"/>
    </row>
    <row r="7463" spans="3:14" x14ac:dyDescent="0.3">
      <c r="C7463" s="54"/>
      <c r="N7463" s="33"/>
    </row>
    <row r="7464" spans="3:14" x14ac:dyDescent="0.3">
      <c r="C7464" s="54"/>
      <c r="N7464" s="33"/>
    </row>
    <row r="7465" spans="3:14" x14ac:dyDescent="0.3">
      <c r="C7465" s="54"/>
      <c r="N7465" s="33"/>
    </row>
    <row r="7466" spans="3:14" x14ac:dyDescent="0.3">
      <c r="C7466" s="54"/>
      <c r="N7466" s="33"/>
    </row>
    <row r="7467" spans="3:14" x14ac:dyDescent="0.3">
      <c r="C7467" s="54"/>
      <c r="N7467" s="33"/>
    </row>
    <row r="7468" spans="3:14" x14ac:dyDescent="0.3">
      <c r="C7468" s="54"/>
      <c r="N7468" s="33"/>
    </row>
    <row r="7469" spans="3:14" x14ac:dyDescent="0.3">
      <c r="C7469" s="54"/>
      <c r="N7469" s="33"/>
    </row>
    <row r="7470" spans="3:14" x14ac:dyDescent="0.3">
      <c r="C7470" s="54"/>
      <c r="N7470" s="33"/>
    </row>
    <row r="7471" spans="3:14" x14ac:dyDescent="0.3">
      <c r="C7471" s="54"/>
      <c r="N7471" s="33"/>
    </row>
    <row r="7472" spans="3:14" x14ac:dyDescent="0.3">
      <c r="C7472" s="54"/>
      <c r="N7472" s="33"/>
    </row>
    <row r="7473" spans="3:14" x14ac:dyDescent="0.3">
      <c r="C7473" s="54"/>
      <c r="N7473" s="33"/>
    </row>
    <row r="7474" spans="3:14" x14ac:dyDescent="0.3">
      <c r="C7474" s="54"/>
      <c r="N7474" s="33"/>
    </row>
    <row r="7475" spans="3:14" x14ac:dyDescent="0.3">
      <c r="C7475" s="54"/>
      <c r="N7475" s="33"/>
    </row>
    <row r="7476" spans="3:14" x14ac:dyDescent="0.3">
      <c r="C7476" s="54"/>
      <c r="N7476" s="33"/>
    </row>
    <row r="7477" spans="3:14" x14ac:dyDescent="0.3">
      <c r="C7477" s="54"/>
      <c r="N7477" s="33"/>
    </row>
    <row r="7478" spans="3:14" x14ac:dyDescent="0.3">
      <c r="C7478" s="54"/>
      <c r="N7478" s="33"/>
    </row>
    <row r="7479" spans="3:14" x14ac:dyDescent="0.3">
      <c r="C7479" s="54"/>
      <c r="N7479" s="33"/>
    </row>
    <row r="7480" spans="3:14" x14ac:dyDescent="0.3">
      <c r="C7480" s="54"/>
      <c r="N7480" s="33"/>
    </row>
    <row r="7481" spans="3:14" x14ac:dyDescent="0.3">
      <c r="C7481" s="54"/>
      <c r="N7481" s="33"/>
    </row>
    <row r="7482" spans="3:14" x14ac:dyDescent="0.3">
      <c r="C7482" s="54"/>
      <c r="N7482" s="33"/>
    </row>
    <row r="7483" spans="3:14" x14ac:dyDescent="0.3">
      <c r="C7483" s="54"/>
      <c r="N7483" s="33"/>
    </row>
    <row r="7484" spans="3:14" x14ac:dyDescent="0.3">
      <c r="C7484" s="54"/>
      <c r="N7484" s="33"/>
    </row>
    <row r="7485" spans="3:14" x14ac:dyDescent="0.3">
      <c r="C7485" s="54"/>
      <c r="N7485" s="33"/>
    </row>
    <row r="7486" spans="3:14" x14ac:dyDescent="0.3">
      <c r="C7486" s="54"/>
      <c r="N7486" s="33"/>
    </row>
    <row r="7487" spans="3:14" x14ac:dyDescent="0.3">
      <c r="C7487" s="54"/>
      <c r="N7487" s="33"/>
    </row>
    <row r="7488" spans="3:14" x14ac:dyDescent="0.3">
      <c r="C7488" s="54"/>
      <c r="N7488" s="33"/>
    </row>
    <row r="7489" spans="3:14" x14ac:dyDescent="0.3">
      <c r="C7489" s="54"/>
      <c r="N7489" s="33"/>
    </row>
    <row r="7490" spans="3:14" x14ac:dyDescent="0.3">
      <c r="C7490" s="54"/>
      <c r="N7490" s="33"/>
    </row>
    <row r="7491" spans="3:14" x14ac:dyDescent="0.3">
      <c r="C7491" s="54"/>
      <c r="N7491" s="33"/>
    </row>
    <row r="7492" spans="3:14" x14ac:dyDescent="0.3">
      <c r="C7492" s="54"/>
      <c r="N7492" s="33"/>
    </row>
    <row r="7493" spans="3:14" x14ac:dyDescent="0.3">
      <c r="C7493" s="54"/>
      <c r="N7493" s="33"/>
    </row>
    <row r="7494" spans="3:14" x14ac:dyDescent="0.3">
      <c r="C7494" s="54"/>
      <c r="N7494" s="33"/>
    </row>
    <row r="7495" spans="3:14" x14ac:dyDescent="0.3">
      <c r="C7495" s="54"/>
      <c r="N7495" s="33"/>
    </row>
    <row r="7496" spans="3:14" x14ac:dyDescent="0.3">
      <c r="C7496" s="54"/>
      <c r="N7496" s="33"/>
    </row>
    <row r="7497" spans="3:14" x14ac:dyDescent="0.3">
      <c r="C7497" s="54"/>
      <c r="N7497" s="33"/>
    </row>
    <row r="7498" spans="3:14" x14ac:dyDescent="0.3">
      <c r="C7498" s="54"/>
      <c r="N7498" s="33"/>
    </row>
    <row r="7499" spans="3:14" x14ac:dyDescent="0.3">
      <c r="C7499" s="54"/>
      <c r="N7499" s="33"/>
    </row>
    <row r="7500" spans="3:14" x14ac:dyDescent="0.3">
      <c r="C7500" s="54"/>
      <c r="N7500" s="33"/>
    </row>
    <row r="7501" spans="3:14" x14ac:dyDescent="0.3">
      <c r="C7501" s="54"/>
      <c r="N7501" s="33"/>
    </row>
    <row r="7502" spans="3:14" x14ac:dyDescent="0.3">
      <c r="C7502" s="54"/>
      <c r="N7502" s="33"/>
    </row>
    <row r="7503" spans="3:14" x14ac:dyDescent="0.3">
      <c r="C7503" s="54"/>
      <c r="N7503" s="33"/>
    </row>
    <row r="7504" spans="3:14" x14ac:dyDescent="0.3">
      <c r="C7504" s="54"/>
      <c r="N7504" s="33"/>
    </row>
    <row r="7505" spans="3:14" x14ac:dyDescent="0.3">
      <c r="C7505" s="54"/>
      <c r="N7505" s="33"/>
    </row>
    <row r="7506" spans="3:14" x14ac:dyDescent="0.3">
      <c r="C7506" s="54"/>
      <c r="N7506" s="33"/>
    </row>
    <row r="7507" spans="3:14" x14ac:dyDescent="0.3">
      <c r="C7507" s="54"/>
      <c r="N7507" s="33"/>
    </row>
    <row r="7508" spans="3:14" x14ac:dyDescent="0.3">
      <c r="C7508" s="54"/>
      <c r="N7508" s="33"/>
    </row>
    <row r="7509" spans="3:14" x14ac:dyDescent="0.3">
      <c r="C7509" s="54"/>
      <c r="N7509" s="33"/>
    </row>
    <row r="7510" spans="3:14" x14ac:dyDescent="0.3">
      <c r="C7510" s="54"/>
      <c r="N7510" s="33"/>
    </row>
    <row r="7511" spans="3:14" x14ac:dyDescent="0.3">
      <c r="C7511" s="54"/>
      <c r="N7511" s="33"/>
    </row>
    <row r="7512" spans="3:14" x14ac:dyDescent="0.3">
      <c r="C7512" s="54"/>
      <c r="N7512" s="33"/>
    </row>
    <row r="7513" spans="3:14" x14ac:dyDescent="0.3">
      <c r="C7513" s="54"/>
      <c r="N7513" s="33"/>
    </row>
    <row r="7514" spans="3:14" x14ac:dyDescent="0.3">
      <c r="C7514" s="54"/>
      <c r="N7514" s="33"/>
    </row>
    <row r="7515" spans="3:14" x14ac:dyDescent="0.3">
      <c r="C7515" s="54"/>
      <c r="N7515" s="33"/>
    </row>
    <row r="7516" spans="3:14" x14ac:dyDescent="0.3">
      <c r="C7516" s="54"/>
      <c r="N7516" s="33"/>
    </row>
    <row r="7517" spans="3:14" x14ac:dyDescent="0.3">
      <c r="C7517" s="54"/>
      <c r="N7517" s="33"/>
    </row>
    <row r="7518" spans="3:14" x14ac:dyDescent="0.3">
      <c r="C7518" s="54"/>
      <c r="N7518" s="33"/>
    </row>
    <row r="7519" spans="3:14" x14ac:dyDescent="0.3">
      <c r="C7519" s="54"/>
      <c r="N7519" s="33"/>
    </row>
    <row r="7520" spans="3:14" x14ac:dyDescent="0.3">
      <c r="C7520" s="54"/>
      <c r="N7520" s="33"/>
    </row>
    <row r="7521" spans="3:14" x14ac:dyDescent="0.3">
      <c r="C7521" s="54"/>
      <c r="N7521" s="33"/>
    </row>
    <row r="7522" spans="3:14" x14ac:dyDescent="0.3">
      <c r="C7522" s="54"/>
      <c r="N7522" s="33"/>
    </row>
    <row r="7523" spans="3:14" x14ac:dyDescent="0.3">
      <c r="C7523" s="54"/>
      <c r="N7523" s="33"/>
    </row>
    <row r="7524" spans="3:14" x14ac:dyDescent="0.3">
      <c r="C7524" s="54"/>
      <c r="N7524" s="33"/>
    </row>
    <row r="7525" spans="3:14" x14ac:dyDescent="0.3">
      <c r="C7525" s="54"/>
      <c r="N7525" s="33"/>
    </row>
    <row r="7526" spans="3:14" x14ac:dyDescent="0.3">
      <c r="C7526" s="54"/>
      <c r="N7526" s="33"/>
    </row>
    <row r="7527" spans="3:14" x14ac:dyDescent="0.3">
      <c r="C7527" s="54"/>
      <c r="N7527" s="33"/>
    </row>
    <row r="7528" spans="3:14" x14ac:dyDescent="0.3">
      <c r="C7528" s="54"/>
      <c r="N7528" s="33"/>
    </row>
    <row r="7529" spans="3:14" x14ac:dyDescent="0.3">
      <c r="C7529" s="54"/>
      <c r="N7529" s="33"/>
    </row>
    <row r="7530" spans="3:14" x14ac:dyDescent="0.3">
      <c r="C7530" s="54"/>
      <c r="N7530" s="33"/>
    </row>
    <row r="7531" spans="3:14" x14ac:dyDescent="0.3">
      <c r="C7531" s="54"/>
      <c r="N7531" s="33"/>
    </row>
    <row r="7532" spans="3:14" x14ac:dyDescent="0.3">
      <c r="C7532" s="54"/>
      <c r="N7532" s="33"/>
    </row>
    <row r="7533" spans="3:14" x14ac:dyDescent="0.3">
      <c r="C7533" s="54"/>
      <c r="N7533" s="33"/>
    </row>
    <row r="7534" spans="3:14" x14ac:dyDescent="0.3">
      <c r="C7534" s="54"/>
      <c r="N7534" s="33"/>
    </row>
    <row r="7535" spans="3:14" x14ac:dyDescent="0.3">
      <c r="C7535" s="54"/>
      <c r="N7535" s="33"/>
    </row>
    <row r="7536" spans="3:14" x14ac:dyDescent="0.3">
      <c r="C7536" s="54"/>
      <c r="N7536" s="33"/>
    </row>
    <row r="7537" spans="3:14" x14ac:dyDescent="0.3">
      <c r="C7537" s="54"/>
      <c r="N7537" s="33"/>
    </row>
    <row r="7538" spans="3:14" x14ac:dyDescent="0.3">
      <c r="C7538" s="54"/>
      <c r="N7538" s="33"/>
    </row>
    <row r="7539" spans="3:14" x14ac:dyDescent="0.3">
      <c r="C7539" s="54"/>
      <c r="N7539" s="33"/>
    </row>
    <row r="7540" spans="3:14" x14ac:dyDescent="0.3">
      <c r="C7540" s="54"/>
      <c r="N7540" s="33"/>
    </row>
    <row r="7541" spans="3:14" x14ac:dyDescent="0.3">
      <c r="C7541" s="54"/>
      <c r="N7541" s="33"/>
    </row>
    <row r="7542" spans="3:14" x14ac:dyDescent="0.3">
      <c r="C7542" s="54"/>
      <c r="N7542" s="33"/>
    </row>
    <row r="7543" spans="3:14" x14ac:dyDescent="0.3">
      <c r="C7543" s="54"/>
      <c r="N7543" s="33"/>
    </row>
    <row r="7544" spans="3:14" x14ac:dyDescent="0.3">
      <c r="C7544" s="54"/>
      <c r="N7544" s="33"/>
    </row>
    <row r="7545" spans="3:14" x14ac:dyDescent="0.3">
      <c r="C7545" s="54"/>
      <c r="N7545" s="33"/>
    </row>
    <row r="7546" spans="3:14" x14ac:dyDescent="0.3">
      <c r="C7546" s="54"/>
      <c r="N7546" s="33"/>
    </row>
    <row r="7547" spans="3:14" x14ac:dyDescent="0.3">
      <c r="C7547" s="54"/>
      <c r="N7547" s="33"/>
    </row>
    <row r="7548" spans="3:14" x14ac:dyDescent="0.3">
      <c r="C7548" s="54"/>
      <c r="N7548" s="33"/>
    </row>
    <row r="7549" spans="3:14" x14ac:dyDescent="0.3">
      <c r="C7549" s="54"/>
      <c r="N7549" s="33"/>
    </row>
    <row r="7550" spans="3:14" x14ac:dyDescent="0.3">
      <c r="C7550" s="54"/>
      <c r="N7550" s="33"/>
    </row>
    <row r="7551" spans="3:14" x14ac:dyDescent="0.3">
      <c r="C7551" s="54"/>
      <c r="N7551" s="33"/>
    </row>
    <row r="7552" spans="3:14" x14ac:dyDescent="0.3">
      <c r="C7552" s="54"/>
      <c r="N7552" s="33"/>
    </row>
    <row r="7553" spans="3:14" x14ac:dyDescent="0.3">
      <c r="C7553" s="54"/>
      <c r="N7553" s="33"/>
    </row>
    <row r="7554" spans="3:14" x14ac:dyDescent="0.3">
      <c r="C7554" s="54"/>
      <c r="N7554" s="33"/>
    </row>
    <row r="7555" spans="3:14" x14ac:dyDescent="0.3">
      <c r="C7555" s="54"/>
      <c r="N7555" s="33"/>
    </row>
    <row r="7556" spans="3:14" x14ac:dyDescent="0.3">
      <c r="C7556" s="54"/>
      <c r="N7556" s="33"/>
    </row>
    <row r="7557" spans="3:14" x14ac:dyDescent="0.3">
      <c r="C7557" s="54"/>
      <c r="N7557" s="33"/>
    </row>
    <row r="7558" spans="3:14" x14ac:dyDescent="0.3">
      <c r="C7558" s="54"/>
      <c r="N7558" s="33"/>
    </row>
    <row r="7559" spans="3:14" x14ac:dyDescent="0.3">
      <c r="C7559" s="54"/>
      <c r="N7559" s="33"/>
    </row>
    <row r="7560" spans="3:14" x14ac:dyDescent="0.3">
      <c r="C7560" s="54"/>
      <c r="N7560" s="33"/>
    </row>
    <row r="7561" spans="3:14" x14ac:dyDescent="0.3">
      <c r="C7561" s="54"/>
      <c r="N7561" s="33"/>
    </row>
    <row r="7562" spans="3:14" x14ac:dyDescent="0.3">
      <c r="C7562" s="54"/>
      <c r="N7562" s="33"/>
    </row>
    <row r="7563" spans="3:14" x14ac:dyDescent="0.3">
      <c r="C7563" s="54"/>
      <c r="N7563" s="33"/>
    </row>
    <row r="7564" spans="3:14" x14ac:dyDescent="0.3">
      <c r="C7564" s="54"/>
      <c r="N7564" s="33"/>
    </row>
    <row r="7565" spans="3:14" x14ac:dyDescent="0.3">
      <c r="C7565" s="54"/>
      <c r="N7565" s="33"/>
    </row>
    <row r="7566" spans="3:14" x14ac:dyDescent="0.3">
      <c r="C7566" s="54"/>
      <c r="N7566" s="33"/>
    </row>
    <row r="7567" spans="3:14" x14ac:dyDescent="0.3">
      <c r="C7567" s="54"/>
      <c r="N7567" s="33"/>
    </row>
    <row r="7568" spans="3:14" x14ac:dyDescent="0.3">
      <c r="C7568" s="54"/>
      <c r="N7568" s="33"/>
    </row>
    <row r="7569" spans="3:14" x14ac:dyDescent="0.3">
      <c r="C7569" s="54"/>
      <c r="N7569" s="33"/>
    </row>
    <row r="7570" spans="3:14" x14ac:dyDescent="0.3">
      <c r="C7570" s="54"/>
      <c r="N7570" s="33"/>
    </row>
    <row r="7571" spans="3:14" x14ac:dyDescent="0.3">
      <c r="C7571" s="54"/>
      <c r="N7571" s="33"/>
    </row>
    <row r="7572" spans="3:14" x14ac:dyDescent="0.3">
      <c r="C7572" s="54"/>
      <c r="N7572" s="33"/>
    </row>
    <row r="7573" spans="3:14" x14ac:dyDescent="0.3">
      <c r="C7573" s="54"/>
      <c r="N7573" s="33"/>
    </row>
    <row r="7574" spans="3:14" x14ac:dyDescent="0.3">
      <c r="C7574" s="54"/>
      <c r="N7574" s="33"/>
    </row>
    <row r="7575" spans="3:14" x14ac:dyDescent="0.3">
      <c r="C7575" s="54"/>
      <c r="N7575" s="33"/>
    </row>
    <row r="7576" spans="3:14" x14ac:dyDescent="0.3">
      <c r="C7576" s="54"/>
      <c r="N7576" s="33"/>
    </row>
    <row r="7577" spans="3:14" x14ac:dyDescent="0.3">
      <c r="C7577" s="54"/>
      <c r="N7577" s="33"/>
    </row>
    <row r="7578" spans="3:14" x14ac:dyDescent="0.3">
      <c r="C7578" s="54"/>
      <c r="N7578" s="33"/>
    </row>
    <row r="7579" spans="3:14" x14ac:dyDescent="0.3">
      <c r="C7579" s="54"/>
      <c r="N7579" s="33"/>
    </row>
    <row r="7580" spans="3:14" x14ac:dyDescent="0.3">
      <c r="C7580" s="54"/>
      <c r="N7580" s="33"/>
    </row>
    <row r="7581" spans="3:14" x14ac:dyDescent="0.3">
      <c r="C7581" s="54"/>
      <c r="N7581" s="33"/>
    </row>
    <row r="7582" spans="3:14" x14ac:dyDescent="0.3">
      <c r="C7582" s="54"/>
      <c r="N7582" s="33"/>
    </row>
    <row r="7583" spans="3:14" x14ac:dyDescent="0.3">
      <c r="C7583" s="54"/>
      <c r="N7583" s="33"/>
    </row>
    <row r="7584" spans="3:14" x14ac:dyDescent="0.3">
      <c r="C7584" s="54"/>
      <c r="N7584" s="33"/>
    </row>
    <row r="7585" spans="3:14" x14ac:dyDescent="0.3">
      <c r="C7585" s="54"/>
      <c r="N7585" s="33"/>
    </row>
    <row r="7586" spans="3:14" x14ac:dyDescent="0.3">
      <c r="C7586" s="54"/>
      <c r="N7586" s="33"/>
    </row>
    <row r="7587" spans="3:14" x14ac:dyDescent="0.3">
      <c r="C7587" s="54"/>
      <c r="N7587" s="33"/>
    </row>
    <row r="7588" spans="3:14" x14ac:dyDescent="0.3">
      <c r="C7588" s="54"/>
      <c r="N7588" s="33"/>
    </row>
    <row r="7589" spans="3:14" x14ac:dyDescent="0.3">
      <c r="C7589" s="54"/>
      <c r="N7589" s="33"/>
    </row>
    <row r="7590" spans="3:14" x14ac:dyDescent="0.3">
      <c r="C7590" s="54"/>
      <c r="N7590" s="33"/>
    </row>
    <row r="7591" spans="3:14" x14ac:dyDescent="0.3">
      <c r="C7591" s="54"/>
      <c r="N7591" s="33"/>
    </row>
    <row r="7592" spans="3:14" x14ac:dyDescent="0.3">
      <c r="C7592" s="54"/>
      <c r="N7592" s="33"/>
    </row>
    <row r="7593" spans="3:14" x14ac:dyDescent="0.3">
      <c r="C7593" s="54"/>
      <c r="N7593" s="33"/>
    </row>
    <row r="7594" spans="3:14" x14ac:dyDescent="0.3">
      <c r="C7594" s="54"/>
      <c r="N7594" s="33"/>
    </row>
    <row r="7595" spans="3:14" x14ac:dyDescent="0.3">
      <c r="C7595" s="54"/>
      <c r="N7595" s="33"/>
    </row>
    <row r="7596" spans="3:14" x14ac:dyDescent="0.3">
      <c r="C7596" s="54"/>
      <c r="N7596" s="33"/>
    </row>
    <row r="7597" spans="3:14" x14ac:dyDescent="0.3">
      <c r="C7597" s="54"/>
      <c r="N7597" s="33"/>
    </row>
    <row r="7598" spans="3:14" x14ac:dyDescent="0.3">
      <c r="C7598" s="54"/>
      <c r="N7598" s="33"/>
    </row>
    <row r="7599" spans="3:14" x14ac:dyDescent="0.3">
      <c r="C7599" s="54"/>
      <c r="N7599" s="33"/>
    </row>
    <row r="7600" spans="3:14" x14ac:dyDescent="0.3">
      <c r="C7600" s="54"/>
      <c r="N7600" s="33"/>
    </row>
    <row r="7601" spans="3:14" x14ac:dyDescent="0.3">
      <c r="C7601" s="54"/>
      <c r="N7601" s="33"/>
    </row>
    <row r="7602" spans="3:14" x14ac:dyDescent="0.3">
      <c r="C7602" s="54"/>
      <c r="N7602" s="33"/>
    </row>
    <row r="7603" spans="3:14" x14ac:dyDescent="0.3">
      <c r="C7603" s="54"/>
      <c r="N7603" s="33"/>
    </row>
    <row r="7604" spans="3:14" x14ac:dyDescent="0.3">
      <c r="C7604" s="54"/>
      <c r="N7604" s="33"/>
    </row>
    <row r="7605" spans="3:14" x14ac:dyDescent="0.3">
      <c r="C7605" s="54"/>
      <c r="N7605" s="33"/>
    </row>
    <row r="7606" spans="3:14" x14ac:dyDescent="0.3">
      <c r="C7606" s="54"/>
      <c r="N7606" s="33"/>
    </row>
    <row r="7607" spans="3:14" x14ac:dyDescent="0.3">
      <c r="C7607" s="54"/>
      <c r="N7607" s="33"/>
    </row>
    <row r="7608" spans="3:14" x14ac:dyDescent="0.3">
      <c r="C7608" s="54"/>
      <c r="N7608" s="33"/>
    </row>
    <row r="7609" spans="3:14" x14ac:dyDescent="0.3">
      <c r="C7609" s="54"/>
      <c r="N7609" s="33"/>
    </row>
    <row r="7610" spans="3:14" x14ac:dyDescent="0.3">
      <c r="C7610" s="54"/>
      <c r="N7610" s="33"/>
    </row>
    <row r="7611" spans="3:14" x14ac:dyDescent="0.3">
      <c r="C7611" s="54"/>
      <c r="N7611" s="33"/>
    </row>
    <row r="7612" spans="3:14" x14ac:dyDescent="0.3">
      <c r="C7612" s="54"/>
      <c r="N7612" s="33"/>
    </row>
    <row r="7613" spans="3:14" x14ac:dyDescent="0.3">
      <c r="C7613" s="54"/>
      <c r="N7613" s="33"/>
    </row>
    <row r="7614" spans="3:14" x14ac:dyDescent="0.3">
      <c r="C7614" s="54"/>
      <c r="N7614" s="33"/>
    </row>
    <row r="7615" spans="3:14" x14ac:dyDescent="0.3">
      <c r="C7615" s="54"/>
      <c r="N7615" s="33"/>
    </row>
    <row r="7616" spans="3:14" x14ac:dyDescent="0.3">
      <c r="C7616" s="54"/>
      <c r="N7616" s="33"/>
    </row>
    <row r="7617" spans="3:14" x14ac:dyDescent="0.3">
      <c r="C7617" s="54"/>
      <c r="N7617" s="33"/>
    </row>
    <row r="7618" spans="3:14" x14ac:dyDescent="0.3">
      <c r="C7618" s="54"/>
      <c r="N7618" s="33"/>
    </row>
    <row r="7619" spans="3:14" x14ac:dyDescent="0.3">
      <c r="C7619" s="54"/>
      <c r="N7619" s="33"/>
    </row>
    <row r="7620" spans="3:14" x14ac:dyDescent="0.3">
      <c r="C7620" s="54"/>
      <c r="N7620" s="33"/>
    </row>
    <row r="7621" spans="3:14" x14ac:dyDescent="0.3">
      <c r="C7621" s="54"/>
      <c r="N7621" s="33"/>
    </row>
    <row r="7622" spans="3:14" x14ac:dyDescent="0.3">
      <c r="C7622" s="54"/>
      <c r="N7622" s="33"/>
    </row>
    <row r="7623" spans="3:14" x14ac:dyDescent="0.3">
      <c r="C7623" s="54"/>
      <c r="N7623" s="33"/>
    </row>
    <row r="7624" spans="3:14" x14ac:dyDescent="0.3">
      <c r="C7624" s="54"/>
      <c r="N7624" s="33"/>
    </row>
    <row r="7625" spans="3:14" x14ac:dyDescent="0.3">
      <c r="C7625" s="54"/>
      <c r="N7625" s="33"/>
    </row>
    <row r="7626" spans="3:14" x14ac:dyDescent="0.3">
      <c r="C7626" s="54"/>
      <c r="N7626" s="33"/>
    </row>
    <row r="7627" spans="3:14" x14ac:dyDescent="0.3">
      <c r="C7627" s="54"/>
      <c r="N7627" s="33"/>
    </row>
    <row r="7628" spans="3:14" x14ac:dyDescent="0.3">
      <c r="C7628" s="54"/>
      <c r="N7628" s="33"/>
    </row>
    <row r="7629" spans="3:14" x14ac:dyDescent="0.3">
      <c r="C7629" s="54"/>
      <c r="N7629" s="33"/>
    </row>
    <row r="7630" spans="3:14" x14ac:dyDescent="0.3">
      <c r="C7630" s="54"/>
      <c r="N7630" s="33"/>
    </row>
    <row r="7631" spans="3:14" x14ac:dyDescent="0.3">
      <c r="C7631" s="54"/>
      <c r="N7631" s="33"/>
    </row>
    <row r="7632" spans="3:14" x14ac:dyDescent="0.3">
      <c r="C7632" s="54"/>
      <c r="N7632" s="33"/>
    </row>
    <row r="7633" spans="3:14" x14ac:dyDescent="0.3">
      <c r="C7633" s="54"/>
      <c r="N7633" s="33"/>
    </row>
    <row r="7634" spans="3:14" x14ac:dyDescent="0.3">
      <c r="C7634" s="54"/>
      <c r="N7634" s="33"/>
    </row>
    <row r="7635" spans="3:14" x14ac:dyDescent="0.3">
      <c r="C7635" s="54"/>
      <c r="N7635" s="33"/>
    </row>
    <row r="7636" spans="3:14" x14ac:dyDescent="0.3">
      <c r="C7636" s="54"/>
      <c r="N7636" s="33"/>
    </row>
    <row r="7637" spans="3:14" x14ac:dyDescent="0.3">
      <c r="C7637" s="54"/>
      <c r="N7637" s="33"/>
    </row>
    <row r="7638" spans="3:14" x14ac:dyDescent="0.3">
      <c r="C7638" s="54"/>
      <c r="N7638" s="33"/>
    </row>
    <row r="7639" spans="3:14" x14ac:dyDescent="0.3">
      <c r="C7639" s="54"/>
      <c r="N7639" s="33"/>
    </row>
    <row r="7640" spans="3:14" x14ac:dyDescent="0.3">
      <c r="C7640" s="54"/>
      <c r="N7640" s="33"/>
    </row>
    <row r="7641" spans="3:14" x14ac:dyDescent="0.3">
      <c r="C7641" s="54"/>
      <c r="N7641" s="33"/>
    </row>
    <row r="7642" spans="3:14" x14ac:dyDescent="0.3">
      <c r="C7642" s="54"/>
      <c r="N7642" s="33"/>
    </row>
    <row r="7643" spans="3:14" x14ac:dyDescent="0.3">
      <c r="C7643" s="54"/>
      <c r="N7643" s="33"/>
    </row>
    <row r="7644" spans="3:14" x14ac:dyDescent="0.3">
      <c r="C7644" s="54"/>
      <c r="N7644" s="33"/>
    </row>
    <row r="7645" spans="3:14" x14ac:dyDescent="0.3">
      <c r="C7645" s="54"/>
      <c r="N7645" s="33"/>
    </row>
    <row r="7646" spans="3:14" x14ac:dyDescent="0.3">
      <c r="C7646" s="54"/>
      <c r="N7646" s="33"/>
    </row>
    <row r="7647" spans="3:14" x14ac:dyDescent="0.3">
      <c r="C7647" s="54"/>
      <c r="N7647" s="33"/>
    </row>
    <row r="7648" spans="3:14" x14ac:dyDescent="0.3">
      <c r="C7648" s="54"/>
      <c r="N7648" s="33"/>
    </row>
    <row r="7649" spans="3:14" x14ac:dyDescent="0.3">
      <c r="C7649" s="54"/>
      <c r="N7649" s="33"/>
    </row>
    <row r="7650" spans="3:14" x14ac:dyDescent="0.3">
      <c r="C7650" s="54"/>
      <c r="N7650" s="33"/>
    </row>
    <row r="7651" spans="3:14" x14ac:dyDescent="0.3">
      <c r="C7651" s="54"/>
      <c r="N7651" s="33"/>
    </row>
    <row r="7652" spans="3:14" x14ac:dyDescent="0.3">
      <c r="C7652" s="54"/>
      <c r="N7652" s="33"/>
    </row>
    <row r="7653" spans="3:14" x14ac:dyDescent="0.3">
      <c r="C7653" s="54"/>
      <c r="N7653" s="33"/>
    </row>
    <row r="7654" spans="3:14" x14ac:dyDescent="0.3">
      <c r="C7654" s="54"/>
      <c r="N7654" s="33"/>
    </row>
    <row r="7655" spans="3:14" x14ac:dyDescent="0.3">
      <c r="C7655" s="54"/>
      <c r="N7655" s="33"/>
    </row>
    <row r="7656" spans="3:14" x14ac:dyDescent="0.3">
      <c r="C7656" s="54"/>
      <c r="N7656" s="33"/>
    </row>
    <row r="7657" spans="3:14" x14ac:dyDescent="0.3">
      <c r="C7657" s="54"/>
      <c r="N7657" s="33"/>
    </row>
    <row r="7658" spans="3:14" x14ac:dyDescent="0.3">
      <c r="C7658" s="54"/>
      <c r="N7658" s="33"/>
    </row>
    <row r="7659" spans="3:14" x14ac:dyDescent="0.3">
      <c r="C7659" s="54"/>
      <c r="N7659" s="33"/>
    </row>
    <row r="7660" spans="3:14" x14ac:dyDescent="0.3">
      <c r="C7660" s="54"/>
      <c r="N7660" s="33"/>
    </row>
    <row r="7661" spans="3:14" x14ac:dyDescent="0.3">
      <c r="C7661" s="54"/>
      <c r="N7661" s="33"/>
    </row>
    <row r="7662" spans="3:14" x14ac:dyDescent="0.3">
      <c r="C7662" s="54"/>
      <c r="N7662" s="33"/>
    </row>
    <row r="7663" spans="3:14" x14ac:dyDescent="0.3">
      <c r="C7663" s="54"/>
      <c r="N7663" s="33"/>
    </row>
    <row r="7664" spans="3:14" x14ac:dyDescent="0.3">
      <c r="C7664" s="54"/>
      <c r="N7664" s="33"/>
    </row>
    <row r="7665" spans="3:14" x14ac:dyDescent="0.3">
      <c r="C7665" s="54"/>
      <c r="N7665" s="33"/>
    </row>
    <row r="7666" spans="3:14" x14ac:dyDescent="0.3">
      <c r="C7666" s="54"/>
      <c r="N7666" s="33"/>
    </row>
    <row r="7667" spans="3:14" x14ac:dyDescent="0.3">
      <c r="C7667" s="54"/>
      <c r="N7667" s="33"/>
    </row>
    <row r="7668" spans="3:14" x14ac:dyDescent="0.3">
      <c r="C7668" s="54"/>
      <c r="N7668" s="33"/>
    </row>
    <row r="7669" spans="3:14" x14ac:dyDescent="0.3">
      <c r="C7669" s="54"/>
      <c r="N7669" s="33"/>
    </row>
    <row r="7670" spans="3:14" x14ac:dyDescent="0.3">
      <c r="C7670" s="54"/>
      <c r="N7670" s="33"/>
    </row>
    <row r="7671" spans="3:14" x14ac:dyDescent="0.3">
      <c r="C7671" s="54"/>
      <c r="N7671" s="33"/>
    </row>
    <row r="7672" spans="3:14" x14ac:dyDescent="0.3">
      <c r="C7672" s="54"/>
      <c r="N7672" s="33"/>
    </row>
    <row r="7673" spans="3:14" x14ac:dyDescent="0.3">
      <c r="C7673" s="54"/>
      <c r="N7673" s="33"/>
    </row>
    <row r="7674" spans="3:14" x14ac:dyDescent="0.3">
      <c r="C7674" s="54"/>
      <c r="N7674" s="33"/>
    </row>
    <row r="7675" spans="3:14" x14ac:dyDescent="0.3">
      <c r="C7675" s="54"/>
      <c r="N7675" s="33"/>
    </row>
    <row r="7676" spans="3:14" x14ac:dyDescent="0.3">
      <c r="C7676" s="54"/>
      <c r="N7676" s="33"/>
    </row>
    <row r="7677" spans="3:14" x14ac:dyDescent="0.3">
      <c r="C7677" s="54"/>
      <c r="N7677" s="33"/>
    </row>
    <row r="7678" spans="3:14" x14ac:dyDescent="0.3">
      <c r="C7678" s="54"/>
      <c r="N7678" s="33"/>
    </row>
    <row r="7679" spans="3:14" x14ac:dyDescent="0.3">
      <c r="C7679" s="54"/>
      <c r="N7679" s="33"/>
    </row>
    <row r="7680" spans="3:14" x14ac:dyDescent="0.3">
      <c r="C7680" s="54"/>
      <c r="N7680" s="33"/>
    </row>
    <row r="7681" spans="3:14" x14ac:dyDescent="0.3">
      <c r="C7681" s="54"/>
      <c r="N7681" s="33"/>
    </row>
    <row r="7682" spans="3:14" x14ac:dyDescent="0.3">
      <c r="C7682" s="54"/>
      <c r="N7682" s="33"/>
    </row>
    <row r="7683" spans="3:14" x14ac:dyDescent="0.3">
      <c r="C7683" s="54"/>
      <c r="N7683" s="33"/>
    </row>
    <row r="7684" spans="3:14" x14ac:dyDescent="0.3">
      <c r="C7684" s="54"/>
      <c r="N7684" s="33"/>
    </row>
    <row r="7685" spans="3:14" x14ac:dyDescent="0.3">
      <c r="C7685" s="54"/>
      <c r="N7685" s="33"/>
    </row>
    <row r="7686" spans="3:14" x14ac:dyDescent="0.3">
      <c r="C7686" s="54"/>
      <c r="N7686" s="33"/>
    </row>
    <row r="7687" spans="3:14" x14ac:dyDescent="0.3">
      <c r="C7687" s="54"/>
      <c r="N7687" s="33"/>
    </row>
    <row r="7688" spans="3:14" x14ac:dyDescent="0.3">
      <c r="C7688" s="54"/>
      <c r="N7688" s="33"/>
    </row>
    <row r="7689" spans="3:14" x14ac:dyDescent="0.3">
      <c r="C7689" s="54"/>
      <c r="N7689" s="33"/>
    </row>
    <row r="7690" spans="3:14" x14ac:dyDescent="0.3">
      <c r="C7690" s="54"/>
      <c r="N7690" s="33"/>
    </row>
    <row r="7691" spans="3:14" x14ac:dyDescent="0.3">
      <c r="C7691" s="54"/>
      <c r="N7691" s="33"/>
    </row>
    <row r="7692" spans="3:14" x14ac:dyDescent="0.3">
      <c r="C7692" s="54"/>
      <c r="N7692" s="33"/>
    </row>
    <row r="7693" spans="3:14" x14ac:dyDescent="0.3">
      <c r="C7693" s="54"/>
      <c r="N7693" s="33"/>
    </row>
    <row r="7694" spans="3:14" x14ac:dyDescent="0.3">
      <c r="C7694" s="54"/>
      <c r="N7694" s="33"/>
    </row>
    <row r="7695" spans="3:14" x14ac:dyDescent="0.3">
      <c r="C7695" s="54"/>
      <c r="N7695" s="33"/>
    </row>
    <row r="7696" spans="3:14" x14ac:dyDescent="0.3">
      <c r="C7696" s="54"/>
      <c r="N7696" s="33"/>
    </row>
    <row r="7697" spans="3:14" x14ac:dyDescent="0.3">
      <c r="C7697" s="54"/>
      <c r="N7697" s="33"/>
    </row>
    <row r="7698" spans="3:14" x14ac:dyDescent="0.3">
      <c r="C7698" s="54"/>
      <c r="N7698" s="33"/>
    </row>
    <row r="7699" spans="3:14" x14ac:dyDescent="0.3">
      <c r="C7699" s="54"/>
      <c r="N7699" s="33"/>
    </row>
    <row r="7700" spans="3:14" x14ac:dyDescent="0.3">
      <c r="C7700" s="54"/>
      <c r="N7700" s="33"/>
    </row>
    <row r="7701" spans="3:14" x14ac:dyDescent="0.3">
      <c r="C7701" s="54"/>
      <c r="N7701" s="33"/>
    </row>
    <row r="7702" spans="3:14" x14ac:dyDescent="0.3">
      <c r="C7702" s="54"/>
      <c r="N7702" s="33"/>
    </row>
    <row r="7703" spans="3:14" x14ac:dyDescent="0.3">
      <c r="C7703" s="54"/>
      <c r="N7703" s="33"/>
    </row>
    <row r="7704" spans="3:14" x14ac:dyDescent="0.3">
      <c r="C7704" s="54"/>
      <c r="N7704" s="33"/>
    </row>
    <row r="7705" spans="3:14" x14ac:dyDescent="0.3">
      <c r="C7705" s="54"/>
      <c r="N7705" s="33"/>
    </row>
    <row r="7706" spans="3:14" x14ac:dyDescent="0.3">
      <c r="C7706" s="54"/>
      <c r="N7706" s="33"/>
    </row>
    <row r="7707" spans="3:14" x14ac:dyDescent="0.3">
      <c r="C7707" s="54"/>
      <c r="N7707" s="33"/>
    </row>
    <row r="7708" spans="3:14" x14ac:dyDescent="0.3">
      <c r="C7708" s="54"/>
      <c r="N7708" s="33"/>
    </row>
    <row r="7709" spans="3:14" x14ac:dyDescent="0.3">
      <c r="C7709" s="54"/>
      <c r="N7709" s="33"/>
    </row>
    <row r="7710" spans="3:14" x14ac:dyDescent="0.3">
      <c r="C7710" s="54"/>
      <c r="N7710" s="33"/>
    </row>
    <row r="7711" spans="3:14" x14ac:dyDescent="0.3">
      <c r="C7711" s="54"/>
      <c r="N7711" s="33"/>
    </row>
    <row r="7712" spans="3:14" x14ac:dyDescent="0.3">
      <c r="C7712" s="54"/>
      <c r="N7712" s="33"/>
    </row>
    <row r="7713" spans="3:14" x14ac:dyDescent="0.3">
      <c r="C7713" s="54"/>
      <c r="N7713" s="33"/>
    </row>
    <row r="7714" spans="3:14" x14ac:dyDescent="0.3">
      <c r="C7714" s="54"/>
      <c r="N7714" s="33"/>
    </row>
    <row r="7715" spans="3:14" x14ac:dyDescent="0.3">
      <c r="C7715" s="54"/>
      <c r="N7715" s="33"/>
    </row>
    <row r="7716" spans="3:14" x14ac:dyDescent="0.3">
      <c r="C7716" s="54"/>
      <c r="N7716" s="33"/>
    </row>
    <row r="7717" spans="3:14" x14ac:dyDescent="0.3">
      <c r="C7717" s="54"/>
      <c r="N7717" s="33"/>
    </row>
    <row r="7718" spans="3:14" x14ac:dyDescent="0.3">
      <c r="C7718" s="54"/>
      <c r="N7718" s="33"/>
    </row>
    <row r="7719" spans="3:14" x14ac:dyDescent="0.3">
      <c r="C7719" s="54"/>
      <c r="N7719" s="33"/>
    </row>
    <row r="7720" spans="3:14" x14ac:dyDescent="0.3">
      <c r="C7720" s="54"/>
      <c r="N7720" s="33"/>
    </row>
    <row r="7721" spans="3:14" x14ac:dyDescent="0.3">
      <c r="C7721" s="54"/>
      <c r="N7721" s="33"/>
    </row>
    <row r="7722" spans="3:14" x14ac:dyDescent="0.3">
      <c r="C7722" s="54"/>
      <c r="N7722" s="33"/>
    </row>
    <row r="7723" spans="3:14" x14ac:dyDescent="0.3">
      <c r="C7723" s="54"/>
      <c r="N7723" s="33"/>
    </row>
    <row r="7724" spans="3:14" x14ac:dyDescent="0.3">
      <c r="C7724" s="54"/>
      <c r="N7724" s="33"/>
    </row>
    <row r="7725" spans="3:14" x14ac:dyDescent="0.3">
      <c r="C7725" s="54"/>
      <c r="N7725" s="33"/>
    </row>
    <row r="7726" spans="3:14" x14ac:dyDescent="0.3">
      <c r="C7726" s="54"/>
      <c r="N7726" s="33"/>
    </row>
    <row r="7727" spans="3:14" x14ac:dyDescent="0.3">
      <c r="C7727" s="54"/>
      <c r="N7727" s="33"/>
    </row>
    <row r="7728" spans="3:14" x14ac:dyDescent="0.3">
      <c r="C7728" s="54"/>
      <c r="N7728" s="33"/>
    </row>
    <row r="7729" spans="3:14" x14ac:dyDescent="0.3">
      <c r="C7729" s="54"/>
      <c r="N7729" s="33"/>
    </row>
    <row r="7730" spans="3:14" x14ac:dyDescent="0.3">
      <c r="C7730" s="54"/>
      <c r="N7730" s="33"/>
    </row>
    <row r="7731" spans="3:14" x14ac:dyDescent="0.3">
      <c r="C7731" s="54"/>
      <c r="N7731" s="33"/>
    </row>
    <row r="7732" spans="3:14" x14ac:dyDescent="0.3">
      <c r="C7732" s="54"/>
      <c r="N7732" s="33"/>
    </row>
    <row r="7733" spans="3:14" x14ac:dyDescent="0.3">
      <c r="C7733" s="54"/>
      <c r="N7733" s="33"/>
    </row>
    <row r="7734" spans="3:14" x14ac:dyDescent="0.3">
      <c r="C7734" s="54"/>
      <c r="N7734" s="33"/>
    </row>
    <row r="7735" spans="3:14" x14ac:dyDescent="0.3">
      <c r="C7735" s="54"/>
      <c r="N7735" s="33"/>
    </row>
    <row r="7736" spans="3:14" x14ac:dyDescent="0.3">
      <c r="C7736" s="54"/>
      <c r="N7736" s="33"/>
    </row>
    <row r="7737" spans="3:14" x14ac:dyDescent="0.3">
      <c r="C7737" s="54"/>
      <c r="N7737" s="33"/>
    </row>
    <row r="7738" spans="3:14" x14ac:dyDescent="0.3">
      <c r="C7738" s="54"/>
      <c r="N7738" s="33"/>
    </row>
    <row r="7739" spans="3:14" x14ac:dyDescent="0.3">
      <c r="C7739" s="54"/>
      <c r="N7739" s="33"/>
    </row>
    <row r="7740" spans="3:14" x14ac:dyDescent="0.3">
      <c r="C7740" s="54"/>
      <c r="N7740" s="33"/>
    </row>
    <row r="7741" spans="3:14" x14ac:dyDescent="0.3">
      <c r="C7741" s="54"/>
      <c r="N7741" s="33"/>
    </row>
    <row r="7742" spans="3:14" x14ac:dyDescent="0.3">
      <c r="C7742" s="54"/>
      <c r="N7742" s="33"/>
    </row>
    <row r="7743" spans="3:14" x14ac:dyDescent="0.3">
      <c r="C7743" s="54"/>
      <c r="N7743" s="33"/>
    </row>
    <row r="7744" spans="3:14" x14ac:dyDescent="0.3">
      <c r="C7744" s="54"/>
      <c r="N7744" s="33"/>
    </row>
    <row r="7745" spans="3:14" x14ac:dyDescent="0.3">
      <c r="C7745" s="54"/>
      <c r="N7745" s="33"/>
    </row>
    <row r="7746" spans="3:14" x14ac:dyDescent="0.3">
      <c r="C7746" s="54"/>
      <c r="N7746" s="33"/>
    </row>
    <row r="7747" spans="3:14" x14ac:dyDescent="0.3">
      <c r="C7747" s="54"/>
      <c r="N7747" s="33"/>
    </row>
    <row r="7748" spans="3:14" x14ac:dyDescent="0.3">
      <c r="C7748" s="54"/>
      <c r="N7748" s="33"/>
    </row>
    <row r="7749" spans="3:14" x14ac:dyDescent="0.3">
      <c r="C7749" s="54"/>
      <c r="N7749" s="33"/>
    </row>
    <row r="7750" spans="3:14" x14ac:dyDescent="0.3">
      <c r="C7750" s="54"/>
      <c r="N7750" s="33"/>
    </row>
    <row r="7751" spans="3:14" x14ac:dyDescent="0.3">
      <c r="C7751" s="54"/>
      <c r="N7751" s="33"/>
    </row>
    <row r="7752" spans="3:14" x14ac:dyDescent="0.3">
      <c r="C7752" s="54"/>
      <c r="N7752" s="33"/>
    </row>
    <row r="7753" spans="3:14" x14ac:dyDescent="0.3">
      <c r="C7753" s="54"/>
      <c r="N7753" s="33"/>
    </row>
    <row r="7754" spans="3:14" x14ac:dyDescent="0.3">
      <c r="C7754" s="54"/>
      <c r="N7754" s="33"/>
    </row>
    <row r="7755" spans="3:14" x14ac:dyDescent="0.3">
      <c r="C7755" s="54"/>
      <c r="N7755" s="33"/>
    </row>
    <row r="7756" spans="3:14" x14ac:dyDescent="0.3">
      <c r="C7756" s="54"/>
      <c r="N7756" s="33"/>
    </row>
    <row r="7757" spans="3:14" x14ac:dyDescent="0.3">
      <c r="C7757" s="54"/>
      <c r="N7757" s="33"/>
    </row>
    <row r="7758" spans="3:14" x14ac:dyDescent="0.3">
      <c r="C7758" s="54"/>
      <c r="N7758" s="33"/>
    </row>
    <row r="7759" spans="3:14" x14ac:dyDescent="0.3">
      <c r="C7759" s="54"/>
      <c r="N7759" s="33"/>
    </row>
    <row r="7760" spans="3:14" x14ac:dyDescent="0.3">
      <c r="C7760" s="54"/>
      <c r="N7760" s="33"/>
    </row>
    <row r="7761" spans="3:14" x14ac:dyDescent="0.3">
      <c r="C7761" s="54"/>
      <c r="N7761" s="33"/>
    </row>
    <row r="7762" spans="3:14" x14ac:dyDescent="0.3">
      <c r="C7762" s="54"/>
      <c r="N7762" s="33"/>
    </row>
    <row r="7763" spans="3:14" x14ac:dyDescent="0.3">
      <c r="C7763" s="54"/>
      <c r="N7763" s="33"/>
    </row>
    <row r="7764" spans="3:14" x14ac:dyDescent="0.3">
      <c r="C7764" s="54"/>
      <c r="N7764" s="33"/>
    </row>
    <row r="7765" spans="3:14" x14ac:dyDescent="0.3">
      <c r="C7765" s="54"/>
      <c r="N7765" s="33"/>
    </row>
    <row r="7766" spans="3:14" x14ac:dyDescent="0.3">
      <c r="C7766" s="54"/>
      <c r="N7766" s="33"/>
    </row>
    <row r="7767" spans="3:14" x14ac:dyDescent="0.3">
      <c r="C7767" s="54"/>
      <c r="N7767" s="33"/>
    </row>
    <row r="7768" spans="3:14" x14ac:dyDescent="0.3">
      <c r="C7768" s="54"/>
      <c r="N7768" s="33"/>
    </row>
    <row r="7769" spans="3:14" x14ac:dyDescent="0.3">
      <c r="C7769" s="54"/>
      <c r="N7769" s="33"/>
    </row>
    <row r="7770" spans="3:14" x14ac:dyDescent="0.3">
      <c r="C7770" s="54"/>
      <c r="N7770" s="33"/>
    </row>
    <row r="7771" spans="3:14" x14ac:dyDescent="0.3">
      <c r="C7771" s="54"/>
      <c r="N7771" s="33"/>
    </row>
    <row r="7772" spans="3:14" x14ac:dyDescent="0.3">
      <c r="C7772" s="54"/>
      <c r="N7772" s="33"/>
    </row>
    <row r="7773" spans="3:14" x14ac:dyDescent="0.3">
      <c r="C7773" s="54"/>
      <c r="N7773" s="33"/>
    </row>
    <row r="7774" spans="3:14" x14ac:dyDescent="0.3">
      <c r="C7774" s="54"/>
      <c r="N7774" s="33"/>
    </row>
    <row r="7775" spans="3:14" x14ac:dyDescent="0.3">
      <c r="C7775" s="54"/>
      <c r="N7775" s="33"/>
    </row>
    <row r="7776" spans="3:14" x14ac:dyDescent="0.3">
      <c r="C7776" s="54"/>
      <c r="N7776" s="33"/>
    </row>
    <row r="7777" spans="3:14" x14ac:dyDescent="0.3">
      <c r="C7777" s="54"/>
      <c r="N7777" s="33"/>
    </row>
    <row r="7778" spans="3:14" x14ac:dyDescent="0.3">
      <c r="C7778" s="54"/>
      <c r="N7778" s="33"/>
    </row>
    <row r="7779" spans="3:14" x14ac:dyDescent="0.3">
      <c r="C7779" s="54"/>
      <c r="N7779" s="33"/>
    </row>
    <row r="7780" spans="3:14" x14ac:dyDescent="0.3">
      <c r="C7780" s="54"/>
      <c r="N7780" s="33"/>
    </row>
    <row r="7781" spans="3:14" x14ac:dyDescent="0.3">
      <c r="C7781" s="54"/>
      <c r="N7781" s="33"/>
    </row>
    <row r="7782" spans="3:14" x14ac:dyDescent="0.3">
      <c r="C7782" s="54"/>
      <c r="N7782" s="33"/>
    </row>
    <row r="7783" spans="3:14" x14ac:dyDescent="0.3">
      <c r="C7783" s="54"/>
      <c r="N7783" s="33"/>
    </row>
    <row r="7784" spans="3:14" x14ac:dyDescent="0.3">
      <c r="C7784" s="54"/>
      <c r="N7784" s="33"/>
    </row>
    <row r="7785" spans="3:14" x14ac:dyDescent="0.3">
      <c r="C7785" s="54"/>
      <c r="N7785" s="33"/>
    </row>
    <row r="7786" spans="3:14" x14ac:dyDescent="0.3">
      <c r="C7786" s="54"/>
      <c r="N7786" s="33"/>
    </row>
    <row r="7787" spans="3:14" x14ac:dyDescent="0.3">
      <c r="C7787" s="54"/>
      <c r="N7787" s="33"/>
    </row>
    <row r="7788" spans="3:14" x14ac:dyDescent="0.3">
      <c r="C7788" s="54"/>
      <c r="N7788" s="33"/>
    </row>
    <row r="7789" spans="3:14" x14ac:dyDescent="0.3">
      <c r="C7789" s="54"/>
      <c r="N7789" s="33"/>
    </row>
    <row r="7790" spans="3:14" x14ac:dyDescent="0.3">
      <c r="C7790" s="54"/>
      <c r="N7790" s="33"/>
    </row>
    <row r="7791" spans="3:14" x14ac:dyDescent="0.3">
      <c r="C7791" s="54"/>
      <c r="N7791" s="33"/>
    </row>
    <row r="7792" spans="3:14" x14ac:dyDescent="0.3">
      <c r="C7792" s="54"/>
      <c r="N7792" s="33"/>
    </row>
    <row r="7793" spans="3:14" x14ac:dyDescent="0.3">
      <c r="C7793" s="54"/>
      <c r="N7793" s="33"/>
    </row>
    <row r="7794" spans="3:14" x14ac:dyDescent="0.3">
      <c r="C7794" s="54"/>
      <c r="N7794" s="33"/>
    </row>
    <row r="7795" spans="3:14" x14ac:dyDescent="0.3">
      <c r="C7795" s="54"/>
      <c r="N7795" s="33"/>
    </row>
    <row r="7796" spans="3:14" x14ac:dyDescent="0.3">
      <c r="C7796" s="54"/>
      <c r="N7796" s="33"/>
    </row>
    <row r="7797" spans="3:14" x14ac:dyDescent="0.3">
      <c r="C7797" s="54"/>
      <c r="N7797" s="33"/>
    </row>
    <row r="7798" spans="3:14" x14ac:dyDescent="0.3">
      <c r="C7798" s="54"/>
      <c r="N7798" s="33"/>
    </row>
    <row r="7799" spans="3:14" x14ac:dyDescent="0.3">
      <c r="C7799" s="54"/>
      <c r="N7799" s="33"/>
    </row>
    <row r="7800" spans="3:14" x14ac:dyDescent="0.3">
      <c r="C7800" s="54"/>
      <c r="N7800" s="33"/>
    </row>
    <row r="7801" spans="3:14" x14ac:dyDescent="0.3">
      <c r="C7801" s="54"/>
      <c r="N7801" s="33"/>
    </row>
    <row r="7802" spans="3:14" x14ac:dyDescent="0.3">
      <c r="C7802" s="54"/>
      <c r="N7802" s="33"/>
    </row>
    <row r="7803" spans="3:14" x14ac:dyDescent="0.3">
      <c r="C7803" s="54"/>
      <c r="N7803" s="33"/>
    </row>
    <row r="7804" spans="3:14" x14ac:dyDescent="0.3">
      <c r="C7804" s="54"/>
      <c r="N7804" s="33"/>
    </row>
    <row r="7805" spans="3:14" x14ac:dyDescent="0.3">
      <c r="C7805" s="54"/>
      <c r="N7805" s="33"/>
    </row>
    <row r="7806" spans="3:14" x14ac:dyDescent="0.3">
      <c r="C7806" s="54"/>
      <c r="N7806" s="33"/>
    </row>
    <row r="7807" spans="3:14" x14ac:dyDescent="0.3">
      <c r="C7807" s="54"/>
      <c r="N7807" s="33"/>
    </row>
    <row r="7808" spans="3:14" x14ac:dyDescent="0.3">
      <c r="C7808" s="54"/>
      <c r="N7808" s="33"/>
    </row>
    <row r="7809" spans="3:14" x14ac:dyDescent="0.3">
      <c r="C7809" s="54"/>
      <c r="N7809" s="33"/>
    </row>
    <row r="7810" spans="3:14" x14ac:dyDescent="0.3">
      <c r="C7810" s="54"/>
      <c r="N7810" s="33"/>
    </row>
    <row r="7811" spans="3:14" x14ac:dyDescent="0.3">
      <c r="C7811" s="54"/>
      <c r="N7811" s="33"/>
    </row>
    <row r="7812" spans="3:14" x14ac:dyDescent="0.3">
      <c r="C7812" s="54"/>
      <c r="N7812" s="33"/>
    </row>
    <row r="7813" spans="3:14" x14ac:dyDescent="0.3">
      <c r="C7813" s="54"/>
      <c r="N7813" s="33"/>
    </row>
    <row r="7814" spans="3:14" x14ac:dyDescent="0.3">
      <c r="C7814" s="54"/>
      <c r="N7814" s="33"/>
    </row>
    <row r="7815" spans="3:14" x14ac:dyDescent="0.3">
      <c r="C7815" s="54"/>
      <c r="N7815" s="33"/>
    </row>
    <row r="7816" spans="3:14" x14ac:dyDescent="0.3">
      <c r="C7816" s="54"/>
      <c r="N7816" s="33"/>
    </row>
    <row r="7817" spans="3:14" x14ac:dyDescent="0.3">
      <c r="C7817" s="54"/>
      <c r="N7817" s="33"/>
    </row>
    <row r="7818" spans="3:14" x14ac:dyDescent="0.3">
      <c r="C7818" s="54"/>
      <c r="N7818" s="33"/>
    </row>
    <row r="7819" spans="3:14" x14ac:dyDescent="0.3">
      <c r="C7819" s="54"/>
      <c r="N7819" s="33"/>
    </row>
    <row r="7820" spans="3:14" x14ac:dyDescent="0.3">
      <c r="C7820" s="54"/>
      <c r="N7820" s="33"/>
    </row>
    <row r="7821" spans="3:14" x14ac:dyDescent="0.3">
      <c r="C7821" s="54"/>
      <c r="N7821" s="33"/>
    </row>
    <row r="7822" spans="3:14" x14ac:dyDescent="0.3">
      <c r="C7822" s="54"/>
      <c r="N7822" s="33"/>
    </row>
    <row r="7823" spans="3:14" x14ac:dyDescent="0.3">
      <c r="C7823" s="54"/>
      <c r="N7823" s="33"/>
    </row>
    <row r="7824" spans="3:14" x14ac:dyDescent="0.3">
      <c r="C7824" s="54"/>
      <c r="N7824" s="33"/>
    </row>
    <row r="7825" spans="3:14" x14ac:dyDescent="0.3">
      <c r="C7825" s="54"/>
      <c r="N7825" s="33"/>
    </row>
    <row r="7826" spans="3:14" x14ac:dyDescent="0.3">
      <c r="C7826" s="54"/>
      <c r="N7826" s="33"/>
    </row>
    <row r="7827" spans="3:14" x14ac:dyDescent="0.3">
      <c r="C7827" s="54"/>
      <c r="N7827" s="33"/>
    </row>
    <row r="7828" spans="3:14" x14ac:dyDescent="0.3">
      <c r="C7828" s="54"/>
      <c r="N7828" s="33"/>
    </row>
    <row r="7829" spans="3:14" x14ac:dyDescent="0.3">
      <c r="C7829" s="54"/>
      <c r="N7829" s="33"/>
    </row>
    <row r="7830" spans="3:14" x14ac:dyDescent="0.3">
      <c r="C7830" s="54"/>
      <c r="N7830" s="33"/>
    </row>
    <row r="7831" spans="3:14" x14ac:dyDescent="0.3">
      <c r="C7831" s="54"/>
      <c r="N7831" s="33"/>
    </row>
    <row r="7832" spans="3:14" x14ac:dyDescent="0.3">
      <c r="C7832" s="54"/>
      <c r="N7832" s="33"/>
    </row>
    <row r="7833" spans="3:14" x14ac:dyDescent="0.3">
      <c r="C7833" s="54"/>
      <c r="N7833" s="33"/>
    </row>
    <row r="7834" spans="3:14" x14ac:dyDescent="0.3">
      <c r="C7834" s="54"/>
      <c r="N7834" s="33"/>
    </row>
    <row r="7835" spans="3:14" x14ac:dyDescent="0.3">
      <c r="C7835" s="54"/>
      <c r="N7835" s="33"/>
    </row>
    <row r="7836" spans="3:14" x14ac:dyDescent="0.3">
      <c r="C7836" s="54"/>
      <c r="N7836" s="33"/>
    </row>
    <row r="7837" spans="3:14" x14ac:dyDescent="0.3">
      <c r="C7837" s="54"/>
      <c r="N7837" s="33"/>
    </row>
    <row r="7838" spans="3:14" x14ac:dyDescent="0.3">
      <c r="C7838" s="54"/>
      <c r="N7838" s="33"/>
    </row>
    <row r="7839" spans="3:14" x14ac:dyDescent="0.3">
      <c r="C7839" s="54"/>
      <c r="N7839" s="33"/>
    </row>
    <row r="7840" spans="3:14" x14ac:dyDescent="0.3">
      <c r="C7840" s="54"/>
      <c r="N7840" s="33"/>
    </row>
    <row r="7841" spans="3:14" x14ac:dyDescent="0.3">
      <c r="C7841" s="54"/>
      <c r="N7841" s="33"/>
    </row>
    <row r="7842" spans="3:14" x14ac:dyDescent="0.3">
      <c r="C7842" s="54"/>
      <c r="N7842" s="33"/>
    </row>
    <row r="7843" spans="3:14" x14ac:dyDescent="0.3">
      <c r="C7843" s="54"/>
      <c r="N7843" s="33"/>
    </row>
    <row r="7844" spans="3:14" x14ac:dyDescent="0.3">
      <c r="C7844" s="54"/>
      <c r="N7844" s="33"/>
    </row>
    <row r="7845" spans="3:14" x14ac:dyDescent="0.3">
      <c r="C7845" s="54"/>
      <c r="N7845" s="33"/>
    </row>
    <row r="7846" spans="3:14" x14ac:dyDescent="0.3">
      <c r="C7846" s="54"/>
      <c r="N7846" s="33"/>
    </row>
    <row r="7847" spans="3:14" x14ac:dyDescent="0.3">
      <c r="C7847" s="54"/>
      <c r="N7847" s="33"/>
    </row>
    <row r="7848" spans="3:14" x14ac:dyDescent="0.3">
      <c r="C7848" s="54"/>
      <c r="N7848" s="33"/>
    </row>
    <row r="7849" spans="3:14" x14ac:dyDescent="0.3">
      <c r="C7849" s="54"/>
      <c r="N7849" s="33"/>
    </row>
    <row r="7850" spans="3:14" x14ac:dyDescent="0.3">
      <c r="C7850" s="54"/>
      <c r="N7850" s="33"/>
    </row>
    <row r="7851" spans="3:14" x14ac:dyDescent="0.3">
      <c r="C7851" s="54"/>
      <c r="N7851" s="33"/>
    </row>
    <row r="7852" spans="3:14" x14ac:dyDescent="0.3">
      <c r="C7852" s="54"/>
      <c r="N7852" s="33"/>
    </row>
    <row r="7853" spans="3:14" x14ac:dyDescent="0.3">
      <c r="C7853" s="54"/>
      <c r="N7853" s="33"/>
    </row>
    <row r="7854" spans="3:14" x14ac:dyDescent="0.3">
      <c r="C7854" s="54"/>
      <c r="N7854" s="33"/>
    </row>
    <row r="7855" spans="3:14" x14ac:dyDescent="0.3">
      <c r="C7855" s="54"/>
      <c r="N7855" s="33"/>
    </row>
    <row r="7856" spans="3:14" x14ac:dyDescent="0.3">
      <c r="C7856" s="54"/>
      <c r="N7856" s="33"/>
    </row>
    <row r="7857" spans="3:14" x14ac:dyDescent="0.3">
      <c r="C7857" s="54"/>
      <c r="N7857" s="33"/>
    </row>
    <row r="7858" spans="3:14" x14ac:dyDescent="0.3">
      <c r="C7858" s="54"/>
      <c r="N7858" s="33"/>
    </row>
    <row r="7859" spans="3:14" x14ac:dyDescent="0.3">
      <c r="C7859" s="54"/>
      <c r="N7859" s="33"/>
    </row>
    <row r="7860" spans="3:14" x14ac:dyDescent="0.3">
      <c r="C7860" s="54"/>
      <c r="N7860" s="33"/>
    </row>
    <row r="7861" spans="3:14" x14ac:dyDescent="0.3">
      <c r="C7861" s="54"/>
      <c r="N7861" s="33"/>
    </row>
    <row r="7862" spans="3:14" x14ac:dyDescent="0.3">
      <c r="C7862" s="54"/>
      <c r="N7862" s="33"/>
    </row>
    <row r="7863" spans="3:14" x14ac:dyDescent="0.3">
      <c r="C7863" s="54"/>
      <c r="N7863" s="33"/>
    </row>
    <row r="7864" spans="3:14" x14ac:dyDescent="0.3">
      <c r="C7864" s="54"/>
      <c r="N7864" s="33"/>
    </row>
    <row r="7865" spans="3:14" x14ac:dyDescent="0.3">
      <c r="C7865" s="54"/>
      <c r="N7865" s="33"/>
    </row>
    <row r="7866" spans="3:14" x14ac:dyDescent="0.3">
      <c r="C7866" s="54"/>
      <c r="N7866" s="33"/>
    </row>
    <row r="7867" spans="3:14" x14ac:dyDescent="0.3">
      <c r="C7867" s="54"/>
      <c r="N7867" s="33"/>
    </row>
    <row r="7868" spans="3:14" x14ac:dyDescent="0.3">
      <c r="C7868" s="54"/>
      <c r="N7868" s="33"/>
    </row>
    <row r="7869" spans="3:14" x14ac:dyDescent="0.3">
      <c r="C7869" s="54"/>
      <c r="N7869" s="33"/>
    </row>
    <row r="7870" spans="3:14" x14ac:dyDescent="0.3">
      <c r="C7870" s="54"/>
      <c r="N7870" s="33"/>
    </row>
    <row r="7871" spans="3:14" x14ac:dyDescent="0.3">
      <c r="C7871" s="54"/>
      <c r="N7871" s="33"/>
    </row>
    <row r="7872" spans="3:14" x14ac:dyDescent="0.3">
      <c r="C7872" s="54"/>
      <c r="N7872" s="33"/>
    </row>
    <row r="7873" spans="3:14" x14ac:dyDescent="0.3">
      <c r="C7873" s="54"/>
      <c r="N7873" s="33"/>
    </row>
    <row r="7874" spans="3:14" x14ac:dyDescent="0.3">
      <c r="C7874" s="54"/>
      <c r="N7874" s="33"/>
    </row>
    <row r="7875" spans="3:14" x14ac:dyDescent="0.3">
      <c r="C7875" s="54"/>
      <c r="N7875" s="33"/>
    </row>
    <row r="7876" spans="3:14" x14ac:dyDescent="0.3">
      <c r="C7876" s="54"/>
      <c r="N7876" s="33"/>
    </row>
    <row r="7877" spans="3:14" x14ac:dyDescent="0.3">
      <c r="C7877" s="54"/>
      <c r="N7877" s="33"/>
    </row>
    <row r="7878" spans="3:14" x14ac:dyDescent="0.3">
      <c r="C7878" s="54"/>
      <c r="N7878" s="33"/>
    </row>
    <row r="7879" spans="3:14" x14ac:dyDescent="0.3">
      <c r="C7879" s="54"/>
      <c r="N7879" s="33"/>
    </row>
    <row r="7880" spans="3:14" x14ac:dyDescent="0.3">
      <c r="C7880" s="54"/>
      <c r="N7880" s="33"/>
    </row>
    <row r="7881" spans="3:14" x14ac:dyDescent="0.3">
      <c r="C7881" s="54"/>
      <c r="N7881" s="33"/>
    </row>
    <row r="7882" spans="3:14" x14ac:dyDescent="0.3">
      <c r="C7882" s="54"/>
      <c r="N7882" s="33"/>
    </row>
    <row r="7883" spans="3:14" x14ac:dyDescent="0.3">
      <c r="C7883" s="54"/>
      <c r="N7883" s="33"/>
    </row>
    <row r="7884" spans="3:14" x14ac:dyDescent="0.3">
      <c r="C7884" s="54"/>
      <c r="N7884" s="33"/>
    </row>
    <row r="7885" spans="3:14" x14ac:dyDescent="0.3">
      <c r="C7885" s="54"/>
      <c r="N7885" s="33"/>
    </row>
    <row r="7886" spans="3:14" x14ac:dyDescent="0.3">
      <c r="C7886" s="54"/>
      <c r="N7886" s="33"/>
    </row>
    <row r="7887" spans="3:14" x14ac:dyDescent="0.3">
      <c r="C7887" s="54"/>
      <c r="N7887" s="33"/>
    </row>
    <row r="7888" spans="3:14" x14ac:dyDescent="0.3">
      <c r="C7888" s="54"/>
      <c r="N7888" s="33"/>
    </row>
    <row r="7889" spans="3:14" x14ac:dyDescent="0.3">
      <c r="C7889" s="54"/>
      <c r="N7889" s="33"/>
    </row>
    <row r="7890" spans="3:14" x14ac:dyDescent="0.3">
      <c r="C7890" s="54"/>
      <c r="N7890" s="33"/>
    </row>
    <row r="7891" spans="3:14" x14ac:dyDescent="0.3">
      <c r="C7891" s="54"/>
      <c r="N7891" s="33"/>
    </row>
    <row r="7892" spans="3:14" x14ac:dyDescent="0.3">
      <c r="C7892" s="54"/>
      <c r="N7892" s="33"/>
    </row>
    <row r="7893" spans="3:14" x14ac:dyDescent="0.3">
      <c r="C7893" s="54"/>
      <c r="N7893" s="33"/>
    </row>
    <row r="7894" spans="3:14" x14ac:dyDescent="0.3">
      <c r="C7894" s="54"/>
      <c r="N7894" s="33"/>
    </row>
    <row r="7895" spans="3:14" x14ac:dyDescent="0.3">
      <c r="C7895" s="54"/>
      <c r="N7895" s="33"/>
    </row>
    <row r="7896" spans="3:14" x14ac:dyDescent="0.3">
      <c r="C7896" s="54"/>
      <c r="N7896" s="33"/>
    </row>
    <row r="7897" spans="3:14" x14ac:dyDescent="0.3">
      <c r="C7897" s="54"/>
      <c r="N7897" s="33"/>
    </row>
    <row r="7898" spans="3:14" x14ac:dyDescent="0.3">
      <c r="C7898" s="54"/>
      <c r="N7898" s="33"/>
    </row>
    <row r="7899" spans="3:14" x14ac:dyDescent="0.3">
      <c r="C7899" s="54"/>
      <c r="N7899" s="33"/>
    </row>
    <row r="7900" spans="3:14" x14ac:dyDescent="0.3">
      <c r="C7900" s="54"/>
      <c r="N7900" s="33"/>
    </row>
    <row r="7901" spans="3:14" x14ac:dyDescent="0.3">
      <c r="C7901" s="54"/>
      <c r="N7901" s="33"/>
    </row>
    <row r="7902" spans="3:14" x14ac:dyDescent="0.3">
      <c r="C7902" s="54"/>
      <c r="N7902" s="33"/>
    </row>
    <row r="7903" spans="3:14" x14ac:dyDescent="0.3">
      <c r="C7903" s="54"/>
      <c r="N7903" s="33"/>
    </row>
    <row r="7904" spans="3:14" x14ac:dyDescent="0.3">
      <c r="C7904" s="54"/>
      <c r="N7904" s="33"/>
    </row>
    <row r="7905" spans="3:14" x14ac:dyDescent="0.3">
      <c r="C7905" s="54"/>
      <c r="N7905" s="33"/>
    </row>
    <row r="7906" spans="3:14" x14ac:dyDescent="0.3">
      <c r="C7906" s="54"/>
      <c r="N7906" s="33"/>
    </row>
    <row r="7907" spans="3:14" x14ac:dyDescent="0.3">
      <c r="C7907" s="54"/>
      <c r="N7907" s="33"/>
    </row>
    <row r="7908" spans="3:14" x14ac:dyDescent="0.3">
      <c r="C7908" s="54"/>
      <c r="N7908" s="33"/>
    </row>
    <row r="7909" spans="3:14" x14ac:dyDescent="0.3">
      <c r="C7909" s="54"/>
      <c r="N7909" s="33"/>
    </row>
    <row r="7910" spans="3:14" x14ac:dyDescent="0.3">
      <c r="C7910" s="54"/>
      <c r="N7910" s="33"/>
    </row>
    <row r="7911" spans="3:14" x14ac:dyDescent="0.3">
      <c r="C7911" s="54"/>
      <c r="N7911" s="33"/>
    </row>
    <row r="7912" spans="3:14" x14ac:dyDescent="0.3">
      <c r="C7912" s="54"/>
      <c r="N7912" s="33"/>
    </row>
    <row r="7913" spans="3:14" x14ac:dyDescent="0.3">
      <c r="C7913" s="54"/>
      <c r="N7913" s="33"/>
    </row>
    <row r="7914" spans="3:14" x14ac:dyDescent="0.3">
      <c r="C7914" s="54"/>
      <c r="N7914" s="33"/>
    </row>
    <row r="7915" spans="3:14" x14ac:dyDescent="0.3">
      <c r="C7915" s="54"/>
      <c r="N7915" s="33"/>
    </row>
    <row r="7916" spans="3:14" x14ac:dyDescent="0.3">
      <c r="C7916" s="54"/>
      <c r="N7916" s="33"/>
    </row>
    <row r="7917" spans="3:14" x14ac:dyDescent="0.3">
      <c r="C7917" s="54"/>
      <c r="N7917" s="33"/>
    </row>
    <row r="7918" spans="3:14" x14ac:dyDescent="0.3">
      <c r="C7918" s="54"/>
      <c r="N7918" s="33"/>
    </row>
    <row r="7919" spans="3:14" x14ac:dyDescent="0.3">
      <c r="C7919" s="54"/>
      <c r="N7919" s="33"/>
    </row>
    <row r="7920" spans="3:14" x14ac:dyDescent="0.3">
      <c r="C7920" s="54"/>
      <c r="N7920" s="33"/>
    </row>
    <row r="7921" spans="3:14" x14ac:dyDescent="0.3">
      <c r="C7921" s="54"/>
      <c r="N7921" s="33"/>
    </row>
    <row r="7922" spans="3:14" x14ac:dyDescent="0.3">
      <c r="C7922" s="54"/>
      <c r="N7922" s="33"/>
    </row>
    <row r="7923" spans="3:14" x14ac:dyDescent="0.3">
      <c r="C7923" s="54"/>
      <c r="N7923" s="33"/>
    </row>
    <row r="7924" spans="3:14" x14ac:dyDescent="0.3">
      <c r="C7924" s="54"/>
      <c r="N7924" s="33"/>
    </row>
    <row r="7925" spans="3:14" x14ac:dyDescent="0.3">
      <c r="C7925" s="54"/>
      <c r="N7925" s="33"/>
    </row>
    <row r="7926" spans="3:14" x14ac:dyDescent="0.3">
      <c r="C7926" s="54"/>
      <c r="N7926" s="33"/>
    </row>
    <row r="7927" spans="3:14" x14ac:dyDescent="0.3">
      <c r="C7927" s="54"/>
      <c r="N7927" s="33"/>
    </row>
    <row r="7928" spans="3:14" x14ac:dyDescent="0.3">
      <c r="C7928" s="54"/>
      <c r="N7928" s="33"/>
    </row>
    <row r="7929" spans="3:14" x14ac:dyDescent="0.3">
      <c r="C7929" s="54"/>
      <c r="N7929" s="33"/>
    </row>
    <row r="7930" spans="3:14" x14ac:dyDescent="0.3">
      <c r="C7930" s="54"/>
      <c r="N7930" s="33"/>
    </row>
    <row r="7931" spans="3:14" x14ac:dyDescent="0.3">
      <c r="C7931" s="54"/>
      <c r="N7931" s="33"/>
    </row>
    <row r="7932" spans="3:14" x14ac:dyDescent="0.3">
      <c r="C7932" s="54"/>
      <c r="N7932" s="33"/>
    </row>
    <row r="7933" spans="3:14" x14ac:dyDescent="0.3">
      <c r="C7933" s="54"/>
      <c r="N7933" s="33"/>
    </row>
    <row r="7934" spans="3:14" x14ac:dyDescent="0.3">
      <c r="C7934" s="54"/>
      <c r="N7934" s="33"/>
    </row>
    <row r="7935" spans="3:14" x14ac:dyDescent="0.3">
      <c r="C7935" s="54"/>
      <c r="N7935" s="33"/>
    </row>
    <row r="7936" spans="3:14" x14ac:dyDescent="0.3">
      <c r="C7936" s="54"/>
      <c r="N7936" s="33"/>
    </row>
    <row r="7937" spans="3:14" x14ac:dyDescent="0.3">
      <c r="C7937" s="54"/>
      <c r="N7937" s="33"/>
    </row>
    <row r="7938" spans="3:14" x14ac:dyDescent="0.3">
      <c r="C7938" s="54"/>
      <c r="N7938" s="33"/>
    </row>
    <row r="7939" spans="3:14" x14ac:dyDescent="0.3">
      <c r="C7939" s="54"/>
      <c r="N7939" s="33"/>
    </row>
    <row r="7940" spans="3:14" x14ac:dyDescent="0.3">
      <c r="C7940" s="54"/>
      <c r="N7940" s="33"/>
    </row>
    <row r="7941" spans="3:14" x14ac:dyDescent="0.3">
      <c r="C7941" s="54"/>
      <c r="N7941" s="33"/>
    </row>
    <row r="7942" spans="3:14" x14ac:dyDescent="0.3">
      <c r="C7942" s="54"/>
      <c r="N7942" s="33"/>
    </row>
    <row r="7943" spans="3:14" x14ac:dyDescent="0.3">
      <c r="C7943" s="54"/>
      <c r="N7943" s="33"/>
    </row>
    <row r="7944" spans="3:14" x14ac:dyDescent="0.3">
      <c r="C7944" s="54"/>
      <c r="N7944" s="33"/>
    </row>
    <row r="7945" spans="3:14" x14ac:dyDescent="0.3">
      <c r="C7945" s="54"/>
      <c r="N7945" s="33"/>
    </row>
    <row r="7946" spans="3:14" x14ac:dyDescent="0.3">
      <c r="C7946" s="54"/>
      <c r="N7946" s="33"/>
    </row>
    <row r="7947" spans="3:14" x14ac:dyDescent="0.3">
      <c r="C7947" s="54"/>
      <c r="N7947" s="33"/>
    </row>
    <row r="7948" spans="3:14" x14ac:dyDescent="0.3">
      <c r="C7948" s="54"/>
      <c r="N7948" s="33"/>
    </row>
    <row r="7949" spans="3:14" x14ac:dyDescent="0.3">
      <c r="C7949" s="54"/>
      <c r="N7949" s="33"/>
    </row>
    <row r="7950" spans="3:14" x14ac:dyDescent="0.3">
      <c r="C7950" s="54"/>
      <c r="N7950" s="33"/>
    </row>
    <row r="7951" spans="3:14" x14ac:dyDescent="0.3">
      <c r="C7951" s="54"/>
      <c r="N7951" s="33"/>
    </row>
    <row r="7952" spans="3:14" x14ac:dyDescent="0.3">
      <c r="C7952" s="54"/>
      <c r="N7952" s="33"/>
    </row>
    <row r="7953" spans="3:14" x14ac:dyDescent="0.3">
      <c r="C7953" s="54"/>
      <c r="N7953" s="33"/>
    </row>
    <row r="7954" spans="3:14" x14ac:dyDescent="0.3">
      <c r="C7954" s="54"/>
      <c r="N7954" s="33"/>
    </row>
    <row r="7955" spans="3:14" x14ac:dyDescent="0.3">
      <c r="C7955" s="54"/>
      <c r="N7955" s="33"/>
    </row>
    <row r="7956" spans="3:14" x14ac:dyDescent="0.3">
      <c r="C7956" s="54"/>
      <c r="N7956" s="33"/>
    </row>
    <row r="7957" spans="3:14" x14ac:dyDescent="0.3">
      <c r="C7957" s="54"/>
      <c r="N7957" s="33"/>
    </row>
    <row r="7958" spans="3:14" x14ac:dyDescent="0.3">
      <c r="C7958" s="54"/>
      <c r="N7958" s="33"/>
    </row>
    <row r="7959" spans="3:14" x14ac:dyDescent="0.3">
      <c r="C7959" s="54"/>
      <c r="N7959" s="33"/>
    </row>
    <row r="7960" spans="3:14" x14ac:dyDescent="0.3">
      <c r="C7960" s="54"/>
      <c r="N7960" s="33"/>
    </row>
    <row r="7961" spans="3:14" x14ac:dyDescent="0.3">
      <c r="C7961" s="54"/>
      <c r="N7961" s="33"/>
    </row>
    <row r="7962" spans="3:14" x14ac:dyDescent="0.3">
      <c r="C7962" s="54"/>
      <c r="N7962" s="33"/>
    </row>
    <row r="7963" spans="3:14" x14ac:dyDescent="0.3">
      <c r="C7963" s="54"/>
      <c r="N7963" s="33"/>
    </row>
    <row r="7964" spans="3:14" x14ac:dyDescent="0.3">
      <c r="C7964" s="54"/>
      <c r="N7964" s="33"/>
    </row>
    <row r="7965" spans="3:14" x14ac:dyDescent="0.3">
      <c r="C7965" s="54"/>
      <c r="N7965" s="33"/>
    </row>
    <row r="7966" spans="3:14" x14ac:dyDescent="0.3">
      <c r="C7966" s="54"/>
      <c r="N7966" s="33"/>
    </row>
    <row r="7967" spans="3:14" x14ac:dyDescent="0.3">
      <c r="C7967" s="54"/>
      <c r="N7967" s="33"/>
    </row>
    <row r="7968" spans="3:14" x14ac:dyDescent="0.3">
      <c r="C7968" s="54"/>
      <c r="N7968" s="33"/>
    </row>
    <row r="7969" spans="3:14" x14ac:dyDescent="0.3">
      <c r="C7969" s="54"/>
      <c r="N7969" s="33"/>
    </row>
    <row r="7970" spans="3:14" x14ac:dyDescent="0.3">
      <c r="C7970" s="54"/>
      <c r="N7970" s="33"/>
    </row>
    <row r="7971" spans="3:14" x14ac:dyDescent="0.3">
      <c r="C7971" s="54"/>
      <c r="N7971" s="33"/>
    </row>
    <row r="7972" spans="3:14" x14ac:dyDescent="0.3">
      <c r="C7972" s="54"/>
      <c r="N7972" s="33"/>
    </row>
    <row r="7973" spans="3:14" x14ac:dyDescent="0.3">
      <c r="C7973" s="54"/>
      <c r="N7973" s="33"/>
    </row>
    <row r="7974" spans="3:14" x14ac:dyDescent="0.3">
      <c r="C7974" s="54"/>
      <c r="N7974" s="33"/>
    </row>
    <row r="7975" spans="3:14" x14ac:dyDescent="0.3">
      <c r="C7975" s="54"/>
      <c r="N7975" s="33"/>
    </row>
    <row r="7976" spans="3:14" x14ac:dyDescent="0.3">
      <c r="C7976" s="54"/>
      <c r="N7976" s="33"/>
    </row>
    <row r="7977" spans="3:14" x14ac:dyDescent="0.3">
      <c r="C7977" s="54"/>
      <c r="N7977" s="33"/>
    </row>
    <row r="7978" spans="3:14" x14ac:dyDescent="0.3">
      <c r="C7978" s="54"/>
      <c r="N7978" s="33"/>
    </row>
    <row r="7979" spans="3:14" x14ac:dyDescent="0.3">
      <c r="C7979" s="54"/>
      <c r="N7979" s="33"/>
    </row>
    <row r="7980" spans="3:14" x14ac:dyDescent="0.3">
      <c r="C7980" s="54"/>
      <c r="N7980" s="33"/>
    </row>
    <row r="7981" spans="3:14" x14ac:dyDescent="0.3">
      <c r="C7981" s="54"/>
      <c r="N7981" s="33"/>
    </row>
    <row r="7982" spans="3:14" x14ac:dyDescent="0.3">
      <c r="C7982" s="54"/>
      <c r="N7982" s="33"/>
    </row>
    <row r="7983" spans="3:14" x14ac:dyDescent="0.3">
      <c r="C7983" s="54"/>
      <c r="N7983" s="33"/>
    </row>
    <row r="7984" spans="3:14" x14ac:dyDescent="0.3">
      <c r="C7984" s="54"/>
      <c r="N7984" s="33"/>
    </row>
    <row r="7985" spans="3:14" x14ac:dyDescent="0.3">
      <c r="C7985" s="54"/>
      <c r="N7985" s="33"/>
    </row>
    <row r="7986" spans="3:14" x14ac:dyDescent="0.3">
      <c r="C7986" s="54"/>
      <c r="N7986" s="33"/>
    </row>
    <row r="7987" spans="3:14" x14ac:dyDescent="0.3">
      <c r="C7987" s="54"/>
      <c r="N7987" s="33"/>
    </row>
    <row r="7988" spans="3:14" x14ac:dyDescent="0.3">
      <c r="C7988" s="54"/>
      <c r="N7988" s="33"/>
    </row>
    <row r="7989" spans="3:14" x14ac:dyDescent="0.3">
      <c r="C7989" s="54"/>
      <c r="N7989" s="33"/>
    </row>
    <row r="7990" spans="3:14" x14ac:dyDescent="0.3">
      <c r="C7990" s="54"/>
      <c r="N7990" s="33"/>
    </row>
    <row r="7991" spans="3:14" x14ac:dyDescent="0.3">
      <c r="C7991" s="54"/>
      <c r="N7991" s="33"/>
    </row>
    <row r="7992" spans="3:14" x14ac:dyDescent="0.3">
      <c r="C7992" s="54"/>
      <c r="N7992" s="33"/>
    </row>
    <row r="7993" spans="3:14" x14ac:dyDescent="0.3">
      <c r="C7993" s="54"/>
      <c r="N7993" s="33"/>
    </row>
    <row r="7994" spans="3:14" x14ac:dyDescent="0.3">
      <c r="C7994" s="54"/>
      <c r="N7994" s="33"/>
    </row>
    <row r="7995" spans="3:14" x14ac:dyDescent="0.3">
      <c r="C7995" s="54"/>
      <c r="N7995" s="33"/>
    </row>
    <row r="7996" spans="3:14" x14ac:dyDescent="0.3">
      <c r="C7996" s="54"/>
      <c r="N7996" s="33"/>
    </row>
    <row r="7997" spans="3:14" x14ac:dyDescent="0.3">
      <c r="C7997" s="54"/>
      <c r="N7997" s="33"/>
    </row>
    <row r="7998" spans="3:14" x14ac:dyDescent="0.3">
      <c r="C7998" s="54"/>
      <c r="N7998" s="33"/>
    </row>
    <row r="7999" spans="3:14" x14ac:dyDescent="0.3">
      <c r="C7999" s="54"/>
      <c r="N7999" s="33"/>
    </row>
    <row r="8000" spans="3:14" x14ac:dyDescent="0.3">
      <c r="C8000" s="54"/>
      <c r="N8000" s="33"/>
    </row>
    <row r="8001" spans="3:14" x14ac:dyDescent="0.3">
      <c r="C8001" s="54"/>
      <c r="N8001" s="33"/>
    </row>
    <row r="8002" spans="3:14" x14ac:dyDescent="0.3">
      <c r="C8002" s="54"/>
      <c r="N8002" s="33"/>
    </row>
    <row r="8003" spans="3:14" x14ac:dyDescent="0.3">
      <c r="C8003" s="54"/>
      <c r="N8003" s="33"/>
    </row>
    <row r="8004" spans="3:14" x14ac:dyDescent="0.3">
      <c r="C8004" s="54"/>
      <c r="N8004" s="33"/>
    </row>
    <row r="8005" spans="3:14" x14ac:dyDescent="0.3">
      <c r="C8005" s="54"/>
      <c r="N8005" s="33"/>
    </row>
    <row r="8006" spans="3:14" x14ac:dyDescent="0.3">
      <c r="C8006" s="54"/>
      <c r="N8006" s="33"/>
    </row>
    <row r="8007" spans="3:14" x14ac:dyDescent="0.3">
      <c r="C8007" s="54"/>
      <c r="N8007" s="33"/>
    </row>
    <row r="8008" spans="3:14" x14ac:dyDescent="0.3">
      <c r="C8008" s="54"/>
      <c r="N8008" s="33"/>
    </row>
    <row r="8009" spans="3:14" x14ac:dyDescent="0.3">
      <c r="C8009" s="54"/>
      <c r="N8009" s="33"/>
    </row>
    <row r="8010" spans="3:14" x14ac:dyDescent="0.3">
      <c r="C8010" s="54"/>
      <c r="N8010" s="33"/>
    </row>
    <row r="8011" spans="3:14" x14ac:dyDescent="0.3">
      <c r="C8011" s="54"/>
      <c r="N8011" s="33"/>
    </row>
    <row r="8012" spans="3:14" x14ac:dyDescent="0.3">
      <c r="C8012" s="54"/>
      <c r="N8012" s="33"/>
    </row>
    <row r="8013" spans="3:14" x14ac:dyDescent="0.3">
      <c r="C8013" s="54"/>
      <c r="N8013" s="33"/>
    </row>
    <row r="8014" spans="3:14" x14ac:dyDescent="0.3">
      <c r="C8014" s="54"/>
      <c r="N8014" s="33"/>
    </row>
    <row r="8015" spans="3:14" x14ac:dyDescent="0.3">
      <c r="C8015" s="54"/>
      <c r="N8015" s="33"/>
    </row>
    <row r="8016" spans="3:14" x14ac:dyDescent="0.3">
      <c r="C8016" s="54"/>
      <c r="N8016" s="33"/>
    </row>
    <row r="8017" spans="3:14" x14ac:dyDescent="0.3">
      <c r="C8017" s="54"/>
      <c r="N8017" s="33"/>
    </row>
    <row r="8018" spans="3:14" x14ac:dyDescent="0.3">
      <c r="C8018" s="54"/>
      <c r="N8018" s="33"/>
    </row>
    <row r="8019" spans="3:14" x14ac:dyDescent="0.3">
      <c r="C8019" s="54"/>
      <c r="N8019" s="33"/>
    </row>
    <row r="8020" spans="3:14" x14ac:dyDescent="0.3">
      <c r="C8020" s="54"/>
      <c r="N8020" s="33"/>
    </row>
    <row r="8021" spans="3:14" x14ac:dyDescent="0.3">
      <c r="C8021" s="54"/>
      <c r="N8021" s="33"/>
    </row>
    <row r="8022" spans="3:14" x14ac:dyDescent="0.3">
      <c r="C8022" s="54"/>
      <c r="N8022" s="33"/>
    </row>
    <row r="8023" spans="3:14" x14ac:dyDescent="0.3">
      <c r="C8023" s="54"/>
      <c r="N8023" s="33"/>
    </row>
    <row r="8024" spans="3:14" x14ac:dyDescent="0.3">
      <c r="C8024" s="54"/>
      <c r="N8024" s="33"/>
    </row>
    <row r="8025" spans="3:14" x14ac:dyDescent="0.3">
      <c r="C8025" s="54"/>
      <c r="N8025" s="33"/>
    </row>
    <row r="8026" spans="3:14" x14ac:dyDescent="0.3">
      <c r="C8026" s="54"/>
      <c r="N8026" s="33"/>
    </row>
    <row r="8027" spans="3:14" x14ac:dyDescent="0.3">
      <c r="C8027" s="54"/>
      <c r="N8027" s="33"/>
    </row>
    <row r="8028" spans="3:14" x14ac:dyDescent="0.3">
      <c r="C8028" s="54"/>
      <c r="N8028" s="33"/>
    </row>
    <row r="8029" spans="3:14" x14ac:dyDescent="0.3">
      <c r="C8029" s="54"/>
      <c r="N8029" s="33"/>
    </row>
    <row r="8030" spans="3:14" x14ac:dyDescent="0.3">
      <c r="C8030" s="54"/>
      <c r="N8030" s="33"/>
    </row>
    <row r="8031" spans="3:14" x14ac:dyDescent="0.3">
      <c r="C8031" s="54"/>
      <c r="N8031" s="33"/>
    </row>
    <row r="8032" spans="3:14" x14ac:dyDescent="0.3">
      <c r="C8032" s="54"/>
      <c r="N8032" s="33"/>
    </row>
    <row r="8033" spans="3:14" x14ac:dyDescent="0.3">
      <c r="C8033" s="54"/>
      <c r="N8033" s="33"/>
    </row>
    <row r="8034" spans="3:14" x14ac:dyDescent="0.3">
      <c r="C8034" s="54"/>
      <c r="N8034" s="33"/>
    </row>
    <row r="8035" spans="3:14" x14ac:dyDescent="0.3">
      <c r="C8035" s="54"/>
      <c r="N8035" s="33"/>
    </row>
    <row r="8036" spans="3:14" x14ac:dyDescent="0.3">
      <c r="C8036" s="54"/>
      <c r="N8036" s="33"/>
    </row>
    <row r="8037" spans="3:14" x14ac:dyDescent="0.3">
      <c r="C8037" s="54"/>
      <c r="N8037" s="33"/>
    </row>
    <row r="8038" spans="3:14" x14ac:dyDescent="0.3">
      <c r="C8038" s="54"/>
      <c r="N8038" s="33"/>
    </row>
    <row r="8039" spans="3:14" x14ac:dyDescent="0.3">
      <c r="C8039" s="54"/>
      <c r="N8039" s="33"/>
    </row>
    <row r="8040" spans="3:14" x14ac:dyDescent="0.3">
      <c r="C8040" s="54"/>
      <c r="N8040" s="33"/>
    </row>
    <row r="8041" spans="3:14" x14ac:dyDescent="0.3">
      <c r="C8041" s="54"/>
      <c r="N8041" s="33"/>
    </row>
    <row r="8042" spans="3:14" x14ac:dyDescent="0.3">
      <c r="C8042" s="54"/>
      <c r="N8042" s="33"/>
    </row>
    <row r="8043" spans="3:14" x14ac:dyDescent="0.3">
      <c r="C8043" s="54"/>
      <c r="N8043" s="33"/>
    </row>
    <row r="8044" spans="3:14" x14ac:dyDescent="0.3">
      <c r="C8044" s="54"/>
      <c r="N8044" s="33"/>
    </row>
    <row r="8045" spans="3:14" x14ac:dyDescent="0.3">
      <c r="C8045" s="54"/>
      <c r="N8045" s="33"/>
    </row>
    <row r="8046" spans="3:14" x14ac:dyDescent="0.3">
      <c r="C8046" s="54"/>
      <c r="N8046" s="33"/>
    </row>
    <row r="8047" spans="3:14" x14ac:dyDescent="0.3">
      <c r="C8047" s="54"/>
      <c r="N8047" s="33"/>
    </row>
    <row r="8048" spans="3:14" x14ac:dyDescent="0.3">
      <c r="C8048" s="54"/>
      <c r="N8048" s="33"/>
    </row>
    <row r="8049" spans="3:14" x14ac:dyDescent="0.3">
      <c r="C8049" s="54"/>
      <c r="N8049" s="33"/>
    </row>
    <row r="8050" spans="3:14" x14ac:dyDescent="0.3">
      <c r="C8050" s="54"/>
      <c r="N8050" s="33"/>
    </row>
    <row r="8051" spans="3:14" x14ac:dyDescent="0.3">
      <c r="C8051" s="54"/>
      <c r="N8051" s="33"/>
    </row>
    <row r="8052" spans="3:14" x14ac:dyDescent="0.3">
      <c r="C8052" s="54"/>
      <c r="N8052" s="33"/>
    </row>
    <row r="8053" spans="3:14" x14ac:dyDescent="0.3">
      <c r="C8053" s="54"/>
      <c r="N8053" s="33"/>
    </row>
    <row r="8054" spans="3:14" x14ac:dyDescent="0.3">
      <c r="C8054" s="54"/>
      <c r="N8054" s="33"/>
    </row>
    <row r="8055" spans="3:14" x14ac:dyDescent="0.3">
      <c r="C8055" s="54"/>
      <c r="N8055" s="33"/>
    </row>
    <row r="8056" spans="3:14" x14ac:dyDescent="0.3">
      <c r="C8056" s="54"/>
      <c r="N8056" s="33"/>
    </row>
    <row r="8057" spans="3:14" x14ac:dyDescent="0.3">
      <c r="C8057" s="54"/>
      <c r="N8057" s="33"/>
    </row>
    <row r="8058" spans="3:14" x14ac:dyDescent="0.3">
      <c r="C8058" s="54"/>
      <c r="N8058" s="33"/>
    </row>
    <row r="8059" spans="3:14" x14ac:dyDescent="0.3">
      <c r="C8059" s="54"/>
      <c r="N8059" s="33"/>
    </row>
    <row r="8060" spans="3:14" x14ac:dyDescent="0.3">
      <c r="C8060" s="54"/>
      <c r="N8060" s="33"/>
    </row>
    <row r="8061" spans="3:14" x14ac:dyDescent="0.3">
      <c r="C8061" s="54"/>
      <c r="N8061" s="33"/>
    </row>
    <row r="8062" spans="3:14" x14ac:dyDescent="0.3">
      <c r="C8062" s="54"/>
      <c r="N8062" s="33"/>
    </row>
    <row r="8063" spans="3:14" x14ac:dyDescent="0.3">
      <c r="C8063" s="54"/>
      <c r="N8063" s="33"/>
    </row>
    <row r="8064" spans="3:14" x14ac:dyDescent="0.3">
      <c r="C8064" s="54"/>
      <c r="N8064" s="33"/>
    </row>
    <row r="8065" spans="3:14" x14ac:dyDescent="0.3">
      <c r="C8065" s="54"/>
      <c r="N8065" s="33"/>
    </row>
    <row r="8066" spans="3:14" x14ac:dyDescent="0.3">
      <c r="C8066" s="54"/>
      <c r="N8066" s="33"/>
    </row>
    <row r="8067" spans="3:14" x14ac:dyDescent="0.3">
      <c r="C8067" s="54"/>
      <c r="N8067" s="33"/>
    </row>
    <row r="8068" spans="3:14" x14ac:dyDescent="0.3">
      <c r="C8068" s="54"/>
      <c r="N8068" s="33"/>
    </row>
    <row r="8069" spans="3:14" x14ac:dyDescent="0.3">
      <c r="C8069" s="54"/>
      <c r="N8069" s="33"/>
    </row>
    <row r="8070" spans="3:14" x14ac:dyDescent="0.3">
      <c r="C8070" s="54"/>
      <c r="N8070" s="33"/>
    </row>
    <row r="8071" spans="3:14" x14ac:dyDescent="0.3">
      <c r="C8071" s="54"/>
      <c r="N8071" s="33"/>
    </row>
    <row r="8072" spans="3:14" x14ac:dyDescent="0.3">
      <c r="C8072" s="54"/>
      <c r="N8072" s="33"/>
    </row>
    <row r="8073" spans="3:14" x14ac:dyDescent="0.3">
      <c r="C8073" s="54"/>
      <c r="N8073" s="33"/>
    </row>
    <row r="8074" spans="3:14" x14ac:dyDescent="0.3">
      <c r="C8074" s="54"/>
      <c r="N8074" s="33"/>
    </row>
    <row r="8075" spans="3:14" x14ac:dyDescent="0.3">
      <c r="C8075" s="54"/>
      <c r="N8075" s="33"/>
    </row>
    <row r="8076" spans="3:14" x14ac:dyDescent="0.3">
      <c r="C8076" s="54"/>
      <c r="N8076" s="33"/>
    </row>
    <row r="8077" spans="3:14" x14ac:dyDescent="0.3">
      <c r="C8077" s="54"/>
      <c r="N8077" s="33"/>
    </row>
    <row r="8078" spans="3:14" x14ac:dyDescent="0.3">
      <c r="C8078" s="54"/>
      <c r="N8078" s="33"/>
    </row>
    <row r="8079" spans="3:14" x14ac:dyDescent="0.3">
      <c r="C8079" s="54"/>
      <c r="N8079" s="33"/>
    </row>
    <row r="8080" spans="3:14" x14ac:dyDescent="0.3">
      <c r="C8080" s="54"/>
      <c r="N8080" s="33"/>
    </row>
    <row r="8081" spans="3:14" x14ac:dyDescent="0.3">
      <c r="C8081" s="54"/>
      <c r="N8081" s="33"/>
    </row>
    <row r="8082" spans="3:14" x14ac:dyDescent="0.3">
      <c r="C8082" s="54"/>
      <c r="N8082" s="33"/>
    </row>
    <row r="8083" spans="3:14" x14ac:dyDescent="0.3">
      <c r="C8083" s="54"/>
      <c r="N8083" s="33"/>
    </row>
    <row r="8084" spans="3:14" x14ac:dyDescent="0.3">
      <c r="C8084" s="54"/>
      <c r="N8084" s="33"/>
    </row>
    <row r="8085" spans="3:14" x14ac:dyDescent="0.3">
      <c r="C8085" s="54"/>
      <c r="N8085" s="33"/>
    </row>
    <row r="8086" spans="3:14" x14ac:dyDescent="0.3">
      <c r="C8086" s="54"/>
      <c r="N8086" s="33"/>
    </row>
    <row r="8087" spans="3:14" x14ac:dyDescent="0.3">
      <c r="C8087" s="54"/>
      <c r="N8087" s="33"/>
    </row>
    <row r="8088" spans="3:14" x14ac:dyDescent="0.3">
      <c r="C8088" s="54"/>
      <c r="N8088" s="33"/>
    </row>
    <row r="8089" spans="3:14" x14ac:dyDescent="0.3">
      <c r="C8089" s="54"/>
      <c r="N8089" s="33"/>
    </row>
    <row r="8090" spans="3:14" x14ac:dyDescent="0.3">
      <c r="C8090" s="54"/>
      <c r="N8090" s="33"/>
    </row>
    <row r="8091" spans="3:14" x14ac:dyDescent="0.3">
      <c r="C8091" s="54"/>
      <c r="N8091" s="33"/>
    </row>
    <row r="8092" spans="3:14" x14ac:dyDescent="0.3">
      <c r="C8092" s="54"/>
      <c r="N8092" s="33"/>
    </row>
    <row r="8093" spans="3:14" x14ac:dyDescent="0.3">
      <c r="C8093" s="54"/>
      <c r="N8093" s="33"/>
    </row>
    <row r="8094" spans="3:14" x14ac:dyDescent="0.3">
      <c r="C8094" s="54"/>
      <c r="N8094" s="33"/>
    </row>
    <row r="8095" spans="3:14" x14ac:dyDescent="0.3">
      <c r="C8095" s="54"/>
      <c r="N8095" s="33"/>
    </row>
    <row r="8096" spans="3:14" x14ac:dyDescent="0.3">
      <c r="C8096" s="54"/>
      <c r="N8096" s="33"/>
    </row>
    <row r="8097" spans="3:14" x14ac:dyDescent="0.3">
      <c r="C8097" s="54"/>
      <c r="N8097" s="33"/>
    </row>
    <row r="8098" spans="3:14" x14ac:dyDescent="0.3">
      <c r="C8098" s="54"/>
      <c r="N8098" s="33"/>
    </row>
    <row r="8099" spans="3:14" x14ac:dyDescent="0.3">
      <c r="C8099" s="54"/>
      <c r="N8099" s="33"/>
    </row>
    <row r="8100" spans="3:14" x14ac:dyDescent="0.3">
      <c r="C8100" s="54"/>
      <c r="N8100" s="33"/>
    </row>
    <row r="8101" spans="3:14" x14ac:dyDescent="0.3">
      <c r="C8101" s="54"/>
      <c r="N8101" s="33"/>
    </row>
    <row r="8102" spans="3:14" x14ac:dyDescent="0.3">
      <c r="C8102" s="54"/>
      <c r="N8102" s="33"/>
    </row>
    <row r="8103" spans="3:14" x14ac:dyDescent="0.3">
      <c r="C8103" s="54"/>
      <c r="N8103" s="33"/>
    </row>
    <row r="8104" spans="3:14" x14ac:dyDescent="0.3">
      <c r="C8104" s="54"/>
      <c r="N8104" s="33"/>
    </row>
    <row r="8105" spans="3:14" x14ac:dyDescent="0.3">
      <c r="C8105" s="54"/>
      <c r="N8105" s="33"/>
    </row>
    <row r="8106" spans="3:14" x14ac:dyDescent="0.3">
      <c r="C8106" s="54"/>
      <c r="N8106" s="33"/>
    </row>
    <row r="8107" spans="3:14" x14ac:dyDescent="0.3">
      <c r="C8107" s="54"/>
      <c r="N8107" s="33"/>
    </row>
    <row r="8108" spans="3:14" x14ac:dyDescent="0.3">
      <c r="C8108" s="54"/>
      <c r="N8108" s="33"/>
    </row>
    <row r="8109" spans="3:14" x14ac:dyDescent="0.3">
      <c r="C8109" s="54"/>
      <c r="N8109" s="33"/>
    </row>
    <row r="8110" spans="3:14" x14ac:dyDescent="0.3">
      <c r="C8110" s="54"/>
      <c r="N8110" s="33"/>
    </row>
    <row r="8111" spans="3:14" x14ac:dyDescent="0.3">
      <c r="C8111" s="54"/>
      <c r="N8111" s="33"/>
    </row>
    <row r="8112" spans="3:14" x14ac:dyDescent="0.3">
      <c r="C8112" s="54"/>
      <c r="N8112" s="33"/>
    </row>
    <row r="8113" spans="3:14" x14ac:dyDescent="0.3">
      <c r="C8113" s="54"/>
      <c r="N8113" s="33"/>
    </row>
    <row r="8114" spans="3:14" x14ac:dyDescent="0.3">
      <c r="C8114" s="54"/>
      <c r="N8114" s="33"/>
    </row>
    <row r="8115" spans="3:14" x14ac:dyDescent="0.3">
      <c r="C8115" s="54"/>
      <c r="N8115" s="33"/>
    </row>
    <row r="8116" spans="3:14" x14ac:dyDescent="0.3">
      <c r="C8116" s="54"/>
      <c r="N8116" s="33"/>
    </row>
    <row r="8117" spans="3:14" x14ac:dyDescent="0.3">
      <c r="C8117" s="54"/>
      <c r="N8117" s="33"/>
    </row>
    <row r="8118" spans="3:14" x14ac:dyDescent="0.3">
      <c r="C8118" s="54"/>
      <c r="N8118" s="33"/>
    </row>
    <row r="8119" spans="3:14" x14ac:dyDescent="0.3">
      <c r="C8119" s="54"/>
      <c r="N8119" s="33"/>
    </row>
    <row r="8120" spans="3:14" x14ac:dyDescent="0.3">
      <c r="C8120" s="54"/>
      <c r="N8120" s="33"/>
    </row>
    <row r="8121" spans="3:14" x14ac:dyDescent="0.3">
      <c r="C8121" s="54"/>
      <c r="N8121" s="33"/>
    </row>
    <row r="8122" spans="3:14" x14ac:dyDescent="0.3">
      <c r="C8122" s="54"/>
      <c r="N8122" s="33"/>
    </row>
    <row r="8123" spans="3:14" x14ac:dyDescent="0.3">
      <c r="C8123" s="54"/>
      <c r="N8123" s="33"/>
    </row>
    <row r="8124" spans="3:14" x14ac:dyDescent="0.3">
      <c r="C8124" s="54"/>
      <c r="N8124" s="33"/>
    </row>
    <row r="8125" spans="3:14" x14ac:dyDescent="0.3">
      <c r="C8125" s="54"/>
      <c r="N8125" s="33"/>
    </row>
    <row r="8126" spans="3:14" x14ac:dyDescent="0.3">
      <c r="C8126" s="54"/>
      <c r="N8126" s="33"/>
    </row>
    <row r="8127" spans="3:14" x14ac:dyDescent="0.3">
      <c r="C8127" s="54"/>
      <c r="N8127" s="33"/>
    </row>
    <row r="8128" spans="3:14" x14ac:dyDescent="0.3">
      <c r="C8128" s="54"/>
      <c r="N8128" s="33"/>
    </row>
    <row r="8129" spans="3:14" x14ac:dyDescent="0.3">
      <c r="C8129" s="54"/>
      <c r="N8129" s="33"/>
    </row>
    <row r="8130" spans="3:14" x14ac:dyDescent="0.3">
      <c r="C8130" s="54"/>
      <c r="N8130" s="33"/>
    </row>
    <row r="8131" spans="3:14" x14ac:dyDescent="0.3">
      <c r="C8131" s="54"/>
      <c r="N8131" s="33"/>
    </row>
    <row r="8132" spans="3:14" x14ac:dyDescent="0.3">
      <c r="C8132" s="54"/>
      <c r="N8132" s="33"/>
    </row>
    <row r="8133" spans="3:14" x14ac:dyDescent="0.3">
      <c r="C8133" s="54"/>
      <c r="N8133" s="33"/>
    </row>
    <row r="8134" spans="3:14" x14ac:dyDescent="0.3">
      <c r="C8134" s="54"/>
      <c r="N8134" s="33"/>
    </row>
    <row r="8135" spans="3:14" x14ac:dyDescent="0.3">
      <c r="C8135" s="54"/>
      <c r="N8135" s="33"/>
    </row>
    <row r="8136" spans="3:14" x14ac:dyDescent="0.3">
      <c r="C8136" s="54"/>
      <c r="N8136" s="33"/>
    </row>
    <row r="8137" spans="3:14" x14ac:dyDescent="0.3">
      <c r="C8137" s="54"/>
      <c r="N8137" s="33"/>
    </row>
    <row r="8138" spans="3:14" x14ac:dyDescent="0.3">
      <c r="C8138" s="54"/>
      <c r="N8138" s="33"/>
    </row>
    <row r="8139" spans="3:14" x14ac:dyDescent="0.3">
      <c r="C8139" s="54"/>
      <c r="N8139" s="33"/>
    </row>
    <row r="8140" spans="3:14" x14ac:dyDescent="0.3">
      <c r="C8140" s="54"/>
      <c r="N8140" s="33"/>
    </row>
    <row r="8141" spans="3:14" x14ac:dyDescent="0.3">
      <c r="C8141" s="54"/>
      <c r="N8141" s="33"/>
    </row>
    <row r="8142" spans="3:14" x14ac:dyDescent="0.3">
      <c r="C8142" s="54"/>
      <c r="N8142" s="33"/>
    </row>
    <row r="8143" spans="3:14" x14ac:dyDescent="0.3">
      <c r="C8143" s="54"/>
      <c r="N8143" s="33"/>
    </row>
    <row r="8144" spans="3:14" x14ac:dyDescent="0.3">
      <c r="C8144" s="54"/>
      <c r="N8144" s="33"/>
    </row>
    <row r="8145" spans="3:14" x14ac:dyDescent="0.3">
      <c r="C8145" s="54"/>
      <c r="N8145" s="33"/>
    </row>
    <row r="8146" spans="3:14" x14ac:dyDescent="0.3">
      <c r="C8146" s="54"/>
      <c r="N8146" s="33"/>
    </row>
    <row r="8147" spans="3:14" x14ac:dyDescent="0.3">
      <c r="C8147" s="54"/>
      <c r="N8147" s="33"/>
    </row>
    <row r="8148" spans="3:14" x14ac:dyDescent="0.3">
      <c r="C8148" s="54"/>
      <c r="N8148" s="33"/>
    </row>
    <row r="8149" spans="3:14" x14ac:dyDescent="0.3">
      <c r="C8149" s="54"/>
      <c r="N8149" s="33"/>
    </row>
    <row r="8150" spans="3:14" x14ac:dyDescent="0.3">
      <c r="C8150" s="54"/>
      <c r="N8150" s="33"/>
    </row>
    <row r="8151" spans="3:14" x14ac:dyDescent="0.3">
      <c r="C8151" s="54"/>
      <c r="N8151" s="33"/>
    </row>
    <row r="8152" spans="3:14" x14ac:dyDescent="0.3">
      <c r="C8152" s="54"/>
      <c r="N8152" s="33"/>
    </row>
    <row r="8153" spans="3:14" x14ac:dyDescent="0.3">
      <c r="C8153" s="54"/>
      <c r="N8153" s="33"/>
    </row>
    <row r="8154" spans="3:14" x14ac:dyDescent="0.3">
      <c r="C8154" s="54"/>
      <c r="N8154" s="33"/>
    </row>
    <row r="8155" spans="3:14" x14ac:dyDescent="0.3">
      <c r="C8155" s="54"/>
      <c r="N8155" s="33"/>
    </row>
    <row r="8156" spans="3:14" x14ac:dyDescent="0.3">
      <c r="C8156" s="54"/>
      <c r="N8156" s="33"/>
    </row>
    <row r="8157" spans="3:14" x14ac:dyDescent="0.3">
      <c r="C8157" s="54"/>
      <c r="N8157" s="33"/>
    </row>
    <row r="8158" spans="3:14" x14ac:dyDescent="0.3">
      <c r="C8158" s="54"/>
      <c r="N8158" s="33"/>
    </row>
    <row r="8159" spans="3:14" x14ac:dyDescent="0.3">
      <c r="C8159" s="54"/>
      <c r="N8159" s="33"/>
    </row>
    <row r="8160" spans="3:14" x14ac:dyDescent="0.3">
      <c r="C8160" s="54"/>
      <c r="N8160" s="33"/>
    </row>
    <row r="8161" spans="3:14" x14ac:dyDescent="0.3">
      <c r="C8161" s="54"/>
      <c r="N8161" s="33"/>
    </row>
    <row r="8162" spans="3:14" x14ac:dyDescent="0.3">
      <c r="C8162" s="54"/>
      <c r="N8162" s="33"/>
    </row>
    <row r="8163" spans="3:14" x14ac:dyDescent="0.3">
      <c r="C8163" s="54"/>
      <c r="N8163" s="33"/>
    </row>
    <row r="8164" spans="3:14" x14ac:dyDescent="0.3">
      <c r="C8164" s="54"/>
      <c r="N8164" s="33"/>
    </row>
    <row r="8165" spans="3:14" x14ac:dyDescent="0.3">
      <c r="C8165" s="54"/>
      <c r="N8165" s="33"/>
    </row>
    <row r="8166" spans="3:14" x14ac:dyDescent="0.3">
      <c r="C8166" s="54"/>
      <c r="N8166" s="33"/>
    </row>
    <row r="8167" spans="3:14" x14ac:dyDescent="0.3">
      <c r="C8167" s="54"/>
      <c r="N8167" s="33"/>
    </row>
    <row r="8168" spans="3:14" x14ac:dyDescent="0.3">
      <c r="C8168" s="54"/>
      <c r="N8168" s="33"/>
    </row>
    <row r="8169" spans="3:14" x14ac:dyDescent="0.3">
      <c r="C8169" s="54"/>
      <c r="N8169" s="33"/>
    </row>
    <row r="8170" spans="3:14" x14ac:dyDescent="0.3">
      <c r="C8170" s="54"/>
      <c r="N8170" s="33"/>
    </row>
    <row r="8171" spans="3:14" x14ac:dyDescent="0.3">
      <c r="C8171" s="54"/>
      <c r="N8171" s="33"/>
    </row>
    <row r="8172" spans="3:14" x14ac:dyDescent="0.3">
      <c r="C8172" s="54"/>
      <c r="N8172" s="33"/>
    </row>
    <row r="8173" spans="3:14" x14ac:dyDescent="0.3">
      <c r="C8173" s="54"/>
      <c r="N8173" s="33"/>
    </row>
    <row r="8174" spans="3:14" x14ac:dyDescent="0.3">
      <c r="C8174" s="54"/>
      <c r="N8174" s="33"/>
    </row>
    <row r="8175" spans="3:14" x14ac:dyDescent="0.3">
      <c r="C8175" s="54"/>
      <c r="N8175" s="33"/>
    </row>
    <row r="8176" spans="3:14" x14ac:dyDescent="0.3">
      <c r="C8176" s="54"/>
      <c r="N8176" s="33"/>
    </row>
    <row r="8177" spans="3:14" x14ac:dyDescent="0.3">
      <c r="C8177" s="54"/>
      <c r="N8177" s="33"/>
    </row>
    <row r="8178" spans="3:14" x14ac:dyDescent="0.3">
      <c r="C8178" s="54"/>
      <c r="N8178" s="33"/>
    </row>
    <row r="8179" spans="3:14" x14ac:dyDescent="0.3">
      <c r="C8179" s="54"/>
      <c r="N8179" s="33"/>
    </row>
    <row r="8180" spans="3:14" x14ac:dyDescent="0.3">
      <c r="C8180" s="54"/>
      <c r="N8180" s="33"/>
    </row>
    <row r="8181" spans="3:14" x14ac:dyDescent="0.3">
      <c r="C8181" s="54"/>
      <c r="N8181" s="33"/>
    </row>
    <row r="8182" spans="3:14" x14ac:dyDescent="0.3">
      <c r="C8182" s="54"/>
      <c r="N8182" s="33"/>
    </row>
    <row r="8183" spans="3:14" x14ac:dyDescent="0.3">
      <c r="C8183" s="54"/>
      <c r="N8183" s="33"/>
    </row>
    <row r="8184" spans="3:14" x14ac:dyDescent="0.3">
      <c r="C8184" s="54"/>
      <c r="N8184" s="33"/>
    </row>
    <row r="8185" spans="3:14" x14ac:dyDescent="0.3">
      <c r="C8185" s="54"/>
      <c r="N8185" s="33"/>
    </row>
    <row r="8186" spans="3:14" x14ac:dyDescent="0.3">
      <c r="C8186" s="54"/>
      <c r="N8186" s="33"/>
    </row>
    <row r="8187" spans="3:14" x14ac:dyDescent="0.3">
      <c r="C8187" s="54"/>
      <c r="N8187" s="33"/>
    </row>
    <row r="8188" spans="3:14" x14ac:dyDescent="0.3">
      <c r="C8188" s="54"/>
      <c r="N8188" s="33"/>
    </row>
    <row r="8189" spans="3:14" x14ac:dyDescent="0.3">
      <c r="C8189" s="54"/>
      <c r="N8189" s="33"/>
    </row>
    <row r="8190" spans="3:14" x14ac:dyDescent="0.3">
      <c r="C8190" s="54"/>
      <c r="N8190" s="33"/>
    </row>
    <row r="8191" spans="3:14" x14ac:dyDescent="0.3">
      <c r="C8191" s="54"/>
      <c r="N8191" s="33"/>
    </row>
    <row r="8192" spans="3:14" x14ac:dyDescent="0.3">
      <c r="C8192" s="54"/>
      <c r="N8192" s="33"/>
    </row>
    <row r="8193" spans="3:14" x14ac:dyDescent="0.3">
      <c r="C8193" s="54"/>
      <c r="N8193" s="33"/>
    </row>
    <row r="8194" spans="3:14" x14ac:dyDescent="0.3">
      <c r="C8194" s="54"/>
      <c r="N8194" s="33"/>
    </row>
    <row r="8195" spans="3:14" x14ac:dyDescent="0.3">
      <c r="C8195" s="54"/>
      <c r="N8195" s="33"/>
    </row>
    <row r="8196" spans="3:14" x14ac:dyDescent="0.3">
      <c r="C8196" s="54"/>
      <c r="N8196" s="33"/>
    </row>
    <row r="8197" spans="3:14" x14ac:dyDescent="0.3">
      <c r="C8197" s="54"/>
      <c r="N8197" s="33"/>
    </row>
    <row r="8198" spans="3:14" x14ac:dyDescent="0.3">
      <c r="C8198" s="54"/>
      <c r="N8198" s="33"/>
    </row>
    <row r="8199" spans="3:14" x14ac:dyDescent="0.3">
      <c r="C8199" s="54"/>
      <c r="N8199" s="33"/>
    </row>
    <row r="8200" spans="3:14" x14ac:dyDescent="0.3">
      <c r="C8200" s="54"/>
      <c r="N8200" s="33"/>
    </row>
    <row r="8201" spans="3:14" x14ac:dyDescent="0.3">
      <c r="C8201" s="54"/>
      <c r="N8201" s="33"/>
    </row>
    <row r="8202" spans="3:14" x14ac:dyDescent="0.3">
      <c r="C8202" s="54"/>
      <c r="N8202" s="33"/>
    </row>
    <row r="8203" spans="3:14" x14ac:dyDescent="0.3">
      <c r="C8203" s="54"/>
      <c r="N8203" s="33"/>
    </row>
    <row r="8204" spans="3:14" x14ac:dyDescent="0.3">
      <c r="C8204" s="54"/>
      <c r="N8204" s="33"/>
    </row>
    <row r="8205" spans="3:14" x14ac:dyDescent="0.3">
      <c r="C8205" s="54"/>
      <c r="N8205" s="33"/>
    </row>
    <row r="8206" spans="3:14" x14ac:dyDescent="0.3">
      <c r="C8206" s="54"/>
      <c r="N8206" s="33"/>
    </row>
    <row r="8207" spans="3:14" x14ac:dyDescent="0.3">
      <c r="C8207" s="54"/>
      <c r="N8207" s="33"/>
    </row>
    <row r="8208" spans="3:14" x14ac:dyDescent="0.3">
      <c r="C8208" s="54"/>
      <c r="N8208" s="33"/>
    </row>
    <row r="8209" spans="3:14" x14ac:dyDescent="0.3">
      <c r="C8209" s="54"/>
      <c r="N8209" s="33"/>
    </row>
    <row r="8210" spans="3:14" x14ac:dyDescent="0.3">
      <c r="C8210" s="54"/>
      <c r="N8210" s="33"/>
    </row>
    <row r="8211" spans="3:14" x14ac:dyDescent="0.3">
      <c r="C8211" s="54"/>
      <c r="N8211" s="33"/>
    </row>
    <row r="8212" spans="3:14" x14ac:dyDescent="0.3">
      <c r="C8212" s="54"/>
      <c r="N8212" s="33"/>
    </row>
    <row r="8213" spans="3:14" x14ac:dyDescent="0.3">
      <c r="C8213" s="54"/>
      <c r="N8213" s="33"/>
    </row>
    <row r="8214" spans="3:14" x14ac:dyDescent="0.3">
      <c r="C8214" s="54"/>
      <c r="N8214" s="33"/>
    </row>
    <row r="8215" spans="3:14" x14ac:dyDescent="0.3">
      <c r="C8215" s="54"/>
      <c r="N8215" s="33"/>
    </row>
    <row r="8216" spans="3:14" x14ac:dyDescent="0.3">
      <c r="C8216" s="54"/>
      <c r="N8216" s="33"/>
    </row>
    <row r="8217" spans="3:14" x14ac:dyDescent="0.3">
      <c r="C8217" s="54"/>
      <c r="N8217" s="33"/>
    </row>
    <row r="8218" spans="3:14" x14ac:dyDescent="0.3">
      <c r="C8218" s="54"/>
      <c r="N8218" s="33"/>
    </row>
    <row r="8219" spans="3:14" x14ac:dyDescent="0.3">
      <c r="C8219" s="54"/>
      <c r="N8219" s="33"/>
    </row>
    <row r="8220" spans="3:14" x14ac:dyDescent="0.3">
      <c r="C8220" s="54"/>
      <c r="N8220" s="33"/>
    </row>
    <row r="8221" spans="3:14" x14ac:dyDescent="0.3">
      <c r="C8221" s="54"/>
      <c r="N8221" s="33"/>
    </row>
    <row r="8222" spans="3:14" x14ac:dyDescent="0.3">
      <c r="C8222" s="54"/>
      <c r="N8222" s="33"/>
    </row>
    <row r="8223" spans="3:14" x14ac:dyDescent="0.3">
      <c r="C8223" s="54"/>
      <c r="N8223" s="33"/>
    </row>
    <row r="8224" spans="3:14" x14ac:dyDescent="0.3">
      <c r="C8224" s="54"/>
      <c r="N8224" s="33"/>
    </row>
    <row r="8225" spans="3:14" x14ac:dyDescent="0.3">
      <c r="C8225" s="54"/>
      <c r="N8225" s="33"/>
    </row>
    <row r="8226" spans="3:14" x14ac:dyDescent="0.3">
      <c r="C8226" s="54"/>
      <c r="N8226" s="33"/>
    </row>
    <row r="8227" spans="3:14" x14ac:dyDescent="0.3">
      <c r="C8227" s="54"/>
      <c r="N8227" s="33"/>
    </row>
    <row r="8228" spans="3:14" x14ac:dyDescent="0.3">
      <c r="C8228" s="54"/>
      <c r="N8228" s="33"/>
    </row>
    <row r="8229" spans="3:14" x14ac:dyDescent="0.3">
      <c r="C8229" s="54"/>
      <c r="N8229" s="33"/>
    </row>
    <row r="8230" spans="3:14" x14ac:dyDescent="0.3">
      <c r="C8230" s="54"/>
      <c r="N8230" s="33"/>
    </row>
    <row r="8231" spans="3:14" x14ac:dyDescent="0.3">
      <c r="C8231" s="54"/>
      <c r="N8231" s="33"/>
    </row>
    <row r="8232" spans="3:14" x14ac:dyDescent="0.3">
      <c r="C8232" s="54"/>
      <c r="N8232" s="33"/>
    </row>
    <row r="8233" spans="3:14" x14ac:dyDescent="0.3">
      <c r="C8233" s="54"/>
      <c r="N8233" s="33"/>
    </row>
    <row r="8234" spans="3:14" x14ac:dyDescent="0.3">
      <c r="C8234" s="54"/>
      <c r="N8234" s="33"/>
    </row>
    <row r="8235" spans="3:14" x14ac:dyDescent="0.3">
      <c r="C8235" s="54"/>
      <c r="N8235" s="33"/>
    </row>
    <row r="8236" spans="3:14" x14ac:dyDescent="0.3">
      <c r="C8236" s="54"/>
      <c r="N8236" s="33"/>
    </row>
    <row r="8237" spans="3:14" x14ac:dyDescent="0.3">
      <c r="C8237" s="54"/>
      <c r="N8237" s="33"/>
    </row>
    <row r="8238" spans="3:14" x14ac:dyDescent="0.3">
      <c r="C8238" s="54"/>
      <c r="N8238" s="33"/>
    </row>
    <row r="8239" spans="3:14" x14ac:dyDescent="0.3">
      <c r="C8239" s="54"/>
      <c r="N8239" s="33"/>
    </row>
    <row r="8240" spans="3:14" x14ac:dyDescent="0.3">
      <c r="C8240" s="54"/>
      <c r="N8240" s="33"/>
    </row>
    <row r="8241" spans="3:14" x14ac:dyDescent="0.3">
      <c r="C8241" s="54"/>
      <c r="N8241" s="33"/>
    </row>
    <row r="8242" spans="3:14" x14ac:dyDescent="0.3">
      <c r="C8242" s="54"/>
      <c r="N8242" s="33"/>
    </row>
    <row r="8243" spans="3:14" x14ac:dyDescent="0.3">
      <c r="C8243" s="54"/>
      <c r="N8243" s="33"/>
    </row>
    <row r="8244" spans="3:14" x14ac:dyDescent="0.3">
      <c r="C8244" s="54"/>
      <c r="N8244" s="33"/>
    </row>
    <row r="8245" spans="3:14" x14ac:dyDescent="0.3">
      <c r="C8245" s="54"/>
      <c r="N8245" s="33"/>
    </row>
    <row r="8246" spans="3:14" x14ac:dyDescent="0.3">
      <c r="C8246" s="54"/>
      <c r="N8246" s="33"/>
    </row>
    <row r="8247" spans="3:14" x14ac:dyDescent="0.3">
      <c r="C8247" s="54"/>
      <c r="N8247" s="33"/>
    </row>
    <row r="8248" spans="3:14" x14ac:dyDescent="0.3">
      <c r="C8248" s="54"/>
      <c r="N8248" s="33"/>
    </row>
    <row r="8249" spans="3:14" x14ac:dyDescent="0.3">
      <c r="C8249" s="54"/>
      <c r="N8249" s="33"/>
    </row>
    <row r="8250" spans="3:14" x14ac:dyDescent="0.3">
      <c r="C8250" s="54"/>
      <c r="N8250" s="33"/>
    </row>
    <row r="8251" spans="3:14" x14ac:dyDescent="0.3">
      <c r="C8251" s="54"/>
      <c r="N8251" s="33"/>
    </row>
    <row r="8252" spans="3:14" x14ac:dyDescent="0.3">
      <c r="C8252" s="54"/>
      <c r="N8252" s="33"/>
    </row>
    <row r="8253" spans="3:14" x14ac:dyDescent="0.3">
      <c r="C8253" s="54"/>
      <c r="N8253" s="33"/>
    </row>
    <row r="8254" spans="3:14" x14ac:dyDescent="0.3">
      <c r="C8254" s="54"/>
      <c r="N8254" s="33"/>
    </row>
    <row r="8255" spans="3:14" x14ac:dyDescent="0.3">
      <c r="C8255" s="54"/>
      <c r="N8255" s="33"/>
    </row>
    <row r="8256" spans="3:14" x14ac:dyDescent="0.3">
      <c r="C8256" s="54"/>
      <c r="N8256" s="33"/>
    </row>
    <row r="8257" spans="3:14" x14ac:dyDescent="0.3">
      <c r="C8257" s="54"/>
      <c r="N8257" s="33"/>
    </row>
    <row r="8258" spans="3:14" x14ac:dyDescent="0.3">
      <c r="C8258" s="54"/>
      <c r="N8258" s="33"/>
    </row>
    <row r="8259" spans="3:14" x14ac:dyDescent="0.3">
      <c r="C8259" s="54"/>
      <c r="N8259" s="33"/>
    </row>
    <row r="8260" spans="3:14" x14ac:dyDescent="0.3">
      <c r="C8260" s="54"/>
      <c r="N8260" s="33"/>
    </row>
    <row r="8261" spans="3:14" x14ac:dyDescent="0.3">
      <c r="C8261" s="54"/>
      <c r="N8261" s="33"/>
    </row>
    <row r="8262" spans="3:14" x14ac:dyDescent="0.3">
      <c r="C8262" s="54"/>
      <c r="N8262" s="33"/>
    </row>
    <row r="8263" spans="3:14" x14ac:dyDescent="0.3">
      <c r="C8263" s="54"/>
      <c r="N8263" s="33"/>
    </row>
    <row r="8264" spans="3:14" x14ac:dyDescent="0.3">
      <c r="C8264" s="54"/>
      <c r="N8264" s="33"/>
    </row>
    <row r="8265" spans="3:14" x14ac:dyDescent="0.3">
      <c r="C8265" s="54"/>
      <c r="N8265" s="33"/>
    </row>
    <row r="8266" spans="3:14" x14ac:dyDescent="0.3">
      <c r="C8266" s="54"/>
      <c r="N8266" s="33"/>
    </row>
    <row r="8267" spans="3:14" x14ac:dyDescent="0.3">
      <c r="C8267" s="54"/>
      <c r="N8267" s="33"/>
    </row>
    <row r="8268" spans="3:14" x14ac:dyDescent="0.3">
      <c r="C8268" s="54"/>
      <c r="N8268" s="33"/>
    </row>
    <row r="8269" spans="3:14" x14ac:dyDescent="0.3">
      <c r="C8269" s="54"/>
      <c r="N8269" s="33"/>
    </row>
    <row r="8270" spans="3:14" x14ac:dyDescent="0.3">
      <c r="C8270" s="54"/>
      <c r="N8270" s="33"/>
    </row>
    <row r="8271" spans="3:14" x14ac:dyDescent="0.3">
      <c r="C8271" s="54"/>
      <c r="N8271" s="33"/>
    </row>
    <row r="8272" spans="3:14" x14ac:dyDescent="0.3">
      <c r="C8272" s="54"/>
      <c r="N8272" s="33"/>
    </row>
    <row r="8273" spans="3:14" x14ac:dyDescent="0.3">
      <c r="C8273" s="54"/>
      <c r="N8273" s="33"/>
    </row>
    <row r="8274" spans="3:14" x14ac:dyDescent="0.3">
      <c r="C8274" s="54"/>
      <c r="N8274" s="33"/>
    </row>
    <row r="8275" spans="3:14" x14ac:dyDescent="0.3">
      <c r="C8275" s="54"/>
      <c r="N8275" s="33"/>
    </row>
    <row r="8276" spans="3:14" x14ac:dyDescent="0.3">
      <c r="C8276" s="54"/>
      <c r="N8276" s="33"/>
    </row>
    <row r="8277" spans="3:14" x14ac:dyDescent="0.3">
      <c r="C8277" s="54"/>
      <c r="N8277" s="33"/>
    </row>
    <row r="8278" spans="3:14" x14ac:dyDescent="0.3">
      <c r="C8278" s="54"/>
      <c r="N8278" s="33"/>
    </row>
    <row r="8279" spans="3:14" x14ac:dyDescent="0.3">
      <c r="C8279" s="54"/>
      <c r="N8279" s="33"/>
    </row>
    <row r="8280" spans="3:14" x14ac:dyDescent="0.3">
      <c r="C8280" s="54"/>
      <c r="N8280" s="33"/>
    </row>
    <row r="8281" spans="3:14" x14ac:dyDescent="0.3">
      <c r="C8281" s="54"/>
      <c r="N8281" s="33"/>
    </row>
    <row r="8282" spans="3:14" x14ac:dyDescent="0.3">
      <c r="C8282" s="54"/>
      <c r="N8282" s="33"/>
    </row>
    <row r="8283" spans="3:14" x14ac:dyDescent="0.3">
      <c r="C8283" s="54"/>
      <c r="N8283" s="33"/>
    </row>
    <row r="8284" spans="3:14" x14ac:dyDescent="0.3">
      <c r="C8284" s="54"/>
      <c r="N8284" s="33"/>
    </row>
    <row r="8285" spans="3:14" x14ac:dyDescent="0.3">
      <c r="C8285" s="54"/>
      <c r="N8285" s="33"/>
    </row>
    <row r="8286" spans="3:14" x14ac:dyDescent="0.3">
      <c r="C8286" s="54"/>
      <c r="N8286" s="33"/>
    </row>
    <row r="8287" spans="3:14" x14ac:dyDescent="0.3">
      <c r="C8287" s="54"/>
      <c r="N8287" s="33"/>
    </row>
    <row r="8288" spans="3:14" x14ac:dyDescent="0.3">
      <c r="C8288" s="54"/>
      <c r="N8288" s="33"/>
    </row>
    <row r="8289" spans="3:14" x14ac:dyDescent="0.3">
      <c r="C8289" s="54"/>
      <c r="N8289" s="33"/>
    </row>
    <row r="8290" spans="3:14" x14ac:dyDescent="0.3">
      <c r="C8290" s="54"/>
      <c r="N8290" s="33"/>
    </row>
    <row r="8291" spans="3:14" x14ac:dyDescent="0.3">
      <c r="C8291" s="54"/>
      <c r="N8291" s="33"/>
    </row>
    <row r="8292" spans="3:14" x14ac:dyDescent="0.3">
      <c r="C8292" s="54"/>
      <c r="N8292" s="33"/>
    </row>
    <row r="8293" spans="3:14" x14ac:dyDescent="0.3">
      <c r="C8293" s="54"/>
      <c r="N8293" s="33"/>
    </row>
    <row r="8294" spans="3:14" x14ac:dyDescent="0.3">
      <c r="C8294" s="54"/>
      <c r="N8294" s="33"/>
    </row>
    <row r="8295" spans="3:14" x14ac:dyDescent="0.3">
      <c r="C8295" s="54"/>
      <c r="N8295" s="33"/>
    </row>
    <row r="8296" spans="3:14" x14ac:dyDescent="0.3">
      <c r="C8296" s="54"/>
      <c r="N8296" s="33"/>
    </row>
    <row r="8297" spans="3:14" x14ac:dyDescent="0.3">
      <c r="C8297" s="54"/>
      <c r="N8297" s="33"/>
    </row>
    <row r="8298" spans="3:14" x14ac:dyDescent="0.3">
      <c r="C8298" s="54"/>
      <c r="N8298" s="33"/>
    </row>
    <row r="8299" spans="3:14" x14ac:dyDescent="0.3">
      <c r="C8299" s="54"/>
      <c r="N8299" s="33"/>
    </row>
    <row r="8300" spans="3:14" x14ac:dyDescent="0.3">
      <c r="C8300" s="54"/>
      <c r="N8300" s="33"/>
    </row>
    <row r="8301" spans="3:14" x14ac:dyDescent="0.3">
      <c r="C8301" s="54"/>
      <c r="N8301" s="33"/>
    </row>
    <row r="8302" spans="3:14" x14ac:dyDescent="0.3">
      <c r="C8302" s="54"/>
      <c r="N8302" s="33"/>
    </row>
    <row r="8303" spans="3:14" x14ac:dyDescent="0.3">
      <c r="C8303" s="54"/>
      <c r="N8303" s="33"/>
    </row>
    <row r="8304" spans="3:14" x14ac:dyDescent="0.3">
      <c r="C8304" s="54"/>
      <c r="N8304" s="33"/>
    </row>
    <row r="8305" spans="3:14" x14ac:dyDescent="0.3">
      <c r="C8305" s="54"/>
      <c r="N8305" s="33"/>
    </row>
    <row r="8306" spans="3:14" x14ac:dyDescent="0.3">
      <c r="C8306" s="54"/>
      <c r="N8306" s="33"/>
    </row>
    <row r="8307" spans="3:14" x14ac:dyDescent="0.3">
      <c r="C8307" s="54"/>
      <c r="N8307" s="33"/>
    </row>
    <row r="8308" spans="3:14" x14ac:dyDescent="0.3">
      <c r="C8308" s="54"/>
      <c r="N8308" s="33"/>
    </row>
    <row r="8309" spans="3:14" x14ac:dyDescent="0.3">
      <c r="C8309" s="54"/>
      <c r="N8309" s="33"/>
    </row>
    <row r="8310" spans="3:14" x14ac:dyDescent="0.3">
      <c r="C8310" s="54"/>
      <c r="N8310" s="33"/>
    </row>
    <row r="8311" spans="3:14" x14ac:dyDescent="0.3">
      <c r="C8311" s="54"/>
      <c r="N8311" s="33"/>
    </row>
    <row r="8312" spans="3:14" x14ac:dyDescent="0.3">
      <c r="C8312" s="54"/>
      <c r="N8312" s="33"/>
    </row>
    <row r="8313" spans="3:14" x14ac:dyDescent="0.3">
      <c r="C8313" s="54"/>
      <c r="N8313" s="33"/>
    </row>
    <row r="8314" spans="3:14" x14ac:dyDescent="0.3">
      <c r="C8314" s="54"/>
      <c r="N8314" s="33"/>
    </row>
    <row r="8315" spans="3:14" x14ac:dyDescent="0.3">
      <c r="C8315" s="54"/>
      <c r="N8315" s="33"/>
    </row>
    <row r="8316" spans="3:14" x14ac:dyDescent="0.3">
      <c r="C8316" s="54"/>
      <c r="N8316" s="33"/>
    </row>
    <row r="8317" spans="3:14" x14ac:dyDescent="0.3">
      <c r="C8317" s="54"/>
      <c r="N8317" s="33"/>
    </row>
    <row r="8318" spans="3:14" x14ac:dyDescent="0.3">
      <c r="C8318" s="54"/>
      <c r="N8318" s="33"/>
    </row>
    <row r="8319" spans="3:14" x14ac:dyDescent="0.3">
      <c r="C8319" s="54"/>
      <c r="N8319" s="33"/>
    </row>
    <row r="8320" spans="3:14" x14ac:dyDescent="0.3">
      <c r="C8320" s="54"/>
      <c r="N8320" s="33"/>
    </row>
    <row r="8321" spans="3:14" x14ac:dyDescent="0.3">
      <c r="C8321" s="54"/>
      <c r="N8321" s="33"/>
    </row>
    <row r="8322" spans="3:14" x14ac:dyDescent="0.3">
      <c r="C8322" s="54"/>
      <c r="N8322" s="33"/>
    </row>
    <row r="8323" spans="3:14" x14ac:dyDescent="0.3">
      <c r="C8323" s="54"/>
      <c r="N8323" s="33"/>
    </row>
    <row r="8324" spans="3:14" x14ac:dyDescent="0.3">
      <c r="C8324" s="54"/>
      <c r="N8324" s="33"/>
    </row>
    <row r="8325" spans="3:14" x14ac:dyDescent="0.3">
      <c r="C8325" s="54"/>
      <c r="N8325" s="33"/>
    </row>
    <row r="8326" spans="3:14" x14ac:dyDescent="0.3">
      <c r="C8326" s="54"/>
      <c r="N8326" s="33"/>
    </row>
    <row r="8327" spans="3:14" x14ac:dyDescent="0.3">
      <c r="C8327" s="54"/>
      <c r="N8327" s="33"/>
    </row>
    <row r="8328" spans="3:14" x14ac:dyDescent="0.3">
      <c r="C8328" s="54"/>
      <c r="N8328" s="33"/>
    </row>
    <row r="8329" spans="3:14" x14ac:dyDescent="0.3">
      <c r="C8329" s="54"/>
      <c r="N8329" s="33"/>
    </row>
    <row r="8330" spans="3:14" x14ac:dyDescent="0.3">
      <c r="C8330" s="54"/>
      <c r="N8330" s="33"/>
    </row>
    <row r="8331" spans="3:14" x14ac:dyDescent="0.3">
      <c r="C8331" s="54"/>
      <c r="N8331" s="33"/>
    </row>
    <row r="8332" spans="3:14" x14ac:dyDescent="0.3">
      <c r="C8332" s="54"/>
      <c r="N8332" s="33"/>
    </row>
    <row r="8333" spans="3:14" x14ac:dyDescent="0.3">
      <c r="C8333" s="54"/>
      <c r="N8333" s="33"/>
    </row>
    <row r="8334" spans="3:14" x14ac:dyDescent="0.3">
      <c r="C8334" s="54"/>
      <c r="N8334" s="33"/>
    </row>
    <row r="8335" spans="3:14" x14ac:dyDescent="0.3">
      <c r="C8335" s="54"/>
      <c r="N8335" s="33"/>
    </row>
    <row r="8336" spans="3:14" x14ac:dyDescent="0.3">
      <c r="C8336" s="54"/>
      <c r="N8336" s="33"/>
    </row>
    <row r="8337" spans="3:14" x14ac:dyDescent="0.3">
      <c r="C8337" s="54"/>
      <c r="N8337" s="33"/>
    </row>
    <row r="8338" spans="3:14" x14ac:dyDescent="0.3">
      <c r="C8338" s="54"/>
      <c r="N8338" s="33"/>
    </row>
    <row r="8339" spans="3:14" x14ac:dyDescent="0.3">
      <c r="C8339" s="54"/>
      <c r="N8339" s="33"/>
    </row>
    <row r="8340" spans="3:14" x14ac:dyDescent="0.3">
      <c r="C8340" s="54"/>
      <c r="N8340" s="33"/>
    </row>
    <row r="8341" spans="3:14" x14ac:dyDescent="0.3">
      <c r="C8341" s="54"/>
      <c r="N8341" s="33"/>
    </row>
    <row r="8342" spans="3:14" x14ac:dyDescent="0.3">
      <c r="C8342" s="54"/>
      <c r="N8342" s="33"/>
    </row>
    <row r="8343" spans="3:14" x14ac:dyDescent="0.3">
      <c r="C8343" s="54"/>
      <c r="N8343" s="33"/>
    </row>
    <row r="8344" spans="3:14" x14ac:dyDescent="0.3">
      <c r="C8344" s="54"/>
      <c r="N8344" s="33"/>
    </row>
    <row r="8345" spans="3:14" x14ac:dyDescent="0.3">
      <c r="C8345" s="54"/>
      <c r="N8345" s="33"/>
    </row>
    <row r="8346" spans="3:14" x14ac:dyDescent="0.3">
      <c r="C8346" s="54"/>
      <c r="N8346" s="33"/>
    </row>
    <row r="8347" spans="3:14" x14ac:dyDescent="0.3">
      <c r="C8347" s="54"/>
      <c r="N8347" s="33"/>
    </row>
    <row r="8348" spans="3:14" x14ac:dyDescent="0.3">
      <c r="C8348" s="54"/>
      <c r="N8348" s="33"/>
    </row>
    <row r="8349" spans="3:14" x14ac:dyDescent="0.3">
      <c r="C8349" s="54"/>
      <c r="N8349" s="33"/>
    </row>
    <row r="8350" spans="3:14" x14ac:dyDescent="0.3">
      <c r="C8350" s="54"/>
      <c r="N8350" s="33"/>
    </row>
    <row r="8351" spans="3:14" x14ac:dyDescent="0.3">
      <c r="C8351" s="54"/>
      <c r="N8351" s="33"/>
    </row>
    <row r="8352" spans="3:14" x14ac:dyDescent="0.3">
      <c r="C8352" s="54"/>
      <c r="N8352" s="33"/>
    </row>
    <row r="8353" spans="3:14" x14ac:dyDescent="0.3">
      <c r="C8353" s="54"/>
      <c r="N8353" s="33"/>
    </row>
    <row r="8354" spans="3:14" x14ac:dyDescent="0.3">
      <c r="C8354" s="54"/>
      <c r="N8354" s="33"/>
    </row>
    <row r="8355" spans="3:14" x14ac:dyDescent="0.3">
      <c r="C8355" s="54"/>
      <c r="N8355" s="33"/>
    </row>
    <row r="8356" spans="3:14" x14ac:dyDescent="0.3">
      <c r="C8356" s="54"/>
      <c r="N8356" s="33"/>
    </row>
    <row r="8357" spans="3:14" x14ac:dyDescent="0.3">
      <c r="C8357" s="54"/>
      <c r="N8357" s="33"/>
    </row>
    <row r="8358" spans="3:14" x14ac:dyDescent="0.3">
      <c r="C8358" s="54"/>
      <c r="N8358" s="33"/>
    </row>
    <row r="8359" spans="3:14" x14ac:dyDescent="0.3">
      <c r="C8359" s="54"/>
      <c r="N8359" s="33"/>
    </row>
    <row r="8360" spans="3:14" x14ac:dyDescent="0.3">
      <c r="C8360" s="54"/>
      <c r="N8360" s="33"/>
    </row>
    <row r="8361" spans="3:14" x14ac:dyDescent="0.3">
      <c r="C8361" s="54"/>
      <c r="N8361" s="33"/>
    </row>
    <row r="8362" spans="3:14" x14ac:dyDescent="0.3">
      <c r="C8362" s="54"/>
      <c r="N8362" s="33"/>
    </row>
    <row r="8363" spans="3:14" x14ac:dyDescent="0.3">
      <c r="C8363" s="54"/>
      <c r="N8363" s="33"/>
    </row>
    <row r="8364" spans="3:14" x14ac:dyDescent="0.3">
      <c r="C8364" s="54"/>
      <c r="N8364" s="33"/>
    </row>
    <row r="8365" spans="3:14" x14ac:dyDescent="0.3">
      <c r="C8365" s="54"/>
      <c r="N8365" s="33"/>
    </row>
    <row r="8366" spans="3:14" x14ac:dyDescent="0.3">
      <c r="C8366" s="54"/>
      <c r="N8366" s="33"/>
    </row>
    <row r="8367" spans="3:14" x14ac:dyDescent="0.3">
      <c r="C8367" s="54"/>
      <c r="N8367" s="33"/>
    </row>
    <row r="8368" spans="3:14" x14ac:dyDescent="0.3">
      <c r="C8368" s="54"/>
      <c r="N8368" s="33"/>
    </row>
    <row r="8369" spans="3:14" x14ac:dyDescent="0.3">
      <c r="C8369" s="54"/>
      <c r="N8369" s="33"/>
    </row>
    <row r="8370" spans="3:14" x14ac:dyDescent="0.3">
      <c r="C8370" s="54"/>
      <c r="N8370" s="33"/>
    </row>
    <row r="8371" spans="3:14" x14ac:dyDescent="0.3">
      <c r="C8371" s="54"/>
      <c r="N8371" s="33"/>
    </row>
    <row r="8372" spans="3:14" x14ac:dyDescent="0.3">
      <c r="C8372" s="54"/>
      <c r="N8372" s="33"/>
    </row>
    <row r="8373" spans="3:14" x14ac:dyDescent="0.3">
      <c r="C8373" s="54"/>
      <c r="N8373" s="33"/>
    </row>
    <row r="8374" spans="3:14" x14ac:dyDescent="0.3">
      <c r="C8374" s="54"/>
      <c r="N8374" s="33"/>
    </row>
    <row r="8375" spans="3:14" x14ac:dyDescent="0.3">
      <c r="C8375" s="54"/>
      <c r="N8375" s="33"/>
    </row>
    <row r="8376" spans="3:14" x14ac:dyDescent="0.3">
      <c r="C8376" s="54"/>
      <c r="N8376" s="33"/>
    </row>
    <row r="8377" spans="3:14" x14ac:dyDescent="0.3">
      <c r="C8377" s="54"/>
      <c r="N8377" s="33"/>
    </row>
    <row r="8378" spans="3:14" x14ac:dyDescent="0.3">
      <c r="C8378" s="54"/>
      <c r="N8378" s="33"/>
    </row>
    <row r="8379" spans="3:14" x14ac:dyDescent="0.3">
      <c r="C8379" s="54"/>
      <c r="N8379" s="33"/>
    </row>
    <row r="8380" spans="3:14" x14ac:dyDescent="0.3">
      <c r="C8380" s="54"/>
      <c r="N8380" s="33"/>
    </row>
    <row r="8381" spans="3:14" x14ac:dyDescent="0.3">
      <c r="C8381" s="54"/>
      <c r="N8381" s="33"/>
    </row>
    <row r="8382" spans="3:14" x14ac:dyDescent="0.3">
      <c r="C8382" s="54"/>
      <c r="N8382" s="33"/>
    </row>
    <row r="8383" spans="3:14" x14ac:dyDescent="0.3">
      <c r="C8383" s="54"/>
      <c r="N8383" s="33"/>
    </row>
    <row r="8384" spans="3:14" x14ac:dyDescent="0.3">
      <c r="C8384" s="54"/>
      <c r="N8384" s="33"/>
    </row>
    <row r="8385" spans="3:14" x14ac:dyDescent="0.3">
      <c r="C8385" s="54"/>
      <c r="N8385" s="33"/>
    </row>
    <row r="8386" spans="3:14" x14ac:dyDescent="0.3">
      <c r="C8386" s="54"/>
      <c r="N8386" s="33"/>
    </row>
    <row r="8387" spans="3:14" x14ac:dyDescent="0.3">
      <c r="C8387" s="54"/>
      <c r="N8387" s="33"/>
    </row>
    <row r="8388" spans="3:14" x14ac:dyDescent="0.3">
      <c r="C8388" s="54"/>
      <c r="N8388" s="33"/>
    </row>
    <row r="8389" spans="3:14" x14ac:dyDescent="0.3">
      <c r="C8389" s="54"/>
      <c r="N8389" s="33"/>
    </row>
    <row r="8390" spans="3:14" x14ac:dyDescent="0.3">
      <c r="C8390" s="54"/>
      <c r="N8390" s="33"/>
    </row>
    <row r="8391" spans="3:14" x14ac:dyDescent="0.3">
      <c r="C8391" s="54"/>
      <c r="N8391" s="33"/>
    </row>
    <row r="8392" spans="3:14" x14ac:dyDescent="0.3">
      <c r="C8392" s="54"/>
      <c r="N8392" s="33"/>
    </row>
    <row r="8393" spans="3:14" x14ac:dyDescent="0.3">
      <c r="C8393" s="54"/>
      <c r="N8393" s="33"/>
    </row>
    <row r="8394" spans="3:14" x14ac:dyDescent="0.3">
      <c r="C8394" s="54"/>
      <c r="N8394" s="33"/>
    </row>
    <row r="8395" spans="3:14" x14ac:dyDescent="0.3">
      <c r="C8395" s="54"/>
      <c r="N8395" s="33"/>
    </row>
    <row r="8396" spans="3:14" x14ac:dyDescent="0.3">
      <c r="C8396" s="54"/>
      <c r="N8396" s="33"/>
    </row>
    <row r="8397" spans="3:14" x14ac:dyDescent="0.3">
      <c r="C8397" s="54"/>
      <c r="N8397" s="33"/>
    </row>
    <row r="8398" spans="3:14" x14ac:dyDescent="0.3">
      <c r="C8398" s="54"/>
      <c r="N8398" s="33"/>
    </row>
    <row r="8399" spans="3:14" x14ac:dyDescent="0.3">
      <c r="C8399" s="54"/>
      <c r="N8399" s="33"/>
    </row>
    <row r="8400" spans="3:14" x14ac:dyDescent="0.3">
      <c r="C8400" s="54"/>
      <c r="N8400" s="33"/>
    </row>
    <row r="8401" spans="3:14" x14ac:dyDescent="0.3">
      <c r="C8401" s="54"/>
      <c r="N8401" s="33"/>
    </row>
    <row r="8402" spans="3:14" x14ac:dyDescent="0.3">
      <c r="C8402" s="54"/>
      <c r="N8402" s="33"/>
    </row>
    <row r="8403" spans="3:14" x14ac:dyDescent="0.3">
      <c r="C8403" s="54"/>
      <c r="N8403" s="33"/>
    </row>
    <row r="8404" spans="3:14" x14ac:dyDescent="0.3">
      <c r="C8404" s="54"/>
      <c r="N8404" s="33"/>
    </row>
    <row r="8405" spans="3:14" x14ac:dyDescent="0.3">
      <c r="C8405" s="54"/>
      <c r="N8405" s="33"/>
    </row>
    <row r="8406" spans="3:14" x14ac:dyDescent="0.3">
      <c r="C8406" s="54"/>
      <c r="N8406" s="33"/>
    </row>
    <row r="8407" spans="3:14" x14ac:dyDescent="0.3">
      <c r="C8407" s="54"/>
      <c r="N8407" s="33"/>
    </row>
    <row r="8408" spans="3:14" x14ac:dyDescent="0.3">
      <c r="C8408" s="54"/>
      <c r="N8408" s="33"/>
    </row>
    <row r="8409" spans="3:14" x14ac:dyDescent="0.3">
      <c r="C8409" s="54"/>
      <c r="N8409" s="33"/>
    </row>
    <row r="8410" spans="3:14" x14ac:dyDescent="0.3">
      <c r="C8410" s="54"/>
      <c r="N8410" s="33"/>
    </row>
    <row r="8411" spans="3:14" x14ac:dyDescent="0.3">
      <c r="C8411" s="54"/>
      <c r="N8411" s="33"/>
    </row>
    <row r="8412" spans="3:14" x14ac:dyDescent="0.3">
      <c r="C8412" s="54"/>
      <c r="N8412" s="33"/>
    </row>
    <row r="8413" spans="3:14" x14ac:dyDescent="0.3">
      <c r="C8413" s="54"/>
      <c r="N8413" s="33"/>
    </row>
    <row r="8414" spans="3:14" x14ac:dyDescent="0.3">
      <c r="C8414" s="54"/>
      <c r="N8414" s="33"/>
    </row>
    <row r="8415" spans="3:14" x14ac:dyDescent="0.3">
      <c r="C8415" s="54"/>
      <c r="N8415" s="33"/>
    </row>
    <row r="8416" spans="3:14" x14ac:dyDescent="0.3">
      <c r="C8416" s="54"/>
      <c r="N8416" s="33"/>
    </row>
    <row r="8417" spans="3:14" x14ac:dyDescent="0.3">
      <c r="C8417" s="54"/>
      <c r="N8417" s="33"/>
    </row>
    <row r="8418" spans="3:14" x14ac:dyDescent="0.3">
      <c r="C8418" s="54"/>
      <c r="N8418" s="33"/>
    </row>
    <row r="8419" spans="3:14" x14ac:dyDescent="0.3">
      <c r="C8419" s="54"/>
      <c r="N8419" s="33"/>
    </row>
    <row r="8420" spans="3:14" x14ac:dyDescent="0.3">
      <c r="C8420" s="54"/>
      <c r="N8420" s="33"/>
    </row>
    <row r="8421" spans="3:14" x14ac:dyDescent="0.3">
      <c r="C8421" s="54"/>
      <c r="N8421" s="33"/>
    </row>
    <row r="8422" spans="3:14" x14ac:dyDescent="0.3">
      <c r="C8422" s="54"/>
      <c r="N8422" s="33"/>
    </row>
    <row r="8423" spans="3:14" x14ac:dyDescent="0.3">
      <c r="C8423" s="54"/>
      <c r="N8423" s="33"/>
    </row>
    <row r="8424" spans="3:14" x14ac:dyDescent="0.3">
      <c r="C8424" s="54"/>
      <c r="N8424" s="33"/>
    </row>
    <row r="8425" spans="3:14" x14ac:dyDescent="0.3">
      <c r="C8425" s="54"/>
      <c r="N8425" s="33"/>
    </row>
    <row r="8426" spans="3:14" x14ac:dyDescent="0.3">
      <c r="C8426" s="54"/>
      <c r="N8426" s="33"/>
    </row>
    <row r="8427" spans="3:14" x14ac:dyDescent="0.3">
      <c r="C8427" s="54"/>
      <c r="N8427" s="33"/>
    </row>
    <row r="8428" spans="3:14" x14ac:dyDescent="0.3">
      <c r="C8428" s="54"/>
      <c r="N8428" s="33"/>
    </row>
    <row r="8429" spans="3:14" x14ac:dyDescent="0.3">
      <c r="C8429" s="54"/>
      <c r="N8429" s="33"/>
    </row>
    <row r="8430" spans="3:14" x14ac:dyDescent="0.3">
      <c r="C8430" s="54"/>
      <c r="N8430" s="33"/>
    </row>
    <row r="8431" spans="3:14" x14ac:dyDescent="0.3">
      <c r="C8431" s="54"/>
      <c r="N8431" s="33"/>
    </row>
    <row r="8432" spans="3:14" x14ac:dyDescent="0.3">
      <c r="C8432" s="54"/>
      <c r="N8432" s="33"/>
    </row>
    <row r="8433" spans="3:14" x14ac:dyDescent="0.3">
      <c r="C8433" s="54"/>
      <c r="N8433" s="33"/>
    </row>
    <row r="8434" spans="3:14" x14ac:dyDescent="0.3">
      <c r="C8434" s="54"/>
      <c r="N8434" s="33"/>
    </row>
    <row r="8435" spans="3:14" x14ac:dyDescent="0.3">
      <c r="C8435" s="54"/>
      <c r="N8435" s="33"/>
    </row>
    <row r="8436" spans="3:14" x14ac:dyDescent="0.3">
      <c r="C8436" s="54"/>
      <c r="N8436" s="33"/>
    </row>
    <row r="8437" spans="3:14" x14ac:dyDescent="0.3">
      <c r="C8437" s="54"/>
      <c r="N8437" s="33"/>
    </row>
    <row r="8438" spans="3:14" x14ac:dyDescent="0.3">
      <c r="C8438" s="54"/>
      <c r="N8438" s="33"/>
    </row>
    <row r="8439" spans="3:14" x14ac:dyDescent="0.3">
      <c r="C8439" s="54"/>
      <c r="N8439" s="33"/>
    </row>
    <row r="8440" spans="3:14" x14ac:dyDescent="0.3">
      <c r="C8440" s="54"/>
      <c r="N8440" s="33"/>
    </row>
    <row r="8441" spans="3:14" x14ac:dyDescent="0.3">
      <c r="C8441" s="54"/>
      <c r="N8441" s="33"/>
    </row>
    <row r="8442" spans="3:14" x14ac:dyDescent="0.3">
      <c r="C8442" s="54"/>
      <c r="N8442" s="33"/>
    </row>
    <row r="8443" spans="3:14" x14ac:dyDescent="0.3">
      <c r="C8443" s="54"/>
      <c r="N8443" s="33"/>
    </row>
    <row r="8444" spans="3:14" x14ac:dyDescent="0.3">
      <c r="C8444" s="54"/>
      <c r="N8444" s="33"/>
    </row>
    <row r="8445" spans="3:14" x14ac:dyDescent="0.3">
      <c r="C8445" s="54"/>
      <c r="N8445" s="33"/>
    </row>
    <row r="8446" spans="3:14" x14ac:dyDescent="0.3">
      <c r="C8446" s="54"/>
      <c r="N8446" s="33"/>
    </row>
    <row r="8447" spans="3:14" x14ac:dyDescent="0.3">
      <c r="C8447" s="54"/>
      <c r="N8447" s="33"/>
    </row>
    <row r="8448" spans="3:14" x14ac:dyDescent="0.3">
      <c r="C8448" s="54"/>
      <c r="N8448" s="33"/>
    </row>
    <row r="8449" spans="3:14" x14ac:dyDescent="0.3">
      <c r="C8449" s="54"/>
      <c r="N8449" s="33"/>
    </row>
    <row r="8450" spans="3:14" x14ac:dyDescent="0.3">
      <c r="C8450" s="54"/>
      <c r="N8450" s="33"/>
    </row>
    <row r="8451" spans="3:14" x14ac:dyDescent="0.3">
      <c r="C8451" s="54"/>
      <c r="N8451" s="33"/>
    </row>
    <row r="8452" spans="3:14" x14ac:dyDescent="0.3">
      <c r="C8452" s="54"/>
      <c r="N8452" s="33"/>
    </row>
    <row r="8453" spans="3:14" x14ac:dyDescent="0.3">
      <c r="C8453" s="54"/>
      <c r="N8453" s="33"/>
    </row>
    <row r="8454" spans="3:14" x14ac:dyDescent="0.3">
      <c r="C8454" s="54"/>
      <c r="N8454" s="33"/>
    </row>
    <row r="8455" spans="3:14" x14ac:dyDescent="0.3">
      <c r="C8455" s="54"/>
      <c r="N8455" s="33"/>
    </row>
    <row r="8456" spans="3:14" x14ac:dyDescent="0.3">
      <c r="C8456" s="54"/>
      <c r="N8456" s="33"/>
    </row>
    <row r="8457" spans="3:14" x14ac:dyDescent="0.3">
      <c r="C8457" s="54"/>
      <c r="N8457" s="33"/>
    </row>
    <row r="8458" spans="3:14" x14ac:dyDescent="0.3">
      <c r="C8458" s="54"/>
      <c r="N8458" s="33"/>
    </row>
    <row r="8459" spans="3:14" x14ac:dyDescent="0.3">
      <c r="C8459" s="54"/>
      <c r="N8459" s="33"/>
    </row>
    <row r="8460" spans="3:14" x14ac:dyDescent="0.3">
      <c r="C8460" s="54"/>
      <c r="N8460" s="33"/>
    </row>
    <row r="8461" spans="3:14" x14ac:dyDescent="0.3">
      <c r="C8461" s="54"/>
      <c r="N8461" s="33"/>
    </row>
    <row r="8462" spans="3:14" x14ac:dyDescent="0.3">
      <c r="C8462" s="54"/>
      <c r="N8462" s="33"/>
    </row>
    <row r="8463" spans="3:14" x14ac:dyDescent="0.3">
      <c r="C8463" s="54"/>
      <c r="N8463" s="33"/>
    </row>
    <row r="8464" spans="3:14" x14ac:dyDescent="0.3">
      <c r="C8464" s="54"/>
      <c r="N8464" s="33"/>
    </row>
    <row r="8465" spans="3:14" x14ac:dyDescent="0.3">
      <c r="C8465" s="54"/>
      <c r="N8465" s="33"/>
    </row>
    <row r="8466" spans="3:14" x14ac:dyDescent="0.3">
      <c r="C8466" s="54"/>
      <c r="N8466" s="33"/>
    </row>
    <row r="8467" spans="3:14" x14ac:dyDescent="0.3">
      <c r="C8467" s="54"/>
      <c r="N8467" s="33"/>
    </row>
    <row r="8468" spans="3:14" x14ac:dyDescent="0.3">
      <c r="C8468" s="54"/>
      <c r="N8468" s="33"/>
    </row>
    <row r="8469" spans="3:14" x14ac:dyDescent="0.3">
      <c r="C8469" s="54"/>
      <c r="N8469" s="33"/>
    </row>
    <row r="8470" spans="3:14" x14ac:dyDescent="0.3">
      <c r="C8470" s="54"/>
      <c r="N8470" s="33"/>
    </row>
    <row r="8471" spans="3:14" x14ac:dyDescent="0.3">
      <c r="C8471" s="54"/>
      <c r="N8471" s="33"/>
    </row>
    <row r="8472" spans="3:14" x14ac:dyDescent="0.3">
      <c r="C8472" s="54"/>
      <c r="N8472" s="33"/>
    </row>
    <row r="8473" spans="3:14" x14ac:dyDescent="0.3">
      <c r="C8473" s="54"/>
      <c r="N8473" s="33"/>
    </row>
    <row r="8474" spans="3:14" x14ac:dyDescent="0.3">
      <c r="C8474" s="54"/>
      <c r="N8474" s="33"/>
    </row>
    <row r="8475" spans="3:14" x14ac:dyDescent="0.3">
      <c r="C8475" s="54"/>
      <c r="N8475" s="33"/>
    </row>
    <row r="8476" spans="3:14" x14ac:dyDescent="0.3">
      <c r="C8476" s="54"/>
      <c r="N8476" s="33"/>
    </row>
    <row r="8477" spans="3:14" x14ac:dyDescent="0.3">
      <c r="C8477" s="54"/>
      <c r="N8477" s="33"/>
    </row>
    <row r="8478" spans="3:14" x14ac:dyDescent="0.3">
      <c r="C8478" s="54"/>
      <c r="N8478" s="33"/>
    </row>
    <row r="8479" spans="3:14" x14ac:dyDescent="0.3">
      <c r="C8479" s="54"/>
      <c r="N8479" s="33"/>
    </row>
    <row r="8480" spans="3:14" x14ac:dyDescent="0.3">
      <c r="C8480" s="54"/>
      <c r="N8480" s="33"/>
    </row>
    <row r="8481" spans="3:14" x14ac:dyDescent="0.3">
      <c r="C8481" s="54"/>
      <c r="N8481" s="33"/>
    </row>
    <row r="8482" spans="3:14" x14ac:dyDescent="0.3">
      <c r="C8482" s="54"/>
      <c r="N8482" s="33"/>
    </row>
    <row r="8483" spans="3:14" x14ac:dyDescent="0.3">
      <c r="C8483" s="54"/>
      <c r="N8483" s="33"/>
    </row>
    <row r="8484" spans="3:14" x14ac:dyDescent="0.3">
      <c r="C8484" s="54"/>
      <c r="N8484" s="33"/>
    </row>
    <row r="8485" spans="3:14" x14ac:dyDescent="0.3">
      <c r="C8485" s="54"/>
      <c r="N8485" s="33"/>
    </row>
    <row r="8486" spans="3:14" x14ac:dyDescent="0.3">
      <c r="C8486" s="54"/>
      <c r="N8486" s="33"/>
    </row>
    <row r="8487" spans="3:14" x14ac:dyDescent="0.3">
      <c r="C8487" s="54"/>
      <c r="N8487" s="33"/>
    </row>
    <row r="8488" spans="3:14" x14ac:dyDescent="0.3">
      <c r="C8488" s="54"/>
      <c r="N8488" s="33"/>
    </row>
    <row r="8489" spans="3:14" x14ac:dyDescent="0.3">
      <c r="C8489" s="54"/>
      <c r="N8489" s="33"/>
    </row>
    <row r="8490" spans="3:14" x14ac:dyDescent="0.3">
      <c r="C8490" s="54"/>
      <c r="N8490" s="33"/>
    </row>
    <row r="8491" spans="3:14" x14ac:dyDescent="0.3">
      <c r="C8491" s="54"/>
      <c r="N8491" s="33"/>
    </row>
    <row r="8492" spans="3:14" x14ac:dyDescent="0.3">
      <c r="C8492" s="54"/>
      <c r="N8492" s="33"/>
    </row>
    <row r="8493" spans="3:14" x14ac:dyDescent="0.3">
      <c r="C8493" s="54"/>
      <c r="N8493" s="33"/>
    </row>
    <row r="8494" spans="3:14" x14ac:dyDescent="0.3">
      <c r="C8494" s="54"/>
      <c r="N8494" s="33"/>
    </row>
    <row r="8495" spans="3:14" x14ac:dyDescent="0.3">
      <c r="C8495" s="54"/>
      <c r="N8495" s="33"/>
    </row>
    <row r="8496" spans="3:14" x14ac:dyDescent="0.3">
      <c r="C8496" s="54"/>
      <c r="N8496" s="33"/>
    </row>
    <row r="8497" spans="3:14" x14ac:dyDescent="0.3">
      <c r="C8497" s="54"/>
      <c r="N8497" s="33"/>
    </row>
    <row r="8498" spans="3:14" x14ac:dyDescent="0.3">
      <c r="C8498" s="54"/>
      <c r="N8498" s="33"/>
    </row>
    <row r="8499" spans="3:14" x14ac:dyDescent="0.3">
      <c r="C8499" s="54"/>
      <c r="N8499" s="33"/>
    </row>
    <row r="8500" spans="3:14" x14ac:dyDescent="0.3">
      <c r="C8500" s="54"/>
      <c r="N8500" s="33"/>
    </row>
    <row r="8501" spans="3:14" x14ac:dyDescent="0.3">
      <c r="C8501" s="54"/>
      <c r="N8501" s="33"/>
    </row>
    <row r="8502" spans="3:14" x14ac:dyDescent="0.3">
      <c r="C8502" s="54"/>
      <c r="N8502" s="33"/>
    </row>
    <row r="8503" spans="3:14" x14ac:dyDescent="0.3">
      <c r="C8503" s="54"/>
      <c r="N8503" s="33"/>
    </row>
    <row r="8504" spans="3:14" x14ac:dyDescent="0.3">
      <c r="C8504" s="54"/>
      <c r="N8504" s="33"/>
    </row>
    <row r="8505" spans="3:14" x14ac:dyDescent="0.3">
      <c r="C8505" s="54"/>
      <c r="N8505" s="33"/>
    </row>
    <row r="8506" spans="3:14" x14ac:dyDescent="0.3">
      <c r="C8506" s="54"/>
      <c r="N8506" s="33"/>
    </row>
    <row r="8507" spans="3:14" x14ac:dyDescent="0.3">
      <c r="C8507" s="54"/>
      <c r="N8507" s="33"/>
    </row>
    <row r="8508" spans="3:14" x14ac:dyDescent="0.3">
      <c r="C8508" s="54"/>
      <c r="N8508" s="33"/>
    </row>
    <row r="8509" spans="3:14" x14ac:dyDescent="0.3">
      <c r="C8509" s="54"/>
      <c r="N8509" s="33"/>
    </row>
    <row r="8510" spans="3:14" x14ac:dyDescent="0.3">
      <c r="C8510" s="54"/>
      <c r="N8510" s="33"/>
    </row>
    <row r="8511" spans="3:14" x14ac:dyDescent="0.3">
      <c r="C8511" s="54"/>
      <c r="N8511" s="33"/>
    </row>
    <row r="8512" spans="3:14" x14ac:dyDescent="0.3">
      <c r="C8512" s="54"/>
      <c r="N8512" s="33"/>
    </row>
    <row r="8513" spans="3:14" x14ac:dyDescent="0.3">
      <c r="C8513" s="54"/>
      <c r="N8513" s="33"/>
    </row>
    <row r="8514" spans="3:14" x14ac:dyDescent="0.3">
      <c r="C8514" s="54"/>
      <c r="N8514" s="33"/>
    </row>
    <row r="8515" spans="3:14" x14ac:dyDescent="0.3">
      <c r="C8515" s="54"/>
      <c r="N8515" s="33"/>
    </row>
    <row r="8516" spans="3:14" x14ac:dyDescent="0.3">
      <c r="C8516" s="54"/>
      <c r="N8516" s="33"/>
    </row>
    <row r="8517" spans="3:14" x14ac:dyDescent="0.3">
      <c r="C8517" s="54"/>
      <c r="N8517" s="33"/>
    </row>
    <row r="8518" spans="3:14" x14ac:dyDescent="0.3">
      <c r="C8518" s="54"/>
      <c r="N8518" s="33"/>
    </row>
    <row r="8519" spans="3:14" x14ac:dyDescent="0.3">
      <c r="C8519" s="54"/>
      <c r="N8519" s="33"/>
    </row>
    <row r="8520" spans="3:14" x14ac:dyDescent="0.3">
      <c r="C8520" s="54"/>
      <c r="N8520" s="33"/>
    </row>
    <row r="8521" spans="3:14" x14ac:dyDescent="0.3">
      <c r="C8521" s="54"/>
      <c r="N8521" s="33"/>
    </row>
    <row r="8522" spans="3:14" x14ac:dyDescent="0.3">
      <c r="C8522" s="54"/>
      <c r="N8522" s="33"/>
    </row>
    <row r="8523" spans="3:14" x14ac:dyDescent="0.3">
      <c r="C8523" s="54"/>
      <c r="N8523" s="33"/>
    </row>
    <row r="8524" spans="3:14" x14ac:dyDescent="0.3">
      <c r="C8524" s="54"/>
      <c r="N8524" s="33"/>
    </row>
    <row r="8525" spans="3:14" x14ac:dyDescent="0.3">
      <c r="C8525" s="54"/>
      <c r="N8525" s="33"/>
    </row>
    <row r="8526" spans="3:14" x14ac:dyDescent="0.3">
      <c r="C8526" s="54"/>
      <c r="N8526" s="33"/>
    </row>
    <row r="8527" spans="3:14" x14ac:dyDescent="0.3">
      <c r="C8527" s="54"/>
      <c r="N8527" s="33"/>
    </row>
    <row r="8528" spans="3:14" x14ac:dyDescent="0.3">
      <c r="C8528" s="54"/>
      <c r="N8528" s="33"/>
    </row>
    <row r="8529" spans="3:14" x14ac:dyDescent="0.3">
      <c r="C8529" s="54"/>
      <c r="N8529" s="33"/>
    </row>
    <row r="8530" spans="3:14" x14ac:dyDescent="0.3">
      <c r="C8530" s="54"/>
      <c r="N8530" s="33"/>
    </row>
    <row r="8531" spans="3:14" x14ac:dyDescent="0.3">
      <c r="C8531" s="54"/>
      <c r="N8531" s="33"/>
    </row>
    <row r="8532" spans="3:14" x14ac:dyDescent="0.3">
      <c r="C8532" s="54"/>
      <c r="N8532" s="33"/>
    </row>
    <row r="8533" spans="3:14" x14ac:dyDescent="0.3">
      <c r="C8533" s="54"/>
      <c r="N8533" s="33"/>
    </row>
    <row r="8534" spans="3:14" x14ac:dyDescent="0.3">
      <c r="C8534" s="54"/>
      <c r="N8534" s="33"/>
    </row>
    <row r="8535" spans="3:14" x14ac:dyDescent="0.3">
      <c r="C8535" s="54"/>
      <c r="N8535" s="33"/>
    </row>
    <row r="8536" spans="3:14" x14ac:dyDescent="0.3">
      <c r="C8536" s="54"/>
      <c r="N8536" s="33"/>
    </row>
    <row r="8537" spans="3:14" x14ac:dyDescent="0.3">
      <c r="C8537" s="54"/>
      <c r="N8537" s="33"/>
    </row>
    <row r="8538" spans="3:14" x14ac:dyDescent="0.3">
      <c r="C8538" s="54"/>
      <c r="N8538" s="33"/>
    </row>
    <row r="8539" spans="3:14" x14ac:dyDescent="0.3">
      <c r="C8539" s="54"/>
      <c r="N8539" s="33"/>
    </row>
    <row r="8540" spans="3:14" x14ac:dyDescent="0.3">
      <c r="C8540" s="54"/>
      <c r="N8540" s="33"/>
    </row>
    <row r="8541" spans="3:14" x14ac:dyDescent="0.3">
      <c r="C8541" s="54"/>
      <c r="N8541" s="33"/>
    </row>
    <row r="8542" spans="3:14" x14ac:dyDescent="0.3">
      <c r="C8542" s="54"/>
      <c r="N8542" s="33"/>
    </row>
    <row r="8543" spans="3:14" x14ac:dyDescent="0.3">
      <c r="C8543" s="54"/>
      <c r="N8543" s="33"/>
    </row>
    <row r="8544" spans="3:14" x14ac:dyDescent="0.3">
      <c r="C8544" s="54"/>
      <c r="N8544" s="33"/>
    </row>
    <row r="8545" spans="3:14" x14ac:dyDescent="0.3">
      <c r="C8545" s="54"/>
      <c r="N8545" s="33"/>
    </row>
    <row r="8546" spans="3:14" x14ac:dyDescent="0.3">
      <c r="C8546" s="54"/>
      <c r="N8546" s="33"/>
    </row>
    <row r="8547" spans="3:14" x14ac:dyDescent="0.3">
      <c r="C8547" s="54"/>
      <c r="N8547" s="33"/>
    </row>
    <row r="8548" spans="3:14" x14ac:dyDescent="0.3">
      <c r="C8548" s="54"/>
      <c r="N8548" s="33"/>
    </row>
    <row r="8549" spans="3:14" x14ac:dyDescent="0.3">
      <c r="C8549" s="54"/>
      <c r="N8549" s="33"/>
    </row>
    <row r="8550" spans="3:14" x14ac:dyDescent="0.3">
      <c r="C8550" s="54"/>
      <c r="N8550" s="33"/>
    </row>
    <row r="8551" spans="3:14" x14ac:dyDescent="0.3">
      <c r="C8551" s="54"/>
      <c r="N8551" s="33"/>
    </row>
    <row r="8552" spans="3:14" x14ac:dyDescent="0.3">
      <c r="C8552" s="54"/>
      <c r="N8552" s="33"/>
    </row>
    <row r="8553" spans="3:14" x14ac:dyDescent="0.3">
      <c r="C8553" s="54"/>
      <c r="N8553" s="33"/>
    </row>
    <row r="8554" spans="3:14" x14ac:dyDescent="0.3">
      <c r="C8554" s="54"/>
      <c r="N8554" s="33"/>
    </row>
    <row r="8555" spans="3:14" x14ac:dyDescent="0.3">
      <c r="C8555" s="54"/>
      <c r="N8555" s="33"/>
    </row>
    <row r="8556" spans="3:14" x14ac:dyDescent="0.3">
      <c r="C8556" s="54"/>
      <c r="N8556" s="33"/>
    </row>
    <row r="8557" spans="3:14" x14ac:dyDescent="0.3">
      <c r="C8557" s="54"/>
      <c r="N8557" s="33"/>
    </row>
    <row r="8558" spans="3:14" x14ac:dyDescent="0.3">
      <c r="C8558" s="54"/>
      <c r="N8558" s="33"/>
    </row>
    <row r="8559" spans="3:14" x14ac:dyDescent="0.3">
      <c r="C8559" s="54"/>
      <c r="N8559" s="33"/>
    </row>
    <row r="8560" spans="3:14" x14ac:dyDescent="0.3">
      <c r="C8560" s="54"/>
      <c r="N8560" s="33"/>
    </row>
    <row r="8561" spans="3:14" x14ac:dyDescent="0.3">
      <c r="C8561" s="54"/>
      <c r="N8561" s="33"/>
    </row>
    <row r="8562" spans="3:14" x14ac:dyDescent="0.3">
      <c r="C8562" s="54"/>
      <c r="N8562" s="33"/>
    </row>
    <row r="8563" spans="3:14" x14ac:dyDescent="0.3">
      <c r="C8563" s="54"/>
      <c r="N8563" s="33"/>
    </row>
    <row r="8564" spans="3:14" x14ac:dyDescent="0.3">
      <c r="C8564" s="54"/>
      <c r="N8564" s="33"/>
    </row>
    <row r="8565" spans="3:14" x14ac:dyDescent="0.3">
      <c r="C8565" s="54"/>
      <c r="N8565" s="33"/>
    </row>
    <row r="8566" spans="3:14" x14ac:dyDescent="0.3">
      <c r="C8566" s="54"/>
      <c r="N8566" s="33"/>
    </row>
    <row r="8567" spans="3:14" x14ac:dyDescent="0.3">
      <c r="C8567" s="54"/>
      <c r="N8567" s="33"/>
    </row>
    <row r="8568" spans="3:14" x14ac:dyDescent="0.3">
      <c r="C8568" s="54"/>
      <c r="N8568" s="33"/>
    </row>
    <row r="8569" spans="3:14" x14ac:dyDescent="0.3">
      <c r="C8569" s="54"/>
      <c r="N8569" s="33"/>
    </row>
    <row r="8570" spans="3:14" x14ac:dyDescent="0.3">
      <c r="C8570" s="54"/>
      <c r="N8570" s="33"/>
    </row>
    <row r="8571" spans="3:14" x14ac:dyDescent="0.3">
      <c r="C8571" s="54"/>
      <c r="N8571" s="33"/>
    </row>
    <row r="8572" spans="3:14" x14ac:dyDescent="0.3">
      <c r="C8572" s="54"/>
      <c r="N8572" s="33"/>
    </row>
    <row r="8573" spans="3:14" x14ac:dyDescent="0.3">
      <c r="C8573" s="54"/>
      <c r="N8573" s="33"/>
    </row>
    <row r="8574" spans="3:14" x14ac:dyDescent="0.3">
      <c r="C8574" s="54"/>
      <c r="N8574" s="33"/>
    </row>
    <row r="8575" spans="3:14" x14ac:dyDescent="0.3">
      <c r="C8575" s="54"/>
      <c r="N8575" s="33"/>
    </row>
    <row r="8576" spans="3:14" x14ac:dyDescent="0.3">
      <c r="C8576" s="54"/>
      <c r="N8576" s="33"/>
    </row>
    <row r="8577" spans="3:14" x14ac:dyDescent="0.3">
      <c r="C8577" s="54"/>
      <c r="N8577" s="33"/>
    </row>
    <row r="8578" spans="3:14" x14ac:dyDescent="0.3">
      <c r="C8578" s="54"/>
      <c r="N8578" s="33"/>
    </row>
    <row r="8579" spans="3:14" x14ac:dyDescent="0.3">
      <c r="C8579" s="54"/>
      <c r="N8579" s="33"/>
    </row>
    <row r="8580" spans="3:14" x14ac:dyDescent="0.3">
      <c r="C8580" s="54"/>
      <c r="N8580" s="33"/>
    </row>
    <row r="8581" spans="3:14" x14ac:dyDescent="0.3">
      <c r="C8581" s="54"/>
      <c r="N8581" s="33"/>
    </row>
    <row r="8582" spans="3:14" x14ac:dyDescent="0.3">
      <c r="C8582" s="54"/>
      <c r="N8582" s="33"/>
    </row>
    <row r="8583" spans="3:14" x14ac:dyDescent="0.3">
      <c r="C8583" s="54"/>
      <c r="N8583" s="33"/>
    </row>
    <row r="8584" spans="3:14" x14ac:dyDescent="0.3">
      <c r="C8584" s="54"/>
      <c r="N8584" s="33"/>
    </row>
    <row r="8585" spans="3:14" x14ac:dyDescent="0.3">
      <c r="C8585" s="54"/>
      <c r="N8585" s="33"/>
    </row>
    <row r="8586" spans="3:14" x14ac:dyDescent="0.3">
      <c r="C8586" s="54"/>
      <c r="N8586" s="33"/>
    </row>
    <row r="8587" spans="3:14" x14ac:dyDescent="0.3">
      <c r="C8587" s="54"/>
      <c r="N8587" s="33"/>
    </row>
    <row r="8588" spans="3:14" x14ac:dyDescent="0.3">
      <c r="C8588" s="54"/>
      <c r="N8588" s="33"/>
    </row>
    <row r="8589" spans="3:14" x14ac:dyDescent="0.3">
      <c r="C8589" s="54"/>
      <c r="N8589" s="33"/>
    </row>
    <row r="8590" spans="3:14" x14ac:dyDescent="0.3">
      <c r="C8590" s="54"/>
      <c r="N8590" s="33"/>
    </row>
    <row r="8591" spans="3:14" x14ac:dyDescent="0.3">
      <c r="C8591" s="54"/>
      <c r="N8591" s="33"/>
    </row>
    <row r="8592" spans="3:14" x14ac:dyDescent="0.3">
      <c r="C8592" s="54"/>
      <c r="N8592" s="33"/>
    </row>
    <row r="8593" spans="3:14" x14ac:dyDescent="0.3">
      <c r="C8593" s="54"/>
      <c r="N8593" s="33"/>
    </row>
    <row r="8594" spans="3:14" x14ac:dyDescent="0.3">
      <c r="C8594" s="54"/>
      <c r="N8594" s="33"/>
    </row>
    <row r="8595" spans="3:14" x14ac:dyDescent="0.3">
      <c r="C8595" s="54"/>
      <c r="N8595" s="33"/>
    </row>
    <row r="8596" spans="3:14" x14ac:dyDescent="0.3">
      <c r="C8596" s="54"/>
      <c r="N8596" s="33"/>
    </row>
    <row r="8597" spans="3:14" x14ac:dyDescent="0.3">
      <c r="C8597" s="54"/>
      <c r="N8597" s="33"/>
    </row>
    <row r="8598" spans="3:14" x14ac:dyDescent="0.3">
      <c r="C8598" s="54"/>
      <c r="N8598" s="33"/>
    </row>
    <row r="8599" spans="3:14" x14ac:dyDescent="0.3">
      <c r="C8599" s="54"/>
      <c r="N8599" s="33"/>
    </row>
    <row r="8600" spans="3:14" x14ac:dyDescent="0.3">
      <c r="C8600" s="54"/>
      <c r="N8600" s="33"/>
    </row>
    <row r="8601" spans="3:14" x14ac:dyDescent="0.3">
      <c r="C8601" s="54"/>
      <c r="N8601" s="33"/>
    </row>
    <row r="8602" spans="3:14" x14ac:dyDescent="0.3">
      <c r="C8602" s="54"/>
      <c r="N8602" s="33"/>
    </row>
    <row r="8603" spans="3:14" x14ac:dyDescent="0.3">
      <c r="C8603" s="54"/>
      <c r="N8603" s="33"/>
    </row>
    <row r="8604" spans="3:14" x14ac:dyDescent="0.3">
      <c r="C8604" s="54"/>
      <c r="N8604" s="33"/>
    </row>
    <row r="8605" spans="3:14" x14ac:dyDescent="0.3">
      <c r="C8605" s="54"/>
      <c r="N8605" s="33"/>
    </row>
    <row r="8606" spans="3:14" x14ac:dyDescent="0.3">
      <c r="C8606" s="54"/>
      <c r="N8606" s="33"/>
    </row>
    <row r="8607" spans="3:14" x14ac:dyDescent="0.3">
      <c r="C8607" s="54"/>
      <c r="N8607" s="33"/>
    </row>
    <row r="8608" spans="3:14" x14ac:dyDescent="0.3">
      <c r="C8608" s="54"/>
      <c r="N8608" s="33"/>
    </row>
    <row r="8609" spans="3:14" x14ac:dyDescent="0.3">
      <c r="C8609" s="54"/>
      <c r="N8609" s="33"/>
    </row>
    <row r="8610" spans="3:14" x14ac:dyDescent="0.3">
      <c r="C8610" s="54"/>
      <c r="N8610" s="33"/>
    </row>
    <row r="8611" spans="3:14" x14ac:dyDescent="0.3">
      <c r="C8611" s="54"/>
      <c r="N8611" s="33"/>
    </row>
    <row r="8612" spans="3:14" x14ac:dyDescent="0.3">
      <c r="C8612" s="54"/>
      <c r="N8612" s="33"/>
    </row>
    <row r="8613" spans="3:14" x14ac:dyDescent="0.3">
      <c r="C8613" s="54"/>
      <c r="N8613" s="33"/>
    </row>
    <row r="8614" spans="3:14" x14ac:dyDescent="0.3">
      <c r="C8614" s="54"/>
      <c r="N8614" s="33"/>
    </row>
    <row r="8615" spans="3:14" x14ac:dyDescent="0.3">
      <c r="C8615" s="54"/>
      <c r="N8615" s="33"/>
    </row>
    <row r="8616" spans="3:14" x14ac:dyDescent="0.3">
      <c r="C8616" s="54"/>
      <c r="N8616" s="33"/>
    </row>
    <row r="8617" spans="3:14" x14ac:dyDescent="0.3">
      <c r="C8617" s="54"/>
      <c r="N8617" s="33"/>
    </row>
    <row r="8618" spans="3:14" x14ac:dyDescent="0.3">
      <c r="C8618" s="54"/>
      <c r="N8618" s="33"/>
    </row>
    <row r="8619" spans="3:14" x14ac:dyDescent="0.3">
      <c r="C8619" s="54"/>
      <c r="N8619" s="33"/>
    </row>
    <row r="8620" spans="3:14" x14ac:dyDescent="0.3">
      <c r="C8620" s="54"/>
      <c r="N8620" s="33"/>
    </row>
    <row r="8621" spans="3:14" x14ac:dyDescent="0.3">
      <c r="C8621" s="54"/>
      <c r="N8621" s="33"/>
    </row>
    <row r="8622" spans="3:14" x14ac:dyDescent="0.3">
      <c r="C8622" s="54"/>
      <c r="N8622" s="33"/>
    </row>
    <row r="8623" spans="3:14" x14ac:dyDescent="0.3">
      <c r="C8623" s="54"/>
      <c r="N8623" s="33"/>
    </row>
    <row r="8624" spans="3:14" x14ac:dyDescent="0.3">
      <c r="C8624" s="54"/>
      <c r="N8624" s="33"/>
    </row>
    <row r="8625" spans="3:14" x14ac:dyDescent="0.3">
      <c r="C8625" s="54"/>
      <c r="N8625" s="33"/>
    </row>
    <row r="8626" spans="3:14" x14ac:dyDescent="0.3">
      <c r="C8626" s="54"/>
      <c r="N8626" s="33"/>
    </row>
    <row r="8627" spans="3:14" x14ac:dyDescent="0.3">
      <c r="C8627" s="54"/>
      <c r="N8627" s="33"/>
    </row>
    <row r="8628" spans="3:14" x14ac:dyDescent="0.3">
      <c r="C8628" s="54"/>
      <c r="N8628" s="33"/>
    </row>
    <row r="8629" spans="3:14" x14ac:dyDescent="0.3">
      <c r="C8629" s="54"/>
      <c r="N8629" s="33"/>
    </row>
    <row r="8630" spans="3:14" x14ac:dyDescent="0.3">
      <c r="C8630" s="54"/>
      <c r="N8630" s="33"/>
    </row>
    <row r="8631" spans="3:14" x14ac:dyDescent="0.3">
      <c r="C8631" s="54"/>
      <c r="N8631" s="33"/>
    </row>
    <row r="8632" spans="3:14" x14ac:dyDescent="0.3">
      <c r="C8632" s="54"/>
      <c r="N8632" s="33"/>
    </row>
    <row r="8633" spans="3:14" x14ac:dyDescent="0.3">
      <c r="C8633" s="54"/>
      <c r="N8633" s="33"/>
    </row>
    <row r="8634" spans="3:14" x14ac:dyDescent="0.3">
      <c r="C8634" s="54"/>
      <c r="N8634" s="33"/>
    </row>
    <row r="8635" spans="3:14" x14ac:dyDescent="0.3">
      <c r="C8635" s="54"/>
      <c r="N8635" s="33"/>
    </row>
    <row r="8636" spans="3:14" x14ac:dyDescent="0.3">
      <c r="C8636" s="54"/>
      <c r="N8636" s="33"/>
    </row>
    <row r="8637" spans="3:14" x14ac:dyDescent="0.3">
      <c r="C8637" s="54"/>
      <c r="N8637" s="33"/>
    </row>
    <row r="8638" spans="3:14" x14ac:dyDescent="0.3">
      <c r="C8638" s="54"/>
      <c r="N8638" s="33"/>
    </row>
    <row r="8639" spans="3:14" x14ac:dyDescent="0.3">
      <c r="C8639" s="54"/>
      <c r="N8639" s="33"/>
    </row>
    <row r="8640" spans="3:14" x14ac:dyDescent="0.3">
      <c r="C8640" s="54"/>
      <c r="N8640" s="33"/>
    </row>
    <row r="8641" spans="3:14" x14ac:dyDescent="0.3">
      <c r="C8641" s="54"/>
      <c r="N8641" s="33"/>
    </row>
    <row r="8642" spans="3:14" x14ac:dyDescent="0.3">
      <c r="C8642" s="54"/>
      <c r="N8642" s="33"/>
    </row>
    <row r="8643" spans="3:14" x14ac:dyDescent="0.3">
      <c r="C8643" s="54"/>
      <c r="N8643" s="33"/>
    </row>
    <row r="8644" spans="3:14" x14ac:dyDescent="0.3">
      <c r="C8644" s="54"/>
      <c r="N8644" s="33"/>
    </row>
    <row r="8645" spans="3:14" x14ac:dyDescent="0.3">
      <c r="C8645" s="54"/>
      <c r="N8645" s="33"/>
    </row>
    <row r="8646" spans="3:14" x14ac:dyDescent="0.3">
      <c r="C8646" s="54"/>
      <c r="N8646" s="33"/>
    </row>
    <row r="8647" spans="3:14" x14ac:dyDescent="0.3">
      <c r="C8647" s="54"/>
      <c r="N8647" s="33"/>
    </row>
    <row r="8648" spans="3:14" x14ac:dyDescent="0.3">
      <c r="C8648" s="54"/>
      <c r="N8648" s="33"/>
    </row>
    <row r="8649" spans="3:14" x14ac:dyDescent="0.3">
      <c r="C8649" s="54"/>
      <c r="N8649" s="33"/>
    </row>
    <row r="8650" spans="3:14" x14ac:dyDescent="0.3">
      <c r="C8650" s="54"/>
      <c r="N8650" s="33"/>
    </row>
    <row r="8651" spans="3:14" x14ac:dyDescent="0.3">
      <c r="C8651" s="54"/>
      <c r="N8651" s="33"/>
    </row>
    <row r="8652" spans="3:14" x14ac:dyDescent="0.3">
      <c r="C8652" s="54"/>
      <c r="N8652" s="33"/>
    </row>
    <row r="8653" spans="3:14" x14ac:dyDescent="0.3">
      <c r="C8653" s="54"/>
      <c r="N8653" s="33"/>
    </row>
    <row r="8654" spans="3:14" x14ac:dyDescent="0.3">
      <c r="C8654" s="54"/>
      <c r="N8654" s="33"/>
    </row>
    <row r="8655" spans="3:14" x14ac:dyDescent="0.3">
      <c r="C8655" s="54"/>
      <c r="N8655" s="33"/>
    </row>
    <row r="8656" spans="3:14" x14ac:dyDescent="0.3">
      <c r="C8656" s="54"/>
      <c r="N8656" s="33"/>
    </row>
    <row r="8657" spans="3:14" x14ac:dyDescent="0.3">
      <c r="C8657" s="54"/>
      <c r="N8657" s="33"/>
    </row>
    <row r="8658" spans="3:14" x14ac:dyDescent="0.3">
      <c r="C8658" s="54"/>
      <c r="N8658" s="33"/>
    </row>
    <row r="8659" spans="3:14" x14ac:dyDescent="0.3">
      <c r="C8659" s="54"/>
      <c r="N8659" s="33"/>
    </row>
    <row r="8660" spans="3:14" x14ac:dyDescent="0.3">
      <c r="C8660" s="54"/>
      <c r="N8660" s="33"/>
    </row>
    <row r="8661" spans="3:14" x14ac:dyDescent="0.3">
      <c r="C8661" s="54"/>
      <c r="N8661" s="33"/>
    </row>
    <row r="8662" spans="3:14" x14ac:dyDescent="0.3">
      <c r="C8662" s="54"/>
      <c r="N8662" s="33"/>
    </row>
    <row r="8663" spans="3:14" x14ac:dyDescent="0.3">
      <c r="C8663" s="54"/>
      <c r="N8663" s="33"/>
    </row>
    <row r="8664" spans="3:14" x14ac:dyDescent="0.3">
      <c r="C8664" s="54"/>
      <c r="N8664" s="33"/>
    </row>
    <row r="8665" spans="3:14" x14ac:dyDescent="0.3">
      <c r="C8665" s="54"/>
      <c r="N8665" s="33"/>
    </row>
    <row r="8666" spans="3:14" x14ac:dyDescent="0.3">
      <c r="C8666" s="54"/>
      <c r="N8666" s="33"/>
    </row>
    <row r="8667" spans="3:14" x14ac:dyDescent="0.3">
      <c r="C8667" s="54"/>
      <c r="N8667" s="33"/>
    </row>
    <row r="8668" spans="3:14" x14ac:dyDescent="0.3">
      <c r="C8668" s="54"/>
      <c r="N8668" s="33"/>
    </row>
    <row r="8669" spans="3:14" x14ac:dyDescent="0.3">
      <c r="C8669" s="54"/>
      <c r="N8669" s="33"/>
    </row>
    <row r="8670" spans="3:14" x14ac:dyDescent="0.3">
      <c r="C8670" s="54"/>
      <c r="N8670" s="33"/>
    </row>
    <row r="8671" spans="3:14" x14ac:dyDescent="0.3">
      <c r="C8671" s="54"/>
      <c r="N8671" s="33"/>
    </row>
    <row r="8672" spans="3:14" x14ac:dyDescent="0.3">
      <c r="C8672" s="54"/>
      <c r="N8672" s="33"/>
    </row>
    <row r="8673" spans="3:14" x14ac:dyDescent="0.3">
      <c r="C8673" s="54"/>
      <c r="N8673" s="33"/>
    </row>
    <row r="8674" spans="3:14" x14ac:dyDescent="0.3">
      <c r="C8674" s="54"/>
      <c r="N8674" s="33"/>
    </row>
    <row r="8675" spans="3:14" x14ac:dyDescent="0.3">
      <c r="C8675" s="54"/>
      <c r="N8675" s="33"/>
    </row>
    <row r="8676" spans="3:14" x14ac:dyDescent="0.3">
      <c r="C8676" s="54"/>
      <c r="N8676" s="33"/>
    </row>
    <row r="8677" spans="3:14" x14ac:dyDescent="0.3">
      <c r="C8677" s="54"/>
      <c r="N8677" s="33"/>
    </row>
    <row r="8678" spans="3:14" x14ac:dyDescent="0.3">
      <c r="C8678" s="54"/>
      <c r="N8678" s="33"/>
    </row>
    <row r="8679" spans="3:14" x14ac:dyDescent="0.3">
      <c r="C8679" s="54"/>
      <c r="N8679" s="33"/>
    </row>
    <row r="8680" spans="3:14" x14ac:dyDescent="0.3">
      <c r="C8680" s="54"/>
      <c r="N8680" s="33"/>
    </row>
    <row r="8681" spans="3:14" x14ac:dyDescent="0.3">
      <c r="C8681" s="54"/>
      <c r="N8681" s="33"/>
    </row>
    <row r="8682" spans="3:14" x14ac:dyDescent="0.3">
      <c r="C8682" s="54"/>
      <c r="N8682" s="33"/>
    </row>
    <row r="8683" spans="3:14" x14ac:dyDescent="0.3">
      <c r="C8683" s="54"/>
      <c r="N8683" s="33"/>
    </row>
    <row r="8684" spans="3:14" x14ac:dyDescent="0.3">
      <c r="C8684" s="54"/>
      <c r="N8684" s="33"/>
    </row>
    <row r="8685" spans="3:14" x14ac:dyDescent="0.3">
      <c r="C8685" s="54"/>
      <c r="N8685" s="33"/>
    </row>
    <row r="8686" spans="3:14" x14ac:dyDescent="0.3">
      <c r="C8686" s="54"/>
      <c r="N8686" s="33"/>
    </row>
    <row r="8687" spans="3:14" x14ac:dyDescent="0.3">
      <c r="C8687" s="54"/>
      <c r="N8687" s="33"/>
    </row>
    <row r="8688" spans="3:14" x14ac:dyDescent="0.3">
      <c r="C8688" s="54"/>
      <c r="N8688" s="33"/>
    </row>
    <row r="8689" spans="3:14" x14ac:dyDescent="0.3">
      <c r="C8689" s="54"/>
      <c r="N8689" s="33"/>
    </row>
    <row r="8690" spans="3:14" x14ac:dyDescent="0.3">
      <c r="C8690" s="54"/>
      <c r="N8690" s="33"/>
    </row>
    <row r="8691" spans="3:14" x14ac:dyDescent="0.3">
      <c r="C8691" s="54"/>
      <c r="N8691" s="33"/>
    </row>
    <row r="8692" spans="3:14" x14ac:dyDescent="0.3">
      <c r="C8692" s="54"/>
      <c r="N8692" s="33"/>
    </row>
    <row r="8693" spans="3:14" x14ac:dyDescent="0.3">
      <c r="C8693" s="54"/>
      <c r="N8693" s="33"/>
    </row>
    <row r="8694" spans="3:14" x14ac:dyDescent="0.3">
      <c r="C8694" s="54"/>
      <c r="N8694" s="33"/>
    </row>
    <row r="8695" spans="3:14" x14ac:dyDescent="0.3">
      <c r="C8695" s="54"/>
      <c r="N8695" s="33"/>
    </row>
    <row r="8696" spans="3:14" x14ac:dyDescent="0.3">
      <c r="C8696" s="54"/>
      <c r="N8696" s="33"/>
    </row>
    <row r="8697" spans="3:14" x14ac:dyDescent="0.3">
      <c r="C8697" s="54"/>
      <c r="N8697" s="33"/>
    </row>
    <row r="8698" spans="3:14" x14ac:dyDescent="0.3">
      <c r="C8698" s="54"/>
      <c r="N8698" s="33"/>
    </row>
    <row r="8699" spans="3:14" x14ac:dyDescent="0.3">
      <c r="C8699" s="54"/>
      <c r="N8699" s="33"/>
    </row>
    <row r="8700" spans="3:14" x14ac:dyDescent="0.3">
      <c r="C8700" s="54"/>
      <c r="N8700" s="33"/>
    </row>
    <row r="8701" spans="3:14" x14ac:dyDescent="0.3">
      <c r="C8701" s="54"/>
      <c r="N8701" s="33"/>
    </row>
    <row r="8702" spans="3:14" x14ac:dyDescent="0.3">
      <c r="C8702" s="54"/>
      <c r="N8702" s="33"/>
    </row>
    <row r="8703" spans="3:14" x14ac:dyDescent="0.3">
      <c r="C8703" s="54"/>
      <c r="N8703" s="33"/>
    </row>
    <row r="8704" spans="3:14" x14ac:dyDescent="0.3">
      <c r="C8704" s="54"/>
      <c r="N8704" s="33"/>
    </row>
    <row r="8705" spans="3:14" x14ac:dyDescent="0.3">
      <c r="C8705" s="54"/>
      <c r="N8705" s="33"/>
    </row>
    <row r="8706" spans="3:14" x14ac:dyDescent="0.3">
      <c r="C8706" s="54"/>
      <c r="N8706" s="33"/>
    </row>
    <row r="8707" spans="3:14" x14ac:dyDescent="0.3">
      <c r="C8707" s="54"/>
      <c r="N8707" s="33"/>
    </row>
    <row r="8708" spans="3:14" x14ac:dyDescent="0.3">
      <c r="C8708" s="54"/>
      <c r="N8708" s="33"/>
    </row>
    <row r="8709" spans="3:14" x14ac:dyDescent="0.3">
      <c r="C8709" s="54"/>
      <c r="N8709" s="33"/>
    </row>
    <row r="8710" spans="3:14" x14ac:dyDescent="0.3">
      <c r="C8710" s="54"/>
      <c r="N8710" s="33"/>
    </row>
    <row r="8711" spans="3:14" x14ac:dyDescent="0.3">
      <c r="C8711" s="54"/>
      <c r="N8711" s="33"/>
    </row>
    <row r="8712" spans="3:14" x14ac:dyDescent="0.3">
      <c r="C8712" s="54"/>
      <c r="N8712" s="33"/>
    </row>
    <row r="8713" spans="3:14" x14ac:dyDescent="0.3">
      <c r="C8713" s="54"/>
      <c r="N8713" s="33"/>
    </row>
    <row r="8714" spans="3:14" x14ac:dyDescent="0.3">
      <c r="C8714" s="54"/>
      <c r="N8714" s="33"/>
    </row>
    <row r="8715" spans="3:14" x14ac:dyDescent="0.3">
      <c r="C8715" s="54"/>
      <c r="N8715" s="33"/>
    </row>
    <row r="8716" spans="3:14" x14ac:dyDescent="0.3">
      <c r="C8716" s="54"/>
      <c r="N8716" s="33"/>
    </row>
    <row r="8717" spans="3:14" x14ac:dyDescent="0.3">
      <c r="C8717" s="54"/>
      <c r="N8717" s="33"/>
    </row>
    <row r="8718" spans="3:14" x14ac:dyDescent="0.3">
      <c r="C8718" s="54"/>
      <c r="N8718" s="33"/>
    </row>
    <row r="8719" spans="3:14" x14ac:dyDescent="0.3">
      <c r="C8719" s="54"/>
      <c r="N8719" s="33"/>
    </row>
    <row r="8720" spans="3:14" x14ac:dyDescent="0.3">
      <c r="C8720" s="54"/>
      <c r="N8720" s="33"/>
    </row>
    <row r="8721" spans="3:14" x14ac:dyDescent="0.3">
      <c r="C8721" s="54"/>
      <c r="N8721" s="33"/>
    </row>
    <row r="8722" spans="3:14" x14ac:dyDescent="0.3">
      <c r="C8722" s="54"/>
      <c r="N8722" s="33"/>
    </row>
    <row r="8723" spans="3:14" x14ac:dyDescent="0.3">
      <c r="C8723" s="54"/>
      <c r="N8723" s="33"/>
    </row>
    <row r="8724" spans="3:14" x14ac:dyDescent="0.3">
      <c r="C8724" s="54"/>
      <c r="N8724" s="33"/>
    </row>
    <row r="8725" spans="3:14" x14ac:dyDescent="0.3">
      <c r="C8725" s="54"/>
      <c r="N8725" s="33"/>
    </row>
    <row r="8726" spans="3:14" x14ac:dyDescent="0.3">
      <c r="C8726" s="54"/>
      <c r="N8726" s="33"/>
    </row>
    <row r="8727" spans="3:14" x14ac:dyDescent="0.3">
      <c r="C8727" s="54"/>
      <c r="N8727" s="33"/>
    </row>
    <row r="8728" spans="3:14" x14ac:dyDescent="0.3">
      <c r="C8728" s="54"/>
      <c r="N8728" s="33"/>
    </row>
    <row r="8729" spans="3:14" x14ac:dyDescent="0.3">
      <c r="C8729" s="54"/>
      <c r="N8729" s="33"/>
    </row>
    <row r="8730" spans="3:14" x14ac:dyDescent="0.3">
      <c r="C8730" s="54"/>
      <c r="N8730" s="33"/>
    </row>
    <row r="8731" spans="3:14" x14ac:dyDescent="0.3">
      <c r="C8731" s="54"/>
      <c r="N8731" s="33"/>
    </row>
    <row r="8732" spans="3:14" x14ac:dyDescent="0.3">
      <c r="C8732" s="54"/>
      <c r="N8732" s="33"/>
    </row>
    <row r="8733" spans="3:14" x14ac:dyDescent="0.3">
      <c r="C8733" s="54"/>
      <c r="N8733" s="33"/>
    </row>
    <row r="8734" spans="3:14" x14ac:dyDescent="0.3">
      <c r="C8734" s="54"/>
      <c r="N8734" s="33"/>
    </row>
    <row r="8735" spans="3:14" x14ac:dyDescent="0.3">
      <c r="C8735" s="54"/>
      <c r="N8735" s="33"/>
    </row>
    <row r="8736" spans="3:14" x14ac:dyDescent="0.3">
      <c r="C8736" s="54"/>
      <c r="N8736" s="33"/>
    </row>
    <row r="8737" spans="3:14" x14ac:dyDescent="0.3">
      <c r="C8737" s="54"/>
      <c r="N8737" s="33"/>
    </row>
    <row r="8738" spans="3:14" x14ac:dyDescent="0.3">
      <c r="C8738" s="54"/>
      <c r="N8738" s="33"/>
    </row>
    <row r="8739" spans="3:14" x14ac:dyDescent="0.3">
      <c r="C8739" s="54"/>
      <c r="N8739" s="33"/>
    </row>
    <row r="8740" spans="3:14" x14ac:dyDescent="0.3">
      <c r="C8740" s="54"/>
      <c r="N8740" s="33"/>
    </row>
    <row r="8741" spans="3:14" x14ac:dyDescent="0.3">
      <c r="C8741" s="54"/>
      <c r="N8741" s="33"/>
    </row>
    <row r="8742" spans="3:14" x14ac:dyDescent="0.3">
      <c r="C8742" s="54"/>
      <c r="N8742" s="33"/>
    </row>
    <row r="8743" spans="3:14" x14ac:dyDescent="0.3">
      <c r="C8743" s="54"/>
      <c r="N8743" s="33"/>
    </row>
    <row r="8744" spans="3:14" x14ac:dyDescent="0.3">
      <c r="C8744" s="54"/>
      <c r="N8744" s="33"/>
    </row>
    <row r="8745" spans="3:14" x14ac:dyDescent="0.3">
      <c r="C8745" s="54"/>
      <c r="N8745" s="33"/>
    </row>
    <row r="8746" spans="3:14" x14ac:dyDescent="0.3">
      <c r="C8746" s="54"/>
      <c r="N8746" s="33"/>
    </row>
    <row r="8747" spans="3:14" x14ac:dyDescent="0.3">
      <c r="C8747" s="54"/>
      <c r="N8747" s="33"/>
    </row>
    <row r="8748" spans="3:14" x14ac:dyDescent="0.3">
      <c r="C8748" s="54"/>
      <c r="N8748" s="33"/>
    </row>
    <row r="8749" spans="3:14" x14ac:dyDescent="0.3">
      <c r="C8749" s="54"/>
      <c r="N8749" s="33"/>
    </row>
    <row r="8750" spans="3:14" x14ac:dyDescent="0.3">
      <c r="C8750" s="54"/>
      <c r="N8750" s="33"/>
    </row>
    <row r="8751" spans="3:14" x14ac:dyDescent="0.3">
      <c r="C8751" s="54"/>
      <c r="N8751" s="33"/>
    </row>
    <row r="8752" spans="3:14" x14ac:dyDescent="0.3">
      <c r="C8752" s="54"/>
      <c r="N8752" s="33"/>
    </row>
    <row r="8753" spans="3:14" x14ac:dyDescent="0.3">
      <c r="C8753" s="54"/>
      <c r="N8753" s="33"/>
    </row>
    <row r="8754" spans="3:14" x14ac:dyDescent="0.3">
      <c r="C8754" s="54"/>
      <c r="N8754" s="33"/>
    </row>
    <row r="8755" spans="3:14" x14ac:dyDescent="0.3">
      <c r="C8755" s="54"/>
      <c r="N8755" s="33"/>
    </row>
    <row r="8756" spans="3:14" x14ac:dyDescent="0.3">
      <c r="C8756" s="54"/>
      <c r="N8756" s="33"/>
    </row>
    <row r="8757" spans="3:14" x14ac:dyDescent="0.3">
      <c r="C8757" s="54"/>
      <c r="N8757" s="33"/>
    </row>
    <row r="8758" spans="3:14" x14ac:dyDescent="0.3">
      <c r="C8758" s="54"/>
      <c r="N8758" s="33"/>
    </row>
    <row r="8759" spans="3:14" x14ac:dyDescent="0.3">
      <c r="C8759" s="54"/>
      <c r="N8759" s="33"/>
    </row>
    <row r="8760" spans="3:14" x14ac:dyDescent="0.3">
      <c r="C8760" s="54"/>
      <c r="N8760" s="33"/>
    </row>
    <row r="8761" spans="3:14" x14ac:dyDescent="0.3">
      <c r="C8761" s="54"/>
      <c r="N8761" s="33"/>
    </row>
    <row r="8762" spans="3:14" x14ac:dyDescent="0.3">
      <c r="C8762" s="54"/>
      <c r="N8762" s="33"/>
    </row>
    <row r="8763" spans="3:14" x14ac:dyDescent="0.3">
      <c r="C8763" s="54"/>
      <c r="N8763" s="33"/>
    </row>
    <row r="8764" spans="3:14" x14ac:dyDescent="0.3">
      <c r="C8764" s="54"/>
      <c r="N8764" s="33"/>
    </row>
    <row r="8765" spans="3:14" x14ac:dyDescent="0.3">
      <c r="C8765" s="54"/>
      <c r="N8765" s="33"/>
    </row>
    <row r="8766" spans="3:14" x14ac:dyDescent="0.3">
      <c r="C8766" s="54"/>
      <c r="N8766" s="33"/>
    </row>
    <row r="8767" spans="3:14" x14ac:dyDescent="0.3">
      <c r="C8767" s="54"/>
      <c r="N8767" s="33"/>
    </row>
    <row r="8768" spans="3:14" x14ac:dyDescent="0.3">
      <c r="C8768" s="54"/>
      <c r="N8768" s="33"/>
    </row>
    <row r="8769" spans="3:14" x14ac:dyDescent="0.3">
      <c r="C8769" s="54"/>
      <c r="N8769" s="33"/>
    </row>
    <row r="8770" spans="3:14" x14ac:dyDescent="0.3">
      <c r="C8770" s="54"/>
      <c r="N8770" s="33"/>
    </row>
    <row r="8771" spans="3:14" x14ac:dyDescent="0.3">
      <c r="C8771" s="54"/>
      <c r="N8771" s="33"/>
    </row>
    <row r="8772" spans="3:14" x14ac:dyDescent="0.3">
      <c r="C8772" s="54"/>
      <c r="N8772" s="33"/>
    </row>
    <row r="8773" spans="3:14" x14ac:dyDescent="0.3">
      <c r="C8773" s="54"/>
      <c r="N8773" s="33"/>
    </row>
    <row r="8774" spans="3:14" x14ac:dyDescent="0.3">
      <c r="C8774" s="54"/>
      <c r="N8774" s="33"/>
    </row>
    <row r="8775" spans="3:14" x14ac:dyDescent="0.3">
      <c r="C8775" s="54"/>
      <c r="N8775" s="33"/>
    </row>
    <row r="8776" spans="3:14" x14ac:dyDescent="0.3">
      <c r="C8776" s="54"/>
      <c r="N8776" s="33"/>
    </row>
    <row r="8777" spans="3:14" x14ac:dyDescent="0.3">
      <c r="C8777" s="54"/>
      <c r="N8777" s="33"/>
    </row>
    <row r="8778" spans="3:14" x14ac:dyDescent="0.3">
      <c r="C8778" s="54"/>
      <c r="N8778" s="33"/>
    </row>
    <row r="8779" spans="3:14" x14ac:dyDescent="0.3">
      <c r="C8779" s="54"/>
      <c r="N8779" s="33"/>
    </row>
    <row r="8780" spans="3:14" x14ac:dyDescent="0.3">
      <c r="C8780" s="54"/>
      <c r="N8780" s="33"/>
    </row>
    <row r="8781" spans="3:14" x14ac:dyDescent="0.3">
      <c r="C8781" s="54"/>
      <c r="N8781" s="33"/>
    </row>
    <row r="8782" spans="3:14" x14ac:dyDescent="0.3">
      <c r="C8782" s="54"/>
      <c r="N8782" s="33"/>
    </row>
    <row r="8783" spans="3:14" x14ac:dyDescent="0.3">
      <c r="C8783" s="54"/>
      <c r="N8783" s="33"/>
    </row>
    <row r="8784" spans="3:14" x14ac:dyDescent="0.3">
      <c r="C8784" s="54"/>
      <c r="N8784" s="33"/>
    </row>
    <row r="8785" spans="3:14" x14ac:dyDescent="0.3">
      <c r="C8785" s="54"/>
      <c r="N8785" s="33"/>
    </row>
    <row r="8786" spans="3:14" x14ac:dyDescent="0.3">
      <c r="C8786" s="54"/>
      <c r="N8786" s="33"/>
    </row>
    <row r="8787" spans="3:14" x14ac:dyDescent="0.3">
      <c r="C8787" s="54"/>
      <c r="N8787" s="33"/>
    </row>
    <row r="8788" spans="3:14" x14ac:dyDescent="0.3">
      <c r="C8788" s="54"/>
      <c r="N8788" s="33"/>
    </row>
    <row r="8789" spans="3:14" x14ac:dyDescent="0.3">
      <c r="C8789" s="54"/>
      <c r="N8789" s="33"/>
    </row>
    <row r="8790" spans="3:14" x14ac:dyDescent="0.3">
      <c r="C8790" s="54"/>
      <c r="N8790" s="33"/>
    </row>
    <row r="8791" spans="3:14" x14ac:dyDescent="0.3">
      <c r="C8791" s="54"/>
      <c r="N8791" s="33"/>
    </row>
    <row r="8792" spans="3:14" x14ac:dyDescent="0.3">
      <c r="C8792" s="54"/>
      <c r="N8792" s="33"/>
    </row>
    <row r="8793" spans="3:14" x14ac:dyDescent="0.3">
      <c r="C8793" s="54"/>
      <c r="N8793" s="33"/>
    </row>
    <row r="8794" spans="3:14" x14ac:dyDescent="0.3">
      <c r="C8794" s="54"/>
      <c r="N8794" s="33"/>
    </row>
    <row r="8795" spans="3:14" x14ac:dyDescent="0.3">
      <c r="C8795" s="54"/>
      <c r="N8795" s="33"/>
    </row>
    <row r="8796" spans="3:14" x14ac:dyDescent="0.3">
      <c r="C8796" s="54"/>
      <c r="N8796" s="33"/>
    </row>
    <row r="8797" spans="3:14" x14ac:dyDescent="0.3">
      <c r="C8797" s="54"/>
      <c r="N8797" s="33"/>
    </row>
    <row r="8798" spans="3:14" x14ac:dyDescent="0.3">
      <c r="C8798" s="54"/>
      <c r="N8798" s="33"/>
    </row>
    <row r="8799" spans="3:14" x14ac:dyDescent="0.3">
      <c r="C8799" s="54"/>
      <c r="N8799" s="33"/>
    </row>
    <row r="8800" spans="3:14" x14ac:dyDescent="0.3">
      <c r="C8800" s="54"/>
      <c r="N8800" s="33"/>
    </row>
    <row r="8801" spans="3:14" x14ac:dyDescent="0.3">
      <c r="C8801" s="54"/>
      <c r="N8801" s="33"/>
    </row>
    <row r="8802" spans="3:14" x14ac:dyDescent="0.3">
      <c r="C8802" s="54"/>
      <c r="N8802" s="33"/>
    </row>
    <row r="8803" spans="3:14" x14ac:dyDescent="0.3">
      <c r="C8803" s="54"/>
      <c r="N8803" s="33"/>
    </row>
    <row r="8804" spans="3:14" x14ac:dyDescent="0.3">
      <c r="C8804" s="54"/>
      <c r="N8804" s="33"/>
    </row>
    <row r="8805" spans="3:14" x14ac:dyDescent="0.3">
      <c r="C8805" s="54"/>
      <c r="N8805" s="33"/>
    </row>
    <row r="8806" spans="3:14" x14ac:dyDescent="0.3">
      <c r="C8806" s="54"/>
      <c r="N8806" s="33"/>
    </row>
    <row r="8807" spans="3:14" x14ac:dyDescent="0.3">
      <c r="C8807" s="54"/>
      <c r="N8807" s="33"/>
    </row>
    <row r="8808" spans="3:14" x14ac:dyDescent="0.3">
      <c r="C8808" s="54"/>
      <c r="N8808" s="33"/>
    </row>
    <row r="8809" spans="3:14" x14ac:dyDescent="0.3">
      <c r="C8809" s="54"/>
      <c r="N8809" s="33"/>
    </row>
    <row r="8810" spans="3:14" x14ac:dyDescent="0.3">
      <c r="C8810" s="54"/>
      <c r="N8810" s="33"/>
    </row>
    <row r="8811" spans="3:14" x14ac:dyDescent="0.3">
      <c r="C8811" s="54"/>
      <c r="N8811" s="33"/>
    </row>
    <row r="8812" spans="3:14" x14ac:dyDescent="0.3">
      <c r="C8812" s="54"/>
      <c r="N8812" s="33"/>
    </row>
    <row r="8813" spans="3:14" x14ac:dyDescent="0.3">
      <c r="C8813" s="54"/>
      <c r="N8813" s="33"/>
    </row>
    <row r="8814" spans="3:14" x14ac:dyDescent="0.3">
      <c r="C8814" s="54"/>
      <c r="N8814" s="33"/>
    </row>
    <row r="8815" spans="3:14" x14ac:dyDescent="0.3">
      <c r="C8815" s="54"/>
      <c r="N8815" s="33"/>
    </row>
    <row r="8816" spans="3:14" x14ac:dyDescent="0.3">
      <c r="C8816" s="54"/>
      <c r="N8816" s="33"/>
    </row>
    <row r="8817" spans="3:14" x14ac:dyDescent="0.3">
      <c r="C8817" s="54"/>
      <c r="N8817" s="33"/>
    </row>
    <row r="8818" spans="3:14" x14ac:dyDescent="0.3">
      <c r="C8818" s="54"/>
      <c r="N8818" s="33"/>
    </row>
    <row r="8819" spans="3:14" x14ac:dyDescent="0.3">
      <c r="C8819" s="54"/>
      <c r="N8819" s="33"/>
    </row>
    <row r="8820" spans="3:14" x14ac:dyDescent="0.3">
      <c r="C8820" s="54"/>
      <c r="N8820" s="33"/>
    </row>
    <row r="8821" spans="3:14" x14ac:dyDescent="0.3">
      <c r="C8821" s="54"/>
      <c r="N8821" s="33"/>
    </row>
    <row r="8822" spans="3:14" x14ac:dyDescent="0.3">
      <c r="C8822" s="54"/>
      <c r="N8822" s="33"/>
    </row>
    <row r="8823" spans="3:14" x14ac:dyDescent="0.3">
      <c r="C8823" s="54"/>
      <c r="N8823" s="33"/>
    </row>
    <row r="8824" spans="3:14" x14ac:dyDescent="0.3">
      <c r="C8824" s="54"/>
      <c r="N8824" s="33"/>
    </row>
    <row r="8825" spans="3:14" x14ac:dyDescent="0.3">
      <c r="C8825" s="54"/>
      <c r="N8825" s="33"/>
    </row>
    <row r="8826" spans="3:14" x14ac:dyDescent="0.3">
      <c r="C8826" s="54"/>
      <c r="N8826" s="33"/>
    </row>
    <row r="8827" spans="3:14" x14ac:dyDescent="0.3">
      <c r="C8827" s="54"/>
      <c r="N8827" s="33"/>
    </row>
    <row r="8828" spans="3:14" x14ac:dyDescent="0.3">
      <c r="C8828" s="54"/>
      <c r="N8828" s="33"/>
    </row>
    <row r="8829" spans="3:14" x14ac:dyDescent="0.3">
      <c r="C8829" s="54"/>
      <c r="N8829" s="33"/>
    </row>
    <row r="8830" spans="3:14" x14ac:dyDescent="0.3">
      <c r="C8830" s="54"/>
      <c r="N8830" s="33"/>
    </row>
    <row r="8831" spans="3:14" x14ac:dyDescent="0.3">
      <c r="C8831" s="54"/>
      <c r="N8831" s="33"/>
    </row>
    <row r="8832" spans="3:14" x14ac:dyDescent="0.3">
      <c r="C8832" s="54"/>
      <c r="N8832" s="33"/>
    </row>
    <row r="8833" spans="3:14" x14ac:dyDescent="0.3">
      <c r="C8833" s="54"/>
      <c r="N8833" s="33"/>
    </row>
    <row r="8834" spans="3:14" x14ac:dyDescent="0.3">
      <c r="C8834" s="54"/>
      <c r="N8834" s="33"/>
    </row>
    <row r="8835" spans="3:14" x14ac:dyDescent="0.3">
      <c r="C8835" s="54"/>
      <c r="N8835" s="33"/>
    </row>
    <row r="8836" spans="3:14" x14ac:dyDescent="0.3">
      <c r="C8836" s="54"/>
      <c r="N8836" s="33"/>
    </row>
    <row r="8837" spans="3:14" x14ac:dyDescent="0.3">
      <c r="C8837" s="54"/>
      <c r="N8837" s="33"/>
    </row>
    <row r="8838" spans="3:14" x14ac:dyDescent="0.3">
      <c r="C8838" s="54"/>
      <c r="N8838" s="33"/>
    </row>
    <row r="8839" spans="3:14" x14ac:dyDescent="0.3">
      <c r="C8839" s="54"/>
      <c r="N8839" s="33"/>
    </row>
    <row r="8840" spans="3:14" x14ac:dyDescent="0.3">
      <c r="C8840" s="54"/>
      <c r="N8840" s="33"/>
    </row>
    <row r="8841" spans="3:14" x14ac:dyDescent="0.3">
      <c r="C8841" s="54"/>
      <c r="N8841" s="33"/>
    </row>
    <row r="8842" spans="3:14" x14ac:dyDescent="0.3">
      <c r="C8842" s="54"/>
      <c r="N8842" s="33"/>
    </row>
    <row r="8843" spans="3:14" x14ac:dyDescent="0.3">
      <c r="C8843" s="54"/>
      <c r="N8843" s="33"/>
    </row>
    <row r="8844" spans="3:14" x14ac:dyDescent="0.3">
      <c r="C8844" s="54"/>
      <c r="N8844" s="33"/>
    </row>
    <row r="8845" spans="3:14" x14ac:dyDescent="0.3">
      <c r="C8845" s="54"/>
      <c r="N8845" s="33"/>
    </row>
    <row r="8846" spans="3:14" x14ac:dyDescent="0.3">
      <c r="C8846" s="54"/>
      <c r="N8846" s="33"/>
    </row>
    <row r="8847" spans="3:14" x14ac:dyDescent="0.3">
      <c r="C8847" s="54"/>
      <c r="N8847" s="33"/>
    </row>
    <row r="8848" spans="3:14" x14ac:dyDescent="0.3">
      <c r="C8848" s="54"/>
      <c r="N8848" s="33"/>
    </row>
    <row r="8849" spans="3:14" x14ac:dyDescent="0.3">
      <c r="C8849" s="54"/>
      <c r="N8849" s="33"/>
    </row>
    <row r="8850" spans="3:14" x14ac:dyDescent="0.3">
      <c r="C8850" s="54"/>
      <c r="N8850" s="33"/>
    </row>
    <row r="8851" spans="3:14" x14ac:dyDescent="0.3">
      <c r="C8851" s="54"/>
      <c r="N8851" s="33"/>
    </row>
    <row r="8852" spans="3:14" x14ac:dyDescent="0.3">
      <c r="C8852" s="54"/>
      <c r="N8852" s="33"/>
    </row>
    <row r="8853" spans="3:14" x14ac:dyDescent="0.3">
      <c r="C8853" s="54"/>
      <c r="N8853" s="33"/>
    </row>
    <row r="8854" spans="3:14" x14ac:dyDescent="0.3">
      <c r="C8854" s="54"/>
      <c r="N8854" s="33"/>
    </row>
    <row r="8855" spans="3:14" x14ac:dyDescent="0.3">
      <c r="C8855" s="54"/>
      <c r="N8855" s="33"/>
    </row>
    <row r="8856" spans="3:14" x14ac:dyDescent="0.3">
      <c r="C8856" s="54"/>
      <c r="N8856" s="33"/>
    </row>
    <row r="8857" spans="3:14" x14ac:dyDescent="0.3">
      <c r="C8857" s="54"/>
      <c r="N8857" s="33"/>
    </row>
    <row r="8858" spans="3:14" x14ac:dyDescent="0.3">
      <c r="C8858" s="54"/>
      <c r="N8858" s="33"/>
    </row>
    <row r="8859" spans="3:14" x14ac:dyDescent="0.3">
      <c r="C8859" s="54"/>
      <c r="N8859" s="33"/>
    </row>
    <row r="8860" spans="3:14" x14ac:dyDescent="0.3">
      <c r="C8860" s="54"/>
      <c r="N8860" s="33"/>
    </row>
    <row r="8861" spans="3:14" x14ac:dyDescent="0.3">
      <c r="C8861" s="54"/>
      <c r="N8861" s="33"/>
    </row>
    <row r="8862" spans="3:14" x14ac:dyDescent="0.3">
      <c r="C8862" s="54"/>
      <c r="N8862" s="33"/>
    </row>
    <row r="8863" spans="3:14" x14ac:dyDescent="0.3">
      <c r="C8863" s="54"/>
      <c r="N8863" s="33"/>
    </row>
    <row r="8864" spans="3:14" x14ac:dyDescent="0.3">
      <c r="C8864" s="54"/>
      <c r="N8864" s="33"/>
    </row>
    <row r="8865" spans="3:14" x14ac:dyDescent="0.3">
      <c r="C8865" s="54"/>
      <c r="N8865" s="33"/>
    </row>
    <row r="8866" spans="3:14" x14ac:dyDescent="0.3">
      <c r="C8866" s="54"/>
      <c r="N8866" s="33"/>
    </row>
    <row r="8867" spans="3:14" x14ac:dyDescent="0.3">
      <c r="C8867" s="54"/>
      <c r="N8867" s="33"/>
    </row>
    <row r="8868" spans="3:14" x14ac:dyDescent="0.3">
      <c r="C8868" s="54"/>
      <c r="N8868" s="33"/>
    </row>
    <row r="8869" spans="3:14" x14ac:dyDescent="0.3">
      <c r="C8869" s="54"/>
      <c r="N8869" s="33"/>
    </row>
    <row r="8870" spans="3:14" x14ac:dyDescent="0.3">
      <c r="C8870" s="54"/>
      <c r="N8870" s="33"/>
    </row>
    <row r="8871" spans="3:14" x14ac:dyDescent="0.3">
      <c r="C8871" s="54"/>
      <c r="N8871" s="33"/>
    </row>
    <row r="8872" spans="3:14" x14ac:dyDescent="0.3">
      <c r="C8872" s="54"/>
      <c r="N8872" s="33"/>
    </row>
    <row r="8873" spans="3:14" x14ac:dyDescent="0.3">
      <c r="C8873" s="54"/>
      <c r="N8873" s="33"/>
    </row>
    <row r="8874" spans="3:14" x14ac:dyDescent="0.3">
      <c r="C8874" s="54"/>
      <c r="N8874" s="33"/>
    </row>
    <row r="8875" spans="3:14" x14ac:dyDescent="0.3">
      <c r="C8875" s="54"/>
      <c r="N8875" s="33"/>
    </row>
    <row r="8876" spans="3:14" x14ac:dyDescent="0.3">
      <c r="C8876" s="54"/>
      <c r="N8876" s="33"/>
    </row>
    <row r="8877" spans="3:14" x14ac:dyDescent="0.3">
      <c r="C8877" s="54"/>
      <c r="N8877" s="33"/>
    </row>
    <row r="8878" spans="3:14" x14ac:dyDescent="0.3">
      <c r="C8878" s="54"/>
      <c r="N8878" s="33"/>
    </row>
    <row r="8879" spans="3:14" x14ac:dyDescent="0.3">
      <c r="C8879" s="54"/>
      <c r="N8879" s="33"/>
    </row>
    <row r="8880" spans="3:14" x14ac:dyDescent="0.3">
      <c r="C8880" s="54"/>
      <c r="N8880" s="33"/>
    </row>
    <row r="8881" spans="3:14" x14ac:dyDescent="0.3">
      <c r="C8881" s="54"/>
      <c r="N8881" s="33"/>
    </row>
    <row r="8882" spans="3:14" x14ac:dyDescent="0.3">
      <c r="C8882" s="54"/>
      <c r="N8882" s="33"/>
    </row>
    <row r="8883" spans="3:14" x14ac:dyDescent="0.3">
      <c r="C8883" s="54"/>
      <c r="N8883" s="33"/>
    </row>
    <row r="8884" spans="3:14" x14ac:dyDescent="0.3">
      <c r="C8884" s="54"/>
      <c r="N8884" s="33"/>
    </row>
    <row r="8885" spans="3:14" x14ac:dyDescent="0.3">
      <c r="C8885" s="54"/>
      <c r="N8885" s="33"/>
    </row>
    <row r="8886" spans="3:14" x14ac:dyDescent="0.3">
      <c r="C8886" s="54"/>
      <c r="N8886" s="33"/>
    </row>
    <row r="8887" spans="3:14" x14ac:dyDescent="0.3">
      <c r="C8887" s="54"/>
      <c r="N8887" s="33"/>
    </row>
    <row r="8888" spans="3:14" x14ac:dyDescent="0.3">
      <c r="C8888" s="54"/>
      <c r="N8888" s="33"/>
    </row>
    <row r="8889" spans="3:14" x14ac:dyDescent="0.3">
      <c r="C8889" s="54"/>
      <c r="N8889" s="33"/>
    </row>
    <row r="8890" spans="3:14" x14ac:dyDescent="0.3">
      <c r="C8890" s="54"/>
      <c r="N8890" s="33"/>
    </row>
    <row r="8891" spans="3:14" x14ac:dyDescent="0.3">
      <c r="C8891" s="54"/>
      <c r="N8891" s="33"/>
    </row>
    <row r="8892" spans="3:14" x14ac:dyDescent="0.3">
      <c r="C8892" s="54"/>
      <c r="N8892" s="33"/>
    </row>
    <row r="8893" spans="3:14" x14ac:dyDescent="0.3">
      <c r="C8893" s="54"/>
      <c r="N8893" s="33"/>
    </row>
    <row r="8894" spans="3:14" x14ac:dyDescent="0.3">
      <c r="C8894" s="54"/>
      <c r="N8894" s="33"/>
    </row>
    <row r="8895" spans="3:14" x14ac:dyDescent="0.3">
      <c r="C8895" s="54"/>
      <c r="N8895" s="33"/>
    </row>
    <row r="8896" spans="3:14" x14ac:dyDescent="0.3">
      <c r="C8896" s="54"/>
      <c r="N8896" s="33"/>
    </row>
    <row r="8897" spans="3:14" x14ac:dyDescent="0.3">
      <c r="C8897" s="54"/>
      <c r="N8897" s="33"/>
    </row>
    <row r="8898" spans="3:14" x14ac:dyDescent="0.3">
      <c r="C8898" s="54"/>
      <c r="N8898" s="33"/>
    </row>
    <row r="8899" spans="3:14" x14ac:dyDescent="0.3">
      <c r="C8899" s="54"/>
      <c r="N8899" s="33"/>
    </row>
    <row r="8900" spans="3:14" x14ac:dyDescent="0.3">
      <c r="C8900" s="54"/>
      <c r="N8900" s="33"/>
    </row>
    <row r="8901" spans="3:14" x14ac:dyDescent="0.3">
      <c r="C8901" s="54"/>
      <c r="N8901" s="33"/>
    </row>
    <row r="8902" spans="3:14" x14ac:dyDescent="0.3">
      <c r="C8902" s="54"/>
      <c r="N8902" s="33"/>
    </row>
    <row r="8903" spans="3:14" x14ac:dyDescent="0.3">
      <c r="C8903" s="54"/>
      <c r="N8903" s="33"/>
    </row>
    <row r="8904" spans="3:14" x14ac:dyDescent="0.3">
      <c r="C8904" s="54"/>
      <c r="N8904" s="33"/>
    </row>
    <row r="8905" spans="3:14" x14ac:dyDescent="0.3">
      <c r="C8905" s="54"/>
      <c r="N8905" s="33"/>
    </row>
    <row r="8906" spans="3:14" x14ac:dyDescent="0.3">
      <c r="C8906" s="54"/>
      <c r="N8906" s="33"/>
    </row>
    <row r="8907" spans="3:14" x14ac:dyDescent="0.3">
      <c r="C8907" s="54"/>
      <c r="N8907" s="33"/>
    </row>
    <row r="8908" spans="3:14" x14ac:dyDescent="0.3">
      <c r="C8908" s="54"/>
      <c r="N8908" s="33"/>
    </row>
    <row r="8909" spans="3:14" x14ac:dyDescent="0.3">
      <c r="C8909" s="54"/>
      <c r="N8909" s="33"/>
    </row>
    <row r="8910" spans="3:14" x14ac:dyDescent="0.3">
      <c r="C8910" s="54"/>
      <c r="N8910" s="33"/>
    </row>
    <row r="8911" spans="3:14" x14ac:dyDescent="0.3">
      <c r="C8911" s="54"/>
      <c r="N8911" s="33"/>
    </row>
    <row r="8912" spans="3:14" x14ac:dyDescent="0.3">
      <c r="C8912" s="54"/>
      <c r="N8912" s="33"/>
    </row>
    <row r="8913" spans="3:14" x14ac:dyDescent="0.3">
      <c r="C8913" s="54"/>
      <c r="N8913" s="33"/>
    </row>
    <row r="8914" spans="3:14" x14ac:dyDescent="0.3">
      <c r="C8914" s="54"/>
      <c r="N8914" s="33"/>
    </row>
    <row r="8915" spans="3:14" x14ac:dyDescent="0.3">
      <c r="C8915" s="54"/>
      <c r="N8915" s="33"/>
    </row>
    <row r="8916" spans="3:14" x14ac:dyDescent="0.3">
      <c r="C8916" s="54"/>
      <c r="N8916" s="33"/>
    </row>
    <row r="8917" spans="3:14" x14ac:dyDescent="0.3">
      <c r="C8917" s="54"/>
      <c r="N8917" s="33"/>
    </row>
    <row r="8918" spans="3:14" x14ac:dyDescent="0.3">
      <c r="C8918" s="54"/>
      <c r="N8918" s="33"/>
    </row>
    <row r="8919" spans="3:14" x14ac:dyDescent="0.3">
      <c r="C8919" s="54"/>
      <c r="N8919" s="33"/>
    </row>
    <row r="8920" spans="3:14" x14ac:dyDescent="0.3">
      <c r="C8920" s="54"/>
      <c r="N8920" s="33"/>
    </row>
    <row r="8921" spans="3:14" x14ac:dyDescent="0.3">
      <c r="C8921" s="54"/>
      <c r="N8921" s="33"/>
    </row>
    <row r="8922" spans="3:14" x14ac:dyDescent="0.3">
      <c r="C8922" s="54"/>
      <c r="N8922" s="33"/>
    </row>
    <row r="8923" spans="3:14" x14ac:dyDescent="0.3">
      <c r="C8923" s="54"/>
      <c r="N8923" s="33"/>
    </row>
    <row r="8924" spans="3:14" x14ac:dyDescent="0.3">
      <c r="C8924" s="54"/>
      <c r="N8924" s="33"/>
    </row>
    <row r="8925" spans="3:14" x14ac:dyDescent="0.3">
      <c r="C8925" s="54"/>
      <c r="N8925" s="33"/>
    </row>
    <row r="8926" spans="3:14" x14ac:dyDescent="0.3">
      <c r="C8926" s="54"/>
      <c r="N8926" s="33"/>
    </row>
    <row r="8927" spans="3:14" x14ac:dyDescent="0.3">
      <c r="C8927" s="54"/>
      <c r="N8927" s="33"/>
    </row>
    <row r="8928" spans="3:14" x14ac:dyDescent="0.3">
      <c r="C8928" s="54"/>
      <c r="N8928" s="33"/>
    </row>
    <row r="8929" spans="3:14" x14ac:dyDescent="0.3">
      <c r="C8929" s="54"/>
      <c r="N8929" s="33"/>
    </row>
    <row r="8930" spans="3:14" x14ac:dyDescent="0.3">
      <c r="C8930" s="54"/>
      <c r="N8930" s="33"/>
    </row>
    <row r="8931" spans="3:14" x14ac:dyDescent="0.3">
      <c r="C8931" s="54"/>
      <c r="N8931" s="33"/>
    </row>
    <row r="8932" spans="3:14" x14ac:dyDescent="0.3">
      <c r="C8932" s="54"/>
      <c r="N8932" s="33"/>
    </row>
    <row r="8933" spans="3:14" x14ac:dyDescent="0.3">
      <c r="C8933" s="54"/>
      <c r="N8933" s="33"/>
    </row>
    <row r="8934" spans="3:14" x14ac:dyDescent="0.3">
      <c r="C8934" s="54"/>
      <c r="N8934" s="33"/>
    </row>
    <row r="8935" spans="3:14" x14ac:dyDescent="0.3">
      <c r="C8935" s="54"/>
      <c r="N8935" s="33"/>
    </row>
    <row r="8936" spans="3:14" x14ac:dyDescent="0.3">
      <c r="C8936" s="54"/>
      <c r="N8936" s="33"/>
    </row>
    <row r="8937" spans="3:14" x14ac:dyDescent="0.3">
      <c r="C8937" s="54"/>
      <c r="N8937" s="33"/>
    </row>
    <row r="8938" spans="3:14" x14ac:dyDescent="0.3">
      <c r="C8938" s="54"/>
      <c r="N8938" s="33"/>
    </row>
    <row r="8939" spans="3:14" x14ac:dyDescent="0.3">
      <c r="C8939" s="54"/>
      <c r="N8939" s="33"/>
    </row>
    <row r="8940" spans="3:14" x14ac:dyDescent="0.3">
      <c r="C8940" s="54"/>
      <c r="N8940" s="33"/>
    </row>
    <row r="8941" spans="3:14" x14ac:dyDescent="0.3">
      <c r="C8941" s="54"/>
      <c r="N8941" s="33"/>
    </row>
    <row r="8942" spans="3:14" x14ac:dyDescent="0.3">
      <c r="C8942" s="54"/>
      <c r="N8942" s="33"/>
    </row>
    <row r="8943" spans="3:14" x14ac:dyDescent="0.3">
      <c r="C8943" s="54"/>
      <c r="N8943" s="33"/>
    </row>
    <row r="8944" spans="3:14" x14ac:dyDescent="0.3">
      <c r="C8944" s="54"/>
      <c r="N8944" s="33"/>
    </row>
    <row r="8945" spans="3:14" x14ac:dyDescent="0.3">
      <c r="C8945" s="54"/>
      <c r="N8945" s="33"/>
    </row>
    <row r="8946" spans="3:14" x14ac:dyDescent="0.3">
      <c r="C8946" s="54"/>
      <c r="N8946" s="33"/>
    </row>
    <row r="8947" spans="3:14" x14ac:dyDescent="0.3">
      <c r="C8947" s="54"/>
      <c r="N8947" s="33"/>
    </row>
    <row r="8948" spans="3:14" x14ac:dyDescent="0.3">
      <c r="C8948" s="54"/>
      <c r="N8948" s="33"/>
    </row>
    <row r="8949" spans="3:14" x14ac:dyDescent="0.3">
      <c r="C8949" s="54"/>
      <c r="N8949" s="33"/>
    </row>
    <row r="8950" spans="3:14" x14ac:dyDescent="0.3">
      <c r="C8950" s="54"/>
      <c r="N8950" s="33"/>
    </row>
    <row r="8951" spans="3:14" x14ac:dyDescent="0.3">
      <c r="C8951" s="54"/>
      <c r="N8951" s="33"/>
    </row>
    <row r="8952" spans="3:14" x14ac:dyDescent="0.3">
      <c r="C8952" s="54"/>
      <c r="N8952" s="33"/>
    </row>
    <row r="8953" spans="3:14" x14ac:dyDescent="0.3">
      <c r="C8953" s="54"/>
      <c r="N8953" s="33"/>
    </row>
    <row r="8954" spans="3:14" x14ac:dyDescent="0.3">
      <c r="C8954" s="54"/>
      <c r="N8954" s="33"/>
    </row>
    <row r="8955" spans="3:14" x14ac:dyDescent="0.3">
      <c r="C8955" s="54"/>
      <c r="N8955" s="33"/>
    </row>
    <row r="8956" spans="3:14" x14ac:dyDescent="0.3">
      <c r="C8956" s="54"/>
      <c r="N8956" s="33"/>
    </row>
    <row r="8957" spans="3:14" x14ac:dyDescent="0.3">
      <c r="C8957" s="54"/>
      <c r="N8957" s="33"/>
    </row>
    <row r="8958" spans="3:14" x14ac:dyDescent="0.3">
      <c r="C8958" s="54"/>
      <c r="N8958" s="33"/>
    </row>
    <row r="8959" spans="3:14" x14ac:dyDescent="0.3">
      <c r="C8959" s="54"/>
      <c r="N8959" s="33"/>
    </row>
    <row r="8960" spans="3:14" x14ac:dyDescent="0.3">
      <c r="C8960" s="54"/>
      <c r="N8960" s="33"/>
    </row>
    <row r="8961" spans="3:14" x14ac:dyDescent="0.3">
      <c r="C8961" s="54"/>
      <c r="N8961" s="33"/>
    </row>
    <row r="8962" spans="3:14" x14ac:dyDescent="0.3">
      <c r="C8962" s="54"/>
      <c r="N8962" s="33"/>
    </row>
    <row r="8963" spans="3:14" x14ac:dyDescent="0.3">
      <c r="C8963" s="54"/>
      <c r="N8963" s="33"/>
    </row>
    <row r="8964" spans="3:14" x14ac:dyDescent="0.3">
      <c r="C8964" s="54"/>
      <c r="N8964" s="33"/>
    </row>
    <row r="8965" spans="3:14" x14ac:dyDescent="0.3">
      <c r="C8965" s="54"/>
      <c r="N8965" s="33"/>
    </row>
    <row r="8966" spans="3:14" x14ac:dyDescent="0.3">
      <c r="C8966" s="54"/>
      <c r="N8966" s="33"/>
    </row>
    <row r="8967" spans="3:14" x14ac:dyDescent="0.3">
      <c r="C8967" s="54"/>
      <c r="N8967" s="33"/>
    </row>
    <row r="8968" spans="3:14" x14ac:dyDescent="0.3">
      <c r="C8968" s="54"/>
      <c r="N8968" s="33"/>
    </row>
    <row r="8969" spans="3:14" x14ac:dyDescent="0.3">
      <c r="C8969" s="54"/>
      <c r="N8969" s="33"/>
    </row>
    <row r="8970" spans="3:14" x14ac:dyDescent="0.3">
      <c r="C8970" s="54"/>
      <c r="N8970" s="33"/>
    </row>
    <row r="8971" spans="3:14" x14ac:dyDescent="0.3">
      <c r="C8971" s="54"/>
      <c r="N8971" s="33"/>
    </row>
    <row r="8972" spans="3:14" x14ac:dyDescent="0.3">
      <c r="C8972" s="54"/>
      <c r="N8972" s="33"/>
    </row>
    <row r="8973" spans="3:14" x14ac:dyDescent="0.3">
      <c r="C8973" s="54"/>
      <c r="N8973" s="33"/>
    </row>
    <row r="8974" spans="3:14" x14ac:dyDescent="0.3">
      <c r="C8974" s="54"/>
      <c r="N8974" s="33"/>
    </row>
    <row r="8975" spans="3:14" x14ac:dyDescent="0.3">
      <c r="C8975" s="54"/>
      <c r="N8975" s="33"/>
    </row>
    <row r="8976" spans="3:14" x14ac:dyDescent="0.3">
      <c r="C8976" s="54"/>
      <c r="N8976" s="33"/>
    </row>
    <row r="8977" spans="3:14" x14ac:dyDescent="0.3">
      <c r="C8977" s="54"/>
      <c r="N8977" s="33"/>
    </row>
    <row r="8978" spans="3:14" x14ac:dyDescent="0.3">
      <c r="C8978" s="54"/>
      <c r="N8978" s="33"/>
    </row>
    <row r="8979" spans="3:14" x14ac:dyDescent="0.3">
      <c r="C8979" s="54"/>
      <c r="N8979" s="33"/>
    </row>
    <row r="8980" spans="3:14" x14ac:dyDescent="0.3">
      <c r="C8980" s="54"/>
      <c r="N8980" s="33"/>
    </row>
    <row r="8981" spans="3:14" x14ac:dyDescent="0.3">
      <c r="C8981" s="54"/>
      <c r="N8981" s="33"/>
    </row>
    <row r="8982" spans="3:14" x14ac:dyDescent="0.3">
      <c r="C8982" s="54"/>
      <c r="N8982" s="33"/>
    </row>
    <row r="8983" spans="3:14" x14ac:dyDescent="0.3">
      <c r="C8983" s="54"/>
      <c r="N8983" s="33"/>
    </row>
    <row r="8984" spans="3:14" x14ac:dyDescent="0.3">
      <c r="C8984" s="54"/>
      <c r="N8984" s="33"/>
    </row>
    <row r="8985" spans="3:14" x14ac:dyDescent="0.3">
      <c r="C8985" s="54"/>
      <c r="N8985" s="33"/>
    </row>
    <row r="8986" spans="3:14" x14ac:dyDescent="0.3">
      <c r="C8986" s="54"/>
      <c r="N8986" s="33"/>
    </row>
    <row r="8987" spans="3:14" x14ac:dyDescent="0.3">
      <c r="C8987" s="54"/>
      <c r="N8987" s="33"/>
    </row>
    <row r="8988" spans="3:14" x14ac:dyDescent="0.3">
      <c r="C8988" s="54"/>
      <c r="N8988" s="33"/>
    </row>
    <row r="8989" spans="3:14" x14ac:dyDescent="0.3">
      <c r="C8989" s="54"/>
      <c r="N8989" s="33"/>
    </row>
    <row r="8990" spans="3:14" x14ac:dyDescent="0.3">
      <c r="C8990" s="54"/>
      <c r="N8990" s="33"/>
    </row>
    <row r="8991" spans="3:14" x14ac:dyDescent="0.3">
      <c r="C8991" s="54"/>
      <c r="N8991" s="33"/>
    </row>
    <row r="8992" spans="3:14" x14ac:dyDescent="0.3">
      <c r="C8992" s="54"/>
      <c r="N8992" s="33"/>
    </row>
    <row r="8993" spans="3:14" x14ac:dyDescent="0.3">
      <c r="C8993" s="54"/>
      <c r="N8993" s="33"/>
    </row>
    <row r="8994" spans="3:14" x14ac:dyDescent="0.3">
      <c r="C8994" s="54"/>
      <c r="N8994" s="33"/>
    </row>
    <row r="8995" spans="3:14" x14ac:dyDescent="0.3">
      <c r="C8995" s="54"/>
      <c r="N8995" s="33"/>
    </row>
    <row r="8996" spans="3:14" x14ac:dyDescent="0.3">
      <c r="C8996" s="54"/>
      <c r="N8996" s="33"/>
    </row>
    <row r="8997" spans="3:14" x14ac:dyDescent="0.3">
      <c r="C8997" s="54"/>
      <c r="N8997" s="33"/>
    </row>
    <row r="8998" spans="3:14" x14ac:dyDescent="0.3">
      <c r="C8998" s="54"/>
      <c r="N8998" s="33"/>
    </row>
    <row r="8999" spans="3:14" x14ac:dyDescent="0.3">
      <c r="C8999" s="54"/>
      <c r="N8999" s="33"/>
    </row>
    <row r="9000" spans="3:14" x14ac:dyDescent="0.3">
      <c r="C9000" s="54"/>
      <c r="N9000" s="33"/>
    </row>
    <row r="9001" spans="3:14" x14ac:dyDescent="0.3">
      <c r="C9001" s="54"/>
      <c r="N9001" s="33"/>
    </row>
    <row r="9002" spans="3:14" x14ac:dyDescent="0.3">
      <c r="C9002" s="54"/>
      <c r="N9002" s="33"/>
    </row>
    <row r="9003" spans="3:14" x14ac:dyDescent="0.3">
      <c r="C9003" s="54"/>
      <c r="N9003" s="33"/>
    </row>
    <row r="9004" spans="3:14" x14ac:dyDescent="0.3">
      <c r="C9004" s="54"/>
      <c r="N9004" s="33"/>
    </row>
    <row r="9005" spans="3:14" x14ac:dyDescent="0.3">
      <c r="C9005" s="54"/>
      <c r="N9005" s="33"/>
    </row>
    <row r="9006" spans="3:14" x14ac:dyDescent="0.3">
      <c r="C9006" s="54"/>
      <c r="N9006" s="33"/>
    </row>
    <row r="9007" spans="3:14" x14ac:dyDescent="0.3">
      <c r="C9007" s="54"/>
      <c r="N9007" s="33"/>
    </row>
    <row r="9008" spans="3:14" x14ac:dyDescent="0.3">
      <c r="C9008" s="54"/>
      <c r="N9008" s="33"/>
    </row>
    <row r="9009" spans="3:14" x14ac:dyDescent="0.3">
      <c r="C9009" s="54"/>
      <c r="N9009" s="33"/>
    </row>
    <row r="9010" spans="3:14" x14ac:dyDescent="0.3">
      <c r="C9010" s="54"/>
      <c r="N9010" s="33"/>
    </row>
    <row r="9011" spans="3:14" x14ac:dyDescent="0.3">
      <c r="C9011" s="54"/>
      <c r="N9011" s="33"/>
    </row>
    <row r="9012" spans="3:14" x14ac:dyDescent="0.3">
      <c r="C9012" s="54"/>
      <c r="N9012" s="33"/>
    </row>
    <row r="9013" spans="3:14" x14ac:dyDescent="0.3">
      <c r="C9013" s="54"/>
      <c r="N9013" s="33"/>
    </row>
    <row r="9014" spans="3:14" x14ac:dyDescent="0.3">
      <c r="C9014" s="54"/>
      <c r="N9014" s="33"/>
    </row>
    <row r="9015" spans="3:14" x14ac:dyDescent="0.3">
      <c r="C9015" s="54"/>
      <c r="N9015" s="33"/>
    </row>
    <row r="9016" spans="3:14" x14ac:dyDescent="0.3">
      <c r="C9016" s="54"/>
      <c r="N9016" s="33"/>
    </row>
    <row r="9017" spans="3:14" x14ac:dyDescent="0.3">
      <c r="C9017" s="54"/>
      <c r="N9017" s="33"/>
    </row>
    <row r="9018" spans="3:14" x14ac:dyDescent="0.3">
      <c r="C9018" s="54"/>
      <c r="N9018" s="33"/>
    </row>
    <row r="9019" spans="3:14" x14ac:dyDescent="0.3">
      <c r="C9019" s="54"/>
      <c r="N9019" s="33"/>
    </row>
    <row r="9020" spans="3:14" x14ac:dyDescent="0.3">
      <c r="C9020" s="54"/>
      <c r="N9020" s="33"/>
    </row>
    <row r="9021" spans="3:14" x14ac:dyDescent="0.3">
      <c r="C9021" s="54"/>
      <c r="N9021" s="33"/>
    </row>
    <row r="9022" spans="3:14" x14ac:dyDescent="0.3">
      <c r="C9022" s="54"/>
      <c r="N9022" s="33"/>
    </row>
    <row r="9023" spans="3:14" x14ac:dyDescent="0.3">
      <c r="C9023" s="54"/>
      <c r="N9023" s="33"/>
    </row>
    <row r="9024" spans="3:14" x14ac:dyDescent="0.3">
      <c r="C9024" s="54"/>
      <c r="N9024" s="33"/>
    </row>
    <row r="9025" spans="3:14" x14ac:dyDescent="0.3">
      <c r="C9025" s="54"/>
      <c r="N9025" s="33"/>
    </row>
    <row r="9026" spans="3:14" x14ac:dyDescent="0.3">
      <c r="C9026" s="54"/>
      <c r="N9026" s="33"/>
    </row>
    <row r="9027" spans="3:14" x14ac:dyDescent="0.3">
      <c r="C9027" s="54"/>
      <c r="N9027" s="33"/>
    </row>
    <row r="9028" spans="3:14" x14ac:dyDescent="0.3">
      <c r="C9028" s="54"/>
      <c r="N9028" s="33"/>
    </row>
    <row r="9029" spans="3:14" x14ac:dyDescent="0.3">
      <c r="C9029" s="54"/>
      <c r="N9029" s="33"/>
    </row>
    <row r="9030" spans="3:14" x14ac:dyDescent="0.3">
      <c r="C9030" s="54"/>
      <c r="N9030" s="33"/>
    </row>
    <row r="9031" spans="3:14" x14ac:dyDescent="0.3">
      <c r="C9031" s="54"/>
      <c r="N9031" s="33"/>
    </row>
    <row r="9032" spans="3:14" x14ac:dyDescent="0.3">
      <c r="C9032" s="54"/>
      <c r="N9032" s="33"/>
    </row>
    <row r="9033" spans="3:14" x14ac:dyDescent="0.3">
      <c r="C9033" s="54"/>
      <c r="N9033" s="33"/>
    </row>
    <row r="9034" spans="3:14" x14ac:dyDescent="0.3">
      <c r="C9034" s="54"/>
      <c r="N9034" s="33"/>
    </row>
    <row r="9035" spans="3:14" x14ac:dyDescent="0.3">
      <c r="C9035" s="54"/>
      <c r="N9035" s="33"/>
    </row>
    <row r="9036" spans="3:14" x14ac:dyDescent="0.3">
      <c r="C9036" s="54"/>
      <c r="N9036" s="33"/>
    </row>
    <row r="9037" spans="3:14" x14ac:dyDescent="0.3">
      <c r="C9037" s="54"/>
      <c r="N9037" s="33"/>
    </row>
    <row r="9038" spans="3:14" x14ac:dyDescent="0.3">
      <c r="C9038" s="54"/>
      <c r="N9038" s="33"/>
    </row>
    <row r="9039" spans="3:14" x14ac:dyDescent="0.3">
      <c r="C9039" s="54"/>
      <c r="N9039" s="33"/>
    </row>
    <row r="9040" spans="3:14" x14ac:dyDescent="0.3">
      <c r="C9040" s="54"/>
      <c r="N9040" s="33"/>
    </row>
    <row r="9041" spans="3:14" x14ac:dyDescent="0.3">
      <c r="C9041" s="54"/>
      <c r="N9041" s="33"/>
    </row>
    <row r="9042" spans="3:14" x14ac:dyDescent="0.3">
      <c r="C9042" s="54"/>
      <c r="N9042" s="33"/>
    </row>
    <row r="9043" spans="3:14" x14ac:dyDescent="0.3">
      <c r="C9043" s="54"/>
      <c r="N9043" s="33"/>
    </row>
    <row r="9044" spans="3:14" x14ac:dyDescent="0.3">
      <c r="C9044" s="54"/>
      <c r="N9044" s="33"/>
    </row>
    <row r="9045" spans="3:14" x14ac:dyDescent="0.3">
      <c r="C9045" s="54"/>
      <c r="N9045" s="33"/>
    </row>
    <row r="9046" spans="3:14" x14ac:dyDescent="0.3">
      <c r="C9046" s="54"/>
      <c r="N9046" s="33"/>
    </row>
    <row r="9047" spans="3:14" x14ac:dyDescent="0.3">
      <c r="C9047" s="54"/>
      <c r="N9047" s="33"/>
    </row>
    <row r="9048" spans="3:14" x14ac:dyDescent="0.3">
      <c r="C9048" s="54"/>
      <c r="N9048" s="33"/>
    </row>
    <row r="9049" spans="3:14" x14ac:dyDescent="0.3">
      <c r="C9049" s="54"/>
      <c r="N9049" s="33"/>
    </row>
    <row r="9050" spans="3:14" x14ac:dyDescent="0.3">
      <c r="C9050" s="54"/>
      <c r="N9050" s="33"/>
    </row>
    <row r="9051" spans="3:14" x14ac:dyDescent="0.3">
      <c r="C9051" s="54"/>
      <c r="N9051" s="33"/>
    </row>
    <row r="9052" spans="3:14" x14ac:dyDescent="0.3">
      <c r="C9052" s="54"/>
      <c r="N9052" s="33"/>
    </row>
    <row r="9053" spans="3:14" x14ac:dyDescent="0.3">
      <c r="C9053" s="54"/>
      <c r="N9053" s="33"/>
    </row>
    <row r="9054" spans="3:14" x14ac:dyDescent="0.3">
      <c r="C9054" s="54"/>
      <c r="N9054" s="33"/>
    </row>
    <row r="9055" spans="3:14" x14ac:dyDescent="0.3">
      <c r="C9055" s="54"/>
      <c r="N9055" s="33"/>
    </row>
    <row r="9056" spans="3:14" x14ac:dyDescent="0.3">
      <c r="C9056" s="54"/>
      <c r="N9056" s="33"/>
    </row>
    <row r="9057" spans="3:14" x14ac:dyDescent="0.3">
      <c r="C9057" s="54"/>
      <c r="N9057" s="33"/>
    </row>
    <row r="9058" spans="3:14" x14ac:dyDescent="0.3">
      <c r="C9058" s="54"/>
      <c r="N9058" s="33"/>
    </row>
    <row r="9059" spans="3:14" x14ac:dyDescent="0.3">
      <c r="C9059" s="54"/>
      <c r="N9059" s="33"/>
    </row>
    <row r="9060" spans="3:14" x14ac:dyDescent="0.3">
      <c r="C9060" s="54"/>
      <c r="N9060" s="33"/>
    </row>
    <row r="9061" spans="3:14" x14ac:dyDescent="0.3">
      <c r="C9061" s="54"/>
      <c r="N9061" s="33"/>
    </row>
    <row r="9062" spans="3:14" x14ac:dyDescent="0.3">
      <c r="C9062" s="54"/>
      <c r="N9062" s="33"/>
    </row>
    <row r="9063" spans="3:14" x14ac:dyDescent="0.3">
      <c r="C9063" s="54"/>
      <c r="N9063" s="33"/>
    </row>
    <row r="9064" spans="3:14" x14ac:dyDescent="0.3">
      <c r="C9064" s="54"/>
      <c r="N9064" s="33"/>
    </row>
    <row r="9065" spans="3:14" x14ac:dyDescent="0.3">
      <c r="C9065" s="54"/>
      <c r="N9065" s="33"/>
    </row>
    <row r="9066" spans="3:14" x14ac:dyDescent="0.3">
      <c r="C9066" s="54"/>
      <c r="N9066" s="33"/>
    </row>
    <row r="9067" spans="3:14" x14ac:dyDescent="0.3">
      <c r="C9067" s="54"/>
      <c r="N9067" s="33"/>
    </row>
    <row r="9068" spans="3:14" x14ac:dyDescent="0.3">
      <c r="C9068" s="54"/>
      <c r="N9068" s="33"/>
    </row>
    <row r="9069" spans="3:14" x14ac:dyDescent="0.3">
      <c r="C9069" s="54"/>
      <c r="N9069" s="33"/>
    </row>
    <row r="9070" spans="3:14" x14ac:dyDescent="0.3">
      <c r="C9070" s="54"/>
      <c r="N9070" s="33"/>
    </row>
    <row r="9071" spans="3:14" x14ac:dyDescent="0.3">
      <c r="C9071" s="54"/>
      <c r="N9071" s="33"/>
    </row>
    <row r="9072" spans="3:14" x14ac:dyDescent="0.3">
      <c r="C9072" s="54"/>
      <c r="N9072" s="33"/>
    </row>
    <row r="9073" spans="3:14" x14ac:dyDescent="0.3">
      <c r="C9073" s="54"/>
      <c r="N9073" s="33"/>
    </row>
    <row r="9074" spans="3:14" x14ac:dyDescent="0.3">
      <c r="C9074" s="54"/>
      <c r="N9074" s="33"/>
    </row>
    <row r="9075" spans="3:14" x14ac:dyDescent="0.3">
      <c r="C9075" s="54"/>
      <c r="N9075" s="33"/>
    </row>
    <row r="9076" spans="3:14" x14ac:dyDescent="0.3">
      <c r="C9076" s="54"/>
      <c r="N9076" s="33"/>
    </row>
    <row r="9077" spans="3:14" x14ac:dyDescent="0.3">
      <c r="C9077" s="54"/>
      <c r="N9077" s="33"/>
    </row>
    <row r="9078" spans="3:14" x14ac:dyDescent="0.3">
      <c r="C9078" s="54"/>
      <c r="N9078" s="33"/>
    </row>
    <row r="9079" spans="3:14" x14ac:dyDescent="0.3">
      <c r="C9079" s="54"/>
      <c r="N9079" s="33"/>
    </row>
    <row r="9080" spans="3:14" x14ac:dyDescent="0.3">
      <c r="C9080" s="54"/>
      <c r="N9080" s="33"/>
    </row>
    <row r="9081" spans="3:14" x14ac:dyDescent="0.3">
      <c r="C9081" s="54"/>
      <c r="N9081" s="33"/>
    </row>
    <row r="9082" spans="3:14" x14ac:dyDescent="0.3">
      <c r="C9082" s="54"/>
      <c r="N9082" s="33"/>
    </row>
    <row r="9083" spans="3:14" x14ac:dyDescent="0.3">
      <c r="C9083" s="54"/>
      <c r="N9083" s="33"/>
    </row>
    <row r="9084" spans="3:14" x14ac:dyDescent="0.3">
      <c r="C9084" s="54"/>
      <c r="N9084" s="33"/>
    </row>
    <row r="9085" spans="3:14" x14ac:dyDescent="0.3">
      <c r="C9085" s="54"/>
      <c r="N9085" s="33"/>
    </row>
    <row r="9086" spans="3:14" x14ac:dyDescent="0.3">
      <c r="C9086" s="54"/>
      <c r="N9086" s="33"/>
    </row>
    <row r="9087" spans="3:14" x14ac:dyDescent="0.3">
      <c r="C9087" s="54"/>
      <c r="N9087" s="33"/>
    </row>
    <row r="9088" spans="3:14" x14ac:dyDescent="0.3">
      <c r="C9088" s="54"/>
      <c r="N9088" s="33"/>
    </row>
    <row r="9089" spans="3:14" x14ac:dyDescent="0.3">
      <c r="C9089" s="54"/>
      <c r="N9089" s="33"/>
    </row>
    <row r="9090" spans="3:14" x14ac:dyDescent="0.3">
      <c r="C9090" s="54"/>
      <c r="N9090" s="33"/>
    </row>
    <row r="9091" spans="3:14" x14ac:dyDescent="0.3">
      <c r="C9091" s="54"/>
      <c r="N9091" s="33"/>
    </row>
    <row r="9092" spans="3:14" x14ac:dyDescent="0.3">
      <c r="C9092" s="54"/>
      <c r="N9092" s="33"/>
    </row>
    <row r="9093" spans="3:14" x14ac:dyDescent="0.3">
      <c r="C9093" s="54"/>
      <c r="N9093" s="33"/>
    </row>
    <row r="9094" spans="3:14" x14ac:dyDescent="0.3">
      <c r="C9094" s="54"/>
      <c r="N9094" s="33"/>
    </row>
    <row r="9095" spans="3:14" x14ac:dyDescent="0.3">
      <c r="C9095" s="54"/>
      <c r="N9095" s="33"/>
    </row>
    <row r="9096" spans="3:14" x14ac:dyDescent="0.3">
      <c r="C9096" s="54"/>
      <c r="N9096" s="33"/>
    </row>
    <row r="9097" spans="3:14" x14ac:dyDescent="0.3">
      <c r="C9097" s="54"/>
      <c r="N9097" s="33"/>
    </row>
    <row r="9098" spans="3:14" x14ac:dyDescent="0.3">
      <c r="C9098" s="54"/>
      <c r="N9098" s="33"/>
    </row>
    <row r="9099" spans="3:14" x14ac:dyDescent="0.3">
      <c r="C9099" s="54"/>
      <c r="N9099" s="33"/>
    </row>
    <row r="9100" spans="3:14" x14ac:dyDescent="0.3">
      <c r="C9100" s="54"/>
      <c r="N9100" s="33"/>
    </row>
    <row r="9101" spans="3:14" x14ac:dyDescent="0.3">
      <c r="C9101" s="54"/>
      <c r="N9101" s="33"/>
    </row>
    <row r="9102" spans="3:14" x14ac:dyDescent="0.3">
      <c r="C9102" s="54"/>
      <c r="N9102" s="33"/>
    </row>
    <row r="9103" spans="3:14" x14ac:dyDescent="0.3">
      <c r="C9103" s="54"/>
      <c r="N9103" s="33"/>
    </row>
    <row r="9104" spans="3:14" x14ac:dyDescent="0.3">
      <c r="C9104" s="54"/>
      <c r="N9104" s="33"/>
    </row>
    <row r="9105" spans="3:14" x14ac:dyDescent="0.3">
      <c r="C9105" s="54"/>
      <c r="N9105" s="33"/>
    </row>
    <row r="9106" spans="3:14" x14ac:dyDescent="0.3">
      <c r="C9106" s="54"/>
      <c r="N9106" s="33"/>
    </row>
    <row r="9107" spans="3:14" x14ac:dyDescent="0.3">
      <c r="C9107" s="54"/>
      <c r="N9107" s="33"/>
    </row>
    <row r="9108" spans="3:14" x14ac:dyDescent="0.3">
      <c r="C9108" s="54"/>
      <c r="N9108" s="33"/>
    </row>
    <row r="9109" spans="3:14" x14ac:dyDescent="0.3">
      <c r="C9109" s="54"/>
      <c r="N9109" s="33"/>
    </row>
    <row r="9110" spans="3:14" x14ac:dyDescent="0.3">
      <c r="C9110" s="54"/>
      <c r="N9110" s="33"/>
    </row>
    <row r="9111" spans="3:14" x14ac:dyDescent="0.3">
      <c r="C9111" s="54"/>
      <c r="N9111" s="33"/>
    </row>
    <row r="9112" spans="3:14" x14ac:dyDescent="0.3">
      <c r="C9112" s="54"/>
      <c r="N9112" s="33"/>
    </row>
    <row r="9113" spans="3:14" x14ac:dyDescent="0.3">
      <c r="C9113" s="54"/>
      <c r="N9113" s="33"/>
    </row>
    <row r="9114" spans="3:14" x14ac:dyDescent="0.3">
      <c r="C9114" s="54"/>
      <c r="N9114" s="33"/>
    </row>
    <row r="9115" spans="3:14" x14ac:dyDescent="0.3">
      <c r="C9115" s="54"/>
      <c r="N9115" s="33"/>
    </row>
    <row r="9116" spans="3:14" x14ac:dyDescent="0.3">
      <c r="C9116" s="54"/>
      <c r="N9116" s="33"/>
    </row>
    <row r="9117" spans="3:14" x14ac:dyDescent="0.3">
      <c r="C9117" s="54"/>
      <c r="N9117" s="33"/>
    </row>
    <row r="9118" spans="3:14" x14ac:dyDescent="0.3">
      <c r="C9118" s="54"/>
      <c r="N9118" s="33"/>
    </row>
    <row r="9119" spans="3:14" x14ac:dyDescent="0.3">
      <c r="C9119" s="54"/>
      <c r="N9119" s="33"/>
    </row>
    <row r="9120" spans="3:14" x14ac:dyDescent="0.3">
      <c r="C9120" s="54"/>
      <c r="N9120" s="33"/>
    </row>
    <row r="9121" spans="3:14" x14ac:dyDescent="0.3">
      <c r="C9121" s="54"/>
      <c r="N9121" s="33"/>
    </row>
    <row r="9122" spans="3:14" x14ac:dyDescent="0.3">
      <c r="C9122" s="54"/>
      <c r="N9122" s="33"/>
    </row>
    <row r="9123" spans="3:14" x14ac:dyDescent="0.3">
      <c r="C9123" s="54"/>
      <c r="N9123" s="33"/>
    </row>
    <row r="9124" spans="3:14" x14ac:dyDescent="0.3">
      <c r="C9124" s="54"/>
      <c r="N9124" s="33"/>
    </row>
    <row r="9125" spans="3:14" x14ac:dyDescent="0.3">
      <c r="C9125" s="54"/>
      <c r="N9125" s="33"/>
    </row>
    <row r="9126" spans="3:14" x14ac:dyDescent="0.3">
      <c r="C9126" s="54"/>
      <c r="N9126" s="33"/>
    </row>
    <row r="9127" spans="3:14" x14ac:dyDescent="0.3">
      <c r="C9127" s="54"/>
      <c r="N9127" s="33"/>
    </row>
    <row r="9128" spans="3:14" x14ac:dyDescent="0.3">
      <c r="C9128" s="54"/>
      <c r="N9128" s="33"/>
    </row>
    <row r="9129" spans="3:14" x14ac:dyDescent="0.3">
      <c r="C9129" s="54"/>
      <c r="N9129" s="33"/>
    </row>
    <row r="9130" spans="3:14" x14ac:dyDescent="0.3">
      <c r="C9130" s="54"/>
      <c r="N9130" s="33"/>
    </row>
    <row r="9131" spans="3:14" x14ac:dyDescent="0.3">
      <c r="C9131" s="54"/>
      <c r="N9131" s="33"/>
    </row>
    <row r="9132" spans="3:14" x14ac:dyDescent="0.3">
      <c r="C9132" s="54"/>
      <c r="N9132" s="33"/>
    </row>
    <row r="9133" spans="3:14" x14ac:dyDescent="0.3">
      <c r="C9133" s="54"/>
      <c r="N9133" s="33"/>
    </row>
    <row r="9134" spans="3:14" x14ac:dyDescent="0.3">
      <c r="C9134" s="54"/>
      <c r="N9134" s="33"/>
    </row>
    <row r="9135" spans="3:14" x14ac:dyDescent="0.3">
      <c r="C9135" s="54"/>
      <c r="N9135" s="33"/>
    </row>
    <row r="9136" spans="3:14" x14ac:dyDescent="0.3">
      <c r="C9136" s="54"/>
      <c r="N9136" s="33"/>
    </row>
    <row r="9137" spans="3:14" x14ac:dyDescent="0.3">
      <c r="C9137" s="54"/>
      <c r="N9137" s="33"/>
    </row>
    <row r="9138" spans="3:14" x14ac:dyDescent="0.3">
      <c r="C9138" s="54"/>
      <c r="N9138" s="33"/>
    </row>
    <row r="9139" spans="3:14" x14ac:dyDescent="0.3">
      <c r="C9139" s="54"/>
      <c r="N9139" s="33"/>
    </row>
    <row r="9140" spans="3:14" x14ac:dyDescent="0.3">
      <c r="C9140" s="54"/>
      <c r="N9140" s="33"/>
    </row>
    <row r="9141" spans="3:14" x14ac:dyDescent="0.3">
      <c r="C9141" s="54"/>
      <c r="N9141" s="33"/>
    </row>
    <row r="9142" spans="3:14" x14ac:dyDescent="0.3">
      <c r="C9142" s="54"/>
      <c r="N9142" s="33"/>
    </row>
    <row r="9143" spans="3:14" x14ac:dyDescent="0.3">
      <c r="C9143" s="54"/>
      <c r="N9143" s="33"/>
    </row>
    <row r="9144" spans="3:14" x14ac:dyDescent="0.3">
      <c r="C9144" s="54"/>
      <c r="N9144" s="33"/>
    </row>
    <row r="9145" spans="3:14" x14ac:dyDescent="0.3">
      <c r="C9145" s="54"/>
      <c r="N9145" s="33"/>
    </row>
    <row r="9146" spans="3:14" x14ac:dyDescent="0.3">
      <c r="C9146" s="54"/>
      <c r="N9146" s="33"/>
    </row>
    <row r="9147" spans="3:14" x14ac:dyDescent="0.3">
      <c r="C9147" s="54"/>
      <c r="N9147" s="33"/>
    </row>
    <row r="9148" spans="3:14" x14ac:dyDescent="0.3">
      <c r="C9148" s="54"/>
      <c r="N9148" s="33"/>
    </row>
    <row r="9149" spans="3:14" x14ac:dyDescent="0.3">
      <c r="C9149" s="54"/>
      <c r="N9149" s="33"/>
    </row>
    <row r="9150" spans="3:14" x14ac:dyDescent="0.3">
      <c r="C9150" s="54"/>
      <c r="N9150" s="33"/>
    </row>
    <row r="9151" spans="3:14" x14ac:dyDescent="0.3">
      <c r="C9151" s="54"/>
      <c r="N9151" s="33"/>
    </row>
    <row r="9152" spans="3:14" x14ac:dyDescent="0.3">
      <c r="C9152" s="54"/>
      <c r="N9152" s="33"/>
    </row>
    <row r="9153" spans="3:14" x14ac:dyDescent="0.3">
      <c r="C9153" s="54"/>
      <c r="N9153" s="33"/>
    </row>
    <row r="9154" spans="3:14" x14ac:dyDescent="0.3">
      <c r="C9154" s="54"/>
      <c r="N9154" s="33"/>
    </row>
    <row r="9155" spans="3:14" x14ac:dyDescent="0.3">
      <c r="C9155" s="54"/>
      <c r="N9155" s="33"/>
    </row>
    <row r="9156" spans="3:14" x14ac:dyDescent="0.3">
      <c r="C9156" s="54"/>
      <c r="N9156" s="33"/>
    </row>
    <row r="9157" spans="3:14" x14ac:dyDescent="0.3">
      <c r="C9157" s="54"/>
      <c r="N9157" s="33"/>
    </row>
    <row r="9158" spans="3:14" x14ac:dyDescent="0.3">
      <c r="C9158" s="54"/>
      <c r="N9158" s="33"/>
    </row>
    <row r="9159" spans="3:14" x14ac:dyDescent="0.3">
      <c r="C9159" s="54"/>
      <c r="N9159" s="33"/>
    </row>
    <row r="9160" spans="3:14" x14ac:dyDescent="0.3">
      <c r="C9160" s="54"/>
      <c r="N9160" s="33"/>
    </row>
    <row r="9161" spans="3:14" x14ac:dyDescent="0.3">
      <c r="C9161" s="54"/>
      <c r="N9161" s="33"/>
    </row>
    <row r="9162" spans="3:14" x14ac:dyDescent="0.3">
      <c r="C9162" s="54"/>
      <c r="N9162" s="33"/>
    </row>
    <row r="9163" spans="3:14" x14ac:dyDescent="0.3">
      <c r="C9163" s="54"/>
      <c r="N9163" s="33"/>
    </row>
    <row r="9164" spans="3:14" x14ac:dyDescent="0.3">
      <c r="C9164" s="54"/>
      <c r="N9164" s="33"/>
    </row>
    <row r="9165" spans="3:14" x14ac:dyDescent="0.3">
      <c r="C9165" s="54"/>
      <c r="N9165" s="33"/>
    </row>
    <row r="9166" spans="3:14" x14ac:dyDescent="0.3">
      <c r="C9166" s="54"/>
      <c r="N9166" s="33"/>
    </row>
    <row r="9167" spans="3:14" x14ac:dyDescent="0.3">
      <c r="C9167" s="54"/>
      <c r="N9167" s="33"/>
    </row>
    <row r="9168" spans="3:14" x14ac:dyDescent="0.3">
      <c r="C9168" s="54"/>
      <c r="N9168" s="33"/>
    </row>
    <row r="9169" spans="3:14" x14ac:dyDescent="0.3">
      <c r="C9169" s="54"/>
      <c r="N9169" s="33"/>
    </row>
    <row r="9170" spans="3:14" x14ac:dyDescent="0.3">
      <c r="C9170" s="54"/>
      <c r="N9170" s="33"/>
    </row>
    <row r="9171" spans="3:14" x14ac:dyDescent="0.3">
      <c r="C9171" s="54"/>
      <c r="N9171" s="33"/>
    </row>
    <row r="9172" spans="3:14" x14ac:dyDescent="0.3">
      <c r="C9172" s="54"/>
      <c r="N9172" s="33"/>
    </row>
    <row r="9173" spans="3:14" x14ac:dyDescent="0.3">
      <c r="C9173" s="54"/>
      <c r="N9173" s="33"/>
    </row>
    <row r="9174" spans="3:14" x14ac:dyDescent="0.3">
      <c r="C9174" s="54"/>
      <c r="N9174" s="33"/>
    </row>
    <row r="9175" spans="3:14" x14ac:dyDescent="0.3">
      <c r="C9175" s="54"/>
      <c r="N9175" s="33"/>
    </row>
    <row r="9176" spans="3:14" x14ac:dyDescent="0.3">
      <c r="C9176" s="54"/>
      <c r="N9176" s="33"/>
    </row>
    <row r="9177" spans="3:14" x14ac:dyDescent="0.3">
      <c r="C9177" s="54"/>
      <c r="N9177" s="33"/>
    </row>
    <row r="9178" spans="3:14" x14ac:dyDescent="0.3">
      <c r="C9178" s="54"/>
      <c r="N9178" s="33"/>
    </row>
    <row r="9179" spans="3:14" x14ac:dyDescent="0.3">
      <c r="C9179" s="54"/>
      <c r="N9179" s="33"/>
    </row>
    <row r="9180" spans="3:14" x14ac:dyDescent="0.3">
      <c r="C9180" s="54"/>
      <c r="N9180" s="33"/>
    </row>
    <row r="9181" spans="3:14" x14ac:dyDescent="0.3">
      <c r="C9181" s="54"/>
      <c r="N9181" s="33"/>
    </row>
    <row r="9182" spans="3:14" x14ac:dyDescent="0.3">
      <c r="C9182" s="54"/>
      <c r="N9182" s="33"/>
    </row>
    <row r="9183" spans="3:14" x14ac:dyDescent="0.3">
      <c r="C9183" s="54"/>
      <c r="N9183" s="33"/>
    </row>
    <row r="9184" spans="3:14" x14ac:dyDescent="0.3">
      <c r="C9184" s="54"/>
      <c r="N9184" s="33"/>
    </row>
    <row r="9185" spans="3:14" x14ac:dyDescent="0.3">
      <c r="C9185" s="54"/>
      <c r="N9185" s="33"/>
    </row>
    <row r="9186" spans="3:14" x14ac:dyDescent="0.3">
      <c r="C9186" s="54"/>
      <c r="N9186" s="33"/>
    </row>
    <row r="9187" spans="3:14" x14ac:dyDescent="0.3">
      <c r="C9187" s="54"/>
      <c r="N9187" s="33"/>
    </row>
    <row r="9188" spans="3:14" x14ac:dyDescent="0.3">
      <c r="C9188" s="54"/>
      <c r="N9188" s="33"/>
    </row>
    <row r="9189" spans="3:14" x14ac:dyDescent="0.3">
      <c r="C9189" s="54"/>
      <c r="N9189" s="33"/>
    </row>
    <row r="9190" spans="3:14" x14ac:dyDescent="0.3">
      <c r="C9190" s="54"/>
      <c r="N9190" s="33"/>
    </row>
    <row r="9191" spans="3:14" x14ac:dyDescent="0.3">
      <c r="C9191" s="54"/>
      <c r="N9191" s="33"/>
    </row>
    <row r="9192" spans="3:14" x14ac:dyDescent="0.3">
      <c r="C9192" s="54"/>
      <c r="N9192" s="33"/>
    </row>
    <row r="9193" spans="3:14" x14ac:dyDescent="0.3">
      <c r="C9193" s="54"/>
      <c r="N9193" s="33"/>
    </row>
    <row r="9194" spans="3:14" x14ac:dyDescent="0.3">
      <c r="C9194" s="54"/>
      <c r="N9194" s="33"/>
    </row>
    <row r="9195" spans="3:14" x14ac:dyDescent="0.3">
      <c r="C9195" s="54"/>
      <c r="N9195" s="33"/>
    </row>
    <row r="9196" spans="3:14" x14ac:dyDescent="0.3">
      <c r="C9196" s="54"/>
      <c r="N9196" s="33"/>
    </row>
    <row r="9197" spans="3:14" x14ac:dyDescent="0.3">
      <c r="C9197" s="54"/>
      <c r="N9197" s="33"/>
    </row>
    <row r="9198" spans="3:14" x14ac:dyDescent="0.3">
      <c r="C9198" s="54"/>
      <c r="N9198" s="33"/>
    </row>
    <row r="9199" spans="3:14" x14ac:dyDescent="0.3">
      <c r="C9199" s="54"/>
      <c r="N9199" s="33"/>
    </row>
    <row r="9200" spans="3:14" x14ac:dyDescent="0.3">
      <c r="C9200" s="54"/>
      <c r="N9200" s="33"/>
    </row>
    <row r="9201" spans="3:14" x14ac:dyDescent="0.3">
      <c r="C9201" s="54"/>
      <c r="N9201" s="33"/>
    </row>
    <row r="9202" spans="3:14" x14ac:dyDescent="0.3">
      <c r="C9202" s="54"/>
      <c r="N9202" s="33"/>
    </row>
    <row r="9203" spans="3:14" x14ac:dyDescent="0.3">
      <c r="C9203" s="54"/>
      <c r="N9203" s="33"/>
    </row>
    <row r="9204" spans="3:14" x14ac:dyDescent="0.3">
      <c r="C9204" s="54"/>
      <c r="N9204" s="33"/>
    </row>
    <row r="9205" spans="3:14" x14ac:dyDescent="0.3">
      <c r="C9205" s="54"/>
      <c r="N9205" s="33"/>
    </row>
    <row r="9206" spans="3:14" x14ac:dyDescent="0.3">
      <c r="C9206" s="54"/>
      <c r="N9206" s="33"/>
    </row>
    <row r="9207" spans="3:14" x14ac:dyDescent="0.3">
      <c r="C9207" s="54"/>
      <c r="N9207" s="33"/>
    </row>
    <row r="9208" spans="3:14" x14ac:dyDescent="0.3">
      <c r="C9208" s="54"/>
      <c r="N9208" s="33"/>
    </row>
    <row r="9209" spans="3:14" x14ac:dyDescent="0.3">
      <c r="C9209" s="54"/>
      <c r="N9209" s="33"/>
    </row>
    <row r="9210" spans="3:14" x14ac:dyDescent="0.3">
      <c r="C9210" s="54"/>
      <c r="N9210" s="33"/>
    </row>
    <row r="9211" spans="3:14" x14ac:dyDescent="0.3">
      <c r="C9211" s="54"/>
      <c r="N9211" s="33"/>
    </row>
    <row r="9212" spans="3:14" x14ac:dyDescent="0.3">
      <c r="C9212" s="54"/>
      <c r="N9212" s="33"/>
    </row>
    <row r="9213" spans="3:14" x14ac:dyDescent="0.3">
      <c r="C9213" s="54"/>
      <c r="N9213" s="33"/>
    </row>
    <row r="9214" spans="3:14" x14ac:dyDescent="0.3">
      <c r="C9214" s="54"/>
      <c r="N9214" s="33"/>
    </row>
    <row r="9215" spans="3:14" x14ac:dyDescent="0.3">
      <c r="C9215" s="54"/>
      <c r="N9215" s="33"/>
    </row>
    <row r="9216" spans="3:14" x14ac:dyDescent="0.3">
      <c r="C9216" s="54"/>
      <c r="N9216" s="33"/>
    </row>
    <row r="9217" spans="3:14" x14ac:dyDescent="0.3">
      <c r="C9217" s="54"/>
      <c r="N9217" s="33"/>
    </row>
    <row r="9218" spans="3:14" x14ac:dyDescent="0.3">
      <c r="C9218" s="54"/>
      <c r="N9218" s="33"/>
    </row>
    <row r="9219" spans="3:14" x14ac:dyDescent="0.3">
      <c r="C9219" s="54"/>
      <c r="N9219" s="33"/>
    </row>
    <row r="9220" spans="3:14" x14ac:dyDescent="0.3">
      <c r="C9220" s="54"/>
      <c r="N9220" s="33"/>
    </row>
    <row r="9221" spans="3:14" x14ac:dyDescent="0.3">
      <c r="C9221" s="54"/>
      <c r="N9221" s="33"/>
    </row>
    <row r="9222" spans="3:14" x14ac:dyDescent="0.3">
      <c r="C9222" s="54"/>
      <c r="N9222" s="33"/>
    </row>
    <row r="9223" spans="3:14" x14ac:dyDescent="0.3">
      <c r="C9223" s="54"/>
      <c r="N9223" s="33"/>
    </row>
    <row r="9224" spans="3:14" x14ac:dyDescent="0.3">
      <c r="C9224" s="54"/>
      <c r="N9224" s="33"/>
    </row>
    <row r="9225" spans="3:14" x14ac:dyDescent="0.3">
      <c r="C9225" s="54"/>
      <c r="N9225" s="33"/>
    </row>
    <row r="9226" spans="3:14" x14ac:dyDescent="0.3">
      <c r="C9226" s="54"/>
      <c r="N9226" s="33"/>
    </row>
    <row r="9227" spans="3:14" x14ac:dyDescent="0.3">
      <c r="C9227" s="54"/>
      <c r="N9227" s="33"/>
    </row>
    <row r="9228" spans="3:14" x14ac:dyDescent="0.3">
      <c r="C9228" s="54"/>
      <c r="N9228" s="33"/>
    </row>
    <row r="9229" spans="3:14" x14ac:dyDescent="0.3">
      <c r="C9229" s="54"/>
      <c r="N9229" s="33"/>
    </row>
    <row r="9230" spans="3:14" x14ac:dyDescent="0.3">
      <c r="C9230" s="54"/>
      <c r="N9230" s="33"/>
    </row>
    <row r="9231" spans="3:14" x14ac:dyDescent="0.3">
      <c r="C9231" s="54"/>
      <c r="N9231" s="33"/>
    </row>
    <row r="9232" spans="3:14" x14ac:dyDescent="0.3">
      <c r="C9232" s="54"/>
      <c r="N9232" s="33"/>
    </row>
    <row r="9233" spans="3:14" x14ac:dyDescent="0.3">
      <c r="C9233" s="54"/>
      <c r="N9233" s="33"/>
    </row>
    <row r="9234" spans="3:14" x14ac:dyDescent="0.3">
      <c r="C9234" s="54"/>
      <c r="N9234" s="33"/>
    </row>
    <row r="9235" spans="3:14" x14ac:dyDescent="0.3">
      <c r="C9235" s="54"/>
      <c r="N9235" s="33"/>
    </row>
    <row r="9236" spans="3:14" x14ac:dyDescent="0.3">
      <c r="C9236" s="54"/>
      <c r="N9236" s="33"/>
    </row>
    <row r="9237" spans="3:14" x14ac:dyDescent="0.3">
      <c r="C9237" s="54"/>
      <c r="N9237" s="33"/>
    </row>
    <row r="9238" spans="3:14" x14ac:dyDescent="0.3">
      <c r="C9238" s="54"/>
      <c r="N9238" s="33"/>
    </row>
    <row r="9239" spans="3:14" x14ac:dyDescent="0.3">
      <c r="C9239" s="54"/>
      <c r="N9239" s="33"/>
    </row>
    <row r="9240" spans="3:14" x14ac:dyDescent="0.3">
      <c r="C9240" s="54"/>
      <c r="N9240" s="33"/>
    </row>
    <row r="9241" spans="3:14" x14ac:dyDescent="0.3">
      <c r="C9241" s="54"/>
      <c r="N9241" s="33"/>
    </row>
    <row r="9242" spans="3:14" x14ac:dyDescent="0.3">
      <c r="C9242" s="54"/>
      <c r="N9242" s="33"/>
    </row>
    <row r="9243" spans="3:14" x14ac:dyDescent="0.3">
      <c r="C9243" s="54"/>
      <c r="N9243" s="33"/>
    </row>
    <row r="9244" spans="3:14" x14ac:dyDescent="0.3">
      <c r="C9244" s="54"/>
      <c r="N9244" s="33"/>
    </row>
    <row r="9245" spans="3:14" x14ac:dyDescent="0.3">
      <c r="C9245" s="54"/>
      <c r="N9245" s="33"/>
    </row>
    <row r="9246" spans="3:14" x14ac:dyDescent="0.3">
      <c r="C9246" s="54"/>
      <c r="N9246" s="33"/>
    </row>
    <row r="9247" spans="3:14" x14ac:dyDescent="0.3">
      <c r="C9247" s="54"/>
      <c r="N9247" s="33"/>
    </row>
    <row r="9248" spans="3:14" x14ac:dyDescent="0.3">
      <c r="C9248" s="54"/>
      <c r="N9248" s="33"/>
    </row>
    <row r="9249" spans="3:14" x14ac:dyDescent="0.3">
      <c r="C9249" s="54"/>
      <c r="N9249" s="33"/>
    </row>
    <row r="9250" spans="3:14" x14ac:dyDescent="0.3">
      <c r="C9250" s="54"/>
      <c r="N9250" s="33"/>
    </row>
    <row r="9251" spans="3:14" x14ac:dyDescent="0.3">
      <c r="C9251" s="54"/>
      <c r="N9251" s="33"/>
    </row>
    <row r="9252" spans="3:14" x14ac:dyDescent="0.3">
      <c r="C9252" s="54"/>
      <c r="N9252" s="33"/>
    </row>
    <row r="9253" spans="3:14" x14ac:dyDescent="0.3">
      <c r="C9253" s="54"/>
      <c r="N9253" s="33"/>
    </row>
    <row r="9254" spans="3:14" x14ac:dyDescent="0.3">
      <c r="C9254" s="54"/>
      <c r="N9254" s="33"/>
    </row>
    <row r="9255" spans="3:14" x14ac:dyDescent="0.3">
      <c r="C9255" s="54"/>
      <c r="N9255" s="33"/>
    </row>
    <row r="9256" spans="3:14" x14ac:dyDescent="0.3">
      <c r="C9256" s="54"/>
      <c r="N9256" s="33"/>
    </row>
    <row r="9257" spans="3:14" x14ac:dyDescent="0.3">
      <c r="C9257" s="54"/>
      <c r="N9257" s="33"/>
    </row>
    <row r="9258" spans="3:14" x14ac:dyDescent="0.3">
      <c r="C9258" s="54"/>
      <c r="N9258" s="33"/>
    </row>
    <row r="9259" spans="3:14" x14ac:dyDescent="0.3">
      <c r="C9259" s="54"/>
      <c r="N9259" s="33"/>
    </row>
    <row r="9260" spans="3:14" x14ac:dyDescent="0.3">
      <c r="C9260" s="54"/>
      <c r="N9260" s="33"/>
    </row>
    <row r="9261" spans="3:14" x14ac:dyDescent="0.3">
      <c r="C9261" s="54"/>
      <c r="N9261" s="33"/>
    </row>
    <row r="9262" spans="3:14" x14ac:dyDescent="0.3">
      <c r="C9262" s="54"/>
      <c r="N9262" s="33"/>
    </row>
    <row r="9263" spans="3:14" x14ac:dyDescent="0.3">
      <c r="C9263" s="54"/>
      <c r="N9263" s="33"/>
    </row>
    <row r="9264" spans="3:14" x14ac:dyDescent="0.3">
      <c r="C9264" s="54"/>
      <c r="N9264" s="33"/>
    </row>
    <row r="9265" spans="3:14" x14ac:dyDescent="0.3">
      <c r="C9265" s="54"/>
      <c r="N9265" s="33"/>
    </row>
    <row r="9266" spans="3:14" x14ac:dyDescent="0.3">
      <c r="C9266" s="54"/>
      <c r="N9266" s="33"/>
    </row>
    <row r="9267" spans="3:14" x14ac:dyDescent="0.3">
      <c r="C9267" s="54"/>
      <c r="N9267" s="33"/>
    </row>
    <row r="9268" spans="3:14" x14ac:dyDescent="0.3">
      <c r="C9268" s="54"/>
      <c r="N9268" s="33"/>
    </row>
    <row r="9269" spans="3:14" x14ac:dyDescent="0.3">
      <c r="C9269" s="54"/>
      <c r="N9269" s="33"/>
    </row>
    <row r="9270" spans="3:14" x14ac:dyDescent="0.3">
      <c r="C9270" s="54"/>
      <c r="N9270" s="33"/>
    </row>
    <row r="9271" spans="3:14" x14ac:dyDescent="0.3">
      <c r="C9271" s="54"/>
      <c r="N9271" s="33"/>
    </row>
    <row r="9272" spans="3:14" x14ac:dyDescent="0.3">
      <c r="C9272" s="54"/>
      <c r="N9272" s="33"/>
    </row>
    <row r="9273" spans="3:14" x14ac:dyDescent="0.3">
      <c r="C9273" s="54"/>
      <c r="N9273" s="33"/>
    </row>
    <row r="9274" spans="3:14" x14ac:dyDescent="0.3">
      <c r="C9274" s="54"/>
      <c r="N9274" s="33"/>
    </row>
    <row r="9275" spans="3:14" x14ac:dyDescent="0.3">
      <c r="C9275" s="54"/>
      <c r="N9275" s="33"/>
    </row>
    <row r="9276" spans="3:14" x14ac:dyDescent="0.3">
      <c r="C9276" s="54"/>
      <c r="N9276" s="33"/>
    </row>
    <row r="9277" spans="3:14" x14ac:dyDescent="0.3">
      <c r="C9277" s="54"/>
      <c r="N9277" s="33"/>
    </row>
    <row r="9278" spans="3:14" x14ac:dyDescent="0.3">
      <c r="C9278" s="54"/>
      <c r="N9278" s="33"/>
    </row>
    <row r="9279" spans="3:14" x14ac:dyDescent="0.3">
      <c r="C9279" s="54"/>
      <c r="N9279" s="33"/>
    </row>
    <row r="9280" spans="3:14" x14ac:dyDescent="0.3">
      <c r="C9280" s="54"/>
      <c r="N9280" s="33"/>
    </row>
    <row r="9281" spans="3:14" x14ac:dyDescent="0.3">
      <c r="C9281" s="54"/>
      <c r="N9281" s="33"/>
    </row>
    <row r="9282" spans="3:14" x14ac:dyDescent="0.3">
      <c r="C9282" s="54"/>
      <c r="N9282" s="33"/>
    </row>
    <row r="9283" spans="3:14" x14ac:dyDescent="0.3">
      <c r="C9283" s="54"/>
      <c r="N9283" s="33"/>
    </row>
    <row r="9284" spans="3:14" x14ac:dyDescent="0.3">
      <c r="C9284" s="54"/>
      <c r="N9284" s="33"/>
    </row>
    <row r="9285" spans="3:14" x14ac:dyDescent="0.3">
      <c r="C9285" s="54"/>
      <c r="N9285" s="33"/>
    </row>
    <row r="9286" spans="3:14" x14ac:dyDescent="0.3">
      <c r="C9286" s="54"/>
      <c r="N9286" s="33"/>
    </row>
    <row r="9287" spans="3:14" x14ac:dyDescent="0.3">
      <c r="C9287" s="54"/>
      <c r="N9287" s="33"/>
    </row>
    <row r="9288" spans="3:14" x14ac:dyDescent="0.3">
      <c r="C9288" s="54"/>
      <c r="N9288" s="33"/>
    </row>
    <row r="9289" spans="3:14" x14ac:dyDescent="0.3">
      <c r="C9289" s="54"/>
      <c r="N9289" s="33"/>
    </row>
    <row r="9290" spans="3:14" x14ac:dyDescent="0.3">
      <c r="C9290" s="54"/>
      <c r="N9290" s="33"/>
    </row>
    <row r="9291" spans="3:14" x14ac:dyDescent="0.3">
      <c r="C9291" s="54"/>
      <c r="N9291" s="33"/>
    </row>
    <row r="9292" spans="3:14" x14ac:dyDescent="0.3">
      <c r="C9292" s="54"/>
      <c r="N9292" s="33"/>
    </row>
    <row r="9293" spans="3:14" x14ac:dyDescent="0.3">
      <c r="C9293" s="54"/>
      <c r="N9293" s="33"/>
    </row>
    <row r="9294" spans="3:14" x14ac:dyDescent="0.3">
      <c r="C9294" s="54"/>
      <c r="N9294" s="33"/>
    </row>
    <row r="9295" spans="3:14" x14ac:dyDescent="0.3">
      <c r="C9295" s="54"/>
      <c r="N9295" s="33"/>
    </row>
    <row r="9296" spans="3:14" x14ac:dyDescent="0.3">
      <c r="C9296" s="54"/>
      <c r="N9296" s="33"/>
    </row>
    <row r="9297" spans="3:14" x14ac:dyDescent="0.3">
      <c r="C9297" s="54"/>
      <c r="N9297" s="33"/>
    </row>
    <row r="9298" spans="3:14" x14ac:dyDescent="0.3">
      <c r="C9298" s="54"/>
      <c r="N9298" s="33"/>
    </row>
    <row r="9299" spans="3:14" x14ac:dyDescent="0.3">
      <c r="C9299" s="54"/>
      <c r="N9299" s="33"/>
    </row>
    <row r="9300" spans="3:14" x14ac:dyDescent="0.3">
      <c r="C9300" s="54"/>
      <c r="N9300" s="33"/>
    </row>
    <row r="9301" spans="3:14" x14ac:dyDescent="0.3">
      <c r="C9301" s="54"/>
      <c r="N9301" s="33"/>
    </row>
    <row r="9302" spans="3:14" x14ac:dyDescent="0.3">
      <c r="C9302" s="54"/>
      <c r="N9302" s="33"/>
    </row>
    <row r="9303" spans="3:14" x14ac:dyDescent="0.3">
      <c r="C9303" s="54"/>
      <c r="N9303" s="33"/>
    </row>
    <row r="9304" spans="3:14" x14ac:dyDescent="0.3">
      <c r="C9304" s="54"/>
      <c r="N9304" s="33"/>
    </row>
    <row r="9305" spans="3:14" x14ac:dyDescent="0.3">
      <c r="C9305" s="54"/>
      <c r="N9305" s="33"/>
    </row>
    <row r="9306" spans="3:14" x14ac:dyDescent="0.3">
      <c r="C9306" s="54"/>
      <c r="N9306" s="33"/>
    </row>
    <row r="9307" spans="3:14" x14ac:dyDescent="0.3">
      <c r="C9307" s="54"/>
      <c r="N9307" s="33"/>
    </row>
    <row r="9308" spans="3:14" x14ac:dyDescent="0.3">
      <c r="C9308" s="54"/>
      <c r="N9308" s="33"/>
    </row>
    <row r="9309" spans="3:14" x14ac:dyDescent="0.3">
      <c r="C9309" s="54"/>
      <c r="N9309" s="33"/>
    </row>
    <row r="9310" spans="3:14" x14ac:dyDescent="0.3">
      <c r="C9310" s="54"/>
      <c r="N9310" s="33"/>
    </row>
    <row r="9311" spans="3:14" x14ac:dyDescent="0.3">
      <c r="C9311" s="54"/>
      <c r="N9311" s="33"/>
    </row>
    <row r="9312" spans="3:14" x14ac:dyDescent="0.3">
      <c r="C9312" s="54"/>
      <c r="N9312" s="33"/>
    </row>
    <row r="9313" spans="3:14" x14ac:dyDescent="0.3">
      <c r="C9313" s="54"/>
      <c r="N9313" s="33"/>
    </row>
    <row r="9314" spans="3:14" x14ac:dyDescent="0.3">
      <c r="C9314" s="54"/>
      <c r="N9314" s="33"/>
    </row>
    <row r="9315" spans="3:14" x14ac:dyDescent="0.3">
      <c r="C9315" s="54"/>
      <c r="N9315" s="33"/>
    </row>
    <row r="9316" spans="3:14" x14ac:dyDescent="0.3">
      <c r="C9316" s="54"/>
      <c r="N9316" s="33"/>
    </row>
    <row r="9317" spans="3:14" x14ac:dyDescent="0.3">
      <c r="C9317" s="54"/>
      <c r="N9317" s="33"/>
    </row>
    <row r="9318" spans="3:14" x14ac:dyDescent="0.3">
      <c r="C9318" s="54"/>
      <c r="N9318" s="33"/>
    </row>
    <row r="9319" spans="3:14" x14ac:dyDescent="0.3">
      <c r="C9319" s="54"/>
      <c r="N9319" s="33"/>
    </row>
    <row r="9320" spans="3:14" x14ac:dyDescent="0.3">
      <c r="C9320" s="54"/>
      <c r="N9320" s="33"/>
    </row>
    <row r="9321" spans="3:14" x14ac:dyDescent="0.3">
      <c r="C9321" s="54"/>
      <c r="N9321" s="33"/>
    </row>
    <row r="9322" spans="3:14" x14ac:dyDescent="0.3">
      <c r="C9322" s="54"/>
      <c r="N9322" s="33"/>
    </row>
    <row r="9323" spans="3:14" x14ac:dyDescent="0.3">
      <c r="C9323" s="54"/>
      <c r="N9323" s="33"/>
    </row>
    <row r="9324" spans="3:14" x14ac:dyDescent="0.3">
      <c r="C9324" s="54"/>
      <c r="N9324" s="33"/>
    </row>
    <row r="9325" spans="3:14" x14ac:dyDescent="0.3">
      <c r="C9325" s="54"/>
      <c r="N9325" s="33"/>
    </row>
    <row r="9326" spans="3:14" x14ac:dyDescent="0.3">
      <c r="C9326" s="54"/>
      <c r="N9326" s="33"/>
    </row>
    <row r="9327" spans="3:14" x14ac:dyDescent="0.3">
      <c r="C9327" s="54"/>
      <c r="N9327" s="33"/>
    </row>
    <row r="9328" spans="3:14" x14ac:dyDescent="0.3">
      <c r="C9328" s="54"/>
      <c r="N9328" s="33"/>
    </row>
    <row r="9329" spans="3:14" x14ac:dyDescent="0.3">
      <c r="C9329" s="54"/>
      <c r="N9329" s="33"/>
    </row>
    <row r="9330" spans="3:14" x14ac:dyDescent="0.3">
      <c r="C9330" s="54"/>
      <c r="N9330" s="33"/>
    </row>
    <row r="9331" spans="3:14" x14ac:dyDescent="0.3">
      <c r="C9331" s="54"/>
      <c r="N9331" s="33"/>
    </row>
    <row r="9332" spans="3:14" x14ac:dyDescent="0.3">
      <c r="C9332" s="54"/>
      <c r="N9332" s="33"/>
    </row>
    <row r="9333" spans="3:14" x14ac:dyDescent="0.3">
      <c r="C9333" s="54"/>
      <c r="N9333" s="33"/>
    </row>
    <row r="9334" spans="3:14" x14ac:dyDescent="0.3">
      <c r="C9334" s="54"/>
      <c r="N9334" s="33"/>
    </row>
    <row r="9335" spans="3:14" x14ac:dyDescent="0.3">
      <c r="C9335" s="54"/>
      <c r="N9335" s="33"/>
    </row>
    <row r="9336" spans="3:14" x14ac:dyDescent="0.3">
      <c r="C9336" s="54"/>
      <c r="N9336" s="33"/>
    </row>
    <row r="9337" spans="3:14" x14ac:dyDescent="0.3">
      <c r="C9337" s="54"/>
      <c r="N9337" s="33"/>
    </row>
    <row r="9338" spans="3:14" x14ac:dyDescent="0.3">
      <c r="C9338" s="54"/>
      <c r="N9338" s="33"/>
    </row>
    <row r="9339" spans="3:14" x14ac:dyDescent="0.3">
      <c r="C9339" s="54"/>
      <c r="N9339" s="33"/>
    </row>
    <row r="9340" spans="3:14" x14ac:dyDescent="0.3">
      <c r="C9340" s="54"/>
      <c r="N9340" s="33"/>
    </row>
    <row r="9341" spans="3:14" x14ac:dyDescent="0.3">
      <c r="C9341" s="54"/>
      <c r="N9341" s="33"/>
    </row>
    <row r="9342" spans="3:14" x14ac:dyDescent="0.3">
      <c r="C9342" s="54"/>
      <c r="N9342" s="33"/>
    </row>
    <row r="9343" spans="3:14" x14ac:dyDescent="0.3">
      <c r="C9343" s="54"/>
      <c r="N9343" s="33"/>
    </row>
    <row r="9344" spans="3:14" x14ac:dyDescent="0.3">
      <c r="C9344" s="54"/>
      <c r="N9344" s="33"/>
    </row>
    <row r="9345" spans="3:14" x14ac:dyDescent="0.3">
      <c r="C9345" s="54"/>
      <c r="N9345" s="33"/>
    </row>
    <row r="9346" spans="3:14" x14ac:dyDescent="0.3">
      <c r="C9346" s="54"/>
      <c r="N9346" s="33"/>
    </row>
    <row r="9347" spans="3:14" x14ac:dyDescent="0.3">
      <c r="C9347" s="54"/>
      <c r="N9347" s="33"/>
    </row>
    <row r="9348" spans="3:14" x14ac:dyDescent="0.3">
      <c r="C9348" s="54"/>
      <c r="N9348" s="33"/>
    </row>
    <row r="9349" spans="3:14" x14ac:dyDescent="0.3">
      <c r="C9349" s="54"/>
      <c r="N9349" s="33"/>
    </row>
    <row r="9350" spans="3:14" x14ac:dyDescent="0.3">
      <c r="C9350" s="54"/>
      <c r="N9350" s="33"/>
    </row>
    <row r="9351" spans="3:14" x14ac:dyDescent="0.3">
      <c r="C9351" s="54"/>
      <c r="N9351" s="33"/>
    </row>
    <row r="9352" spans="3:14" x14ac:dyDescent="0.3">
      <c r="C9352" s="54"/>
      <c r="N9352" s="33"/>
    </row>
    <row r="9353" spans="3:14" x14ac:dyDescent="0.3">
      <c r="C9353" s="54"/>
      <c r="N9353" s="33"/>
    </row>
    <row r="9354" spans="3:14" x14ac:dyDescent="0.3">
      <c r="C9354" s="54"/>
      <c r="N9354" s="33"/>
    </row>
    <row r="9355" spans="3:14" x14ac:dyDescent="0.3">
      <c r="C9355" s="54"/>
      <c r="N9355" s="33"/>
    </row>
    <row r="9356" spans="3:14" x14ac:dyDescent="0.3">
      <c r="C9356" s="54"/>
      <c r="N9356" s="33"/>
    </row>
    <row r="9357" spans="3:14" x14ac:dyDescent="0.3">
      <c r="C9357" s="54"/>
      <c r="N9357" s="33"/>
    </row>
    <row r="9358" spans="3:14" x14ac:dyDescent="0.3">
      <c r="C9358" s="54"/>
      <c r="N9358" s="33"/>
    </row>
    <row r="9359" spans="3:14" x14ac:dyDescent="0.3">
      <c r="C9359" s="54"/>
      <c r="N9359" s="33"/>
    </row>
    <row r="9360" spans="3:14" x14ac:dyDescent="0.3">
      <c r="C9360" s="54"/>
      <c r="N9360" s="33"/>
    </row>
    <row r="9361" spans="3:14" x14ac:dyDescent="0.3">
      <c r="C9361" s="54"/>
      <c r="N9361" s="33"/>
    </row>
    <row r="9362" spans="3:14" x14ac:dyDescent="0.3">
      <c r="C9362" s="54"/>
      <c r="N9362" s="33"/>
    </row>
    <row r="9363" spans="3:14" x14ac:dyDescent="0.3">
      <c r="C9363" s="54"/>
      <c r="N9363" s="33"/>
    </row>
    <row r="9364" spans="3:14" x14ac:dyDescent="0.3">
      <c r="C9364" s="54"/>
      <c r="N9364" s="33"/>
    </row>
    <row r="9365" spans="3:14" x14ac:dyDescent="0.3">
      <c r="C9365" s="54"/>
      <c r="N9365" s="33"/>
    </row>
    <row r="9366" spans="3:14" x14ac:dyDescent="0.3">
      <c r="C9366" s="54"/>
      <c r="N9366" s="33"/>
    </row>
    <row r="9367" spans="3:14" x14ac:dyDescent="0.3">
      <c r="C9367" s="54"/>
      <c r="N9367" s="33"/>
    </row>
    <row r="9368" spans="3:14" x14ac:dyDescent="0.3">
      <c r="C9368" s="54"/>
      <c r="N9368" s="33"/>
    </row>
    <row r="9369" spans="3:14" x14ac:dyDescent="0.3">
      <c r="C9369" s="54"/>
      <c r="N9369" s="33"/>
    </row>
    <row r="9370" spans="3:14" x14ac:dyDescent="0.3">
      <c r="C9370" s="54"/>
      <c r="N9370" s="33"/>
    </row>
    <row r="9371" spans="3:14" x14ac:dyDescent="0.3">
      <c r="C9371" s="54"/>
      <c r="N9371" s="33"/>
    </row>
    <row r="9372" spans="3:14" x14ac:dyDescent="0.3">
      <c r="C9372" s="54"/>
      <c r="N9372" s="33"/>
    </row>
    <row r="9373" spans="3:14" x14ac:dyDescent="0.3">
      <c r="C9373" s="54"/>
      <c r="N9373" s="33"/>
    </row>
    <row r="9374" spans="3:14" x14ac:dyDescent="0.3">
      <c r="C9374" s="54"/>
      <c r="N9374" s="33"/>
    </row>
    <row r="9375" spans="3:14" x14ac:dyDescent="0.3">
      <c r="C9375" s="54"/>
      <c r="N9375" s="33"/>
    </row>
    <row r="9376" spans="3:14" x14ac:dyDescent="0.3">
      <c r="C9376" s="54"/>
      <c r="N9376" s="33"/>
    </row>
    <row r="9377" spans="3:14" x14ac:dyDescent="0.3">
      <c r="C9377" s="54"/>
      <c r="N9377" s="33"/>
    </row>
    <row r="9378" spans="3:14" x14ac:dyDescent="0.3">
      <c r="C9378" s="54"/>
      <c r="N9378" s="33"/>
    </row>
    <row r="9379" spans="3:14" x14ac:dyDescent="0.3">
      <c r="C9379" s="54"/>
      <c r="N9379" s="33"/>
    </row>
    <row r="9380" spans="3:14" x14ac:dyDescent="0.3">
      <c r="C9380" s="54"/>
      <c r="N9380" s="33"/>
    </row>
    <row r="9381" spans="3:14" x14ac:dyDescent="0.3">
      <c r="C9381" s="54"/>
      <c r="N9381" s="33"/>
    </row>
    <row r="9382" spans="3:14" x14ac:dyDescent="0.3">
      <c r="C9382" s="54"/>
      <c r="N9382" s="33"/>
    </row>
    <row r="9383" spans="3:14" x14ac:dyDescent="0.3">
      <c r="C9383" s="54"/>
      <c r="N9383" s="33"/>
    </row>
    <row r="9384" spans="3:14" x14ac:dyDescent="0.3">
      <c r="C9384" s="54"/>
      <c r="N9384" s="33"/>
    </row>
    <row r="9385" spans="3:14" x14ac:dyDescent="0.3">
      <c r="C9385" s="54"/>
      <c r="N9385" s="33"/>
    </row>
    <row r="9386" spans="3:14" x14ac:dyDescent="0.3">
      <c r="C9386" s="54"/>
      <c r="N9386" s="33"/>
    </row>
    <row r="9387" spans="3:14" x14ac:dyDescent="0.3">
      <c r="C9387" s="54"/>
      <c r="N9387" s="33"/>
    </row>
    <row r="9388" spans="3:14" x14ac:dyDescent="0.3">
      <c r="C9388" s="54"/>
      <c r="N9388" s="33"/>
    </row>
    <row r="9389" spans="3:14" x14ac:dyDescent="0.3">
      <c r="C9389" s="54"/>
      <c r="N9389" s="33"/>
    </row>
    <row r="9390" spans="3:14" x14ac:dyDescent="0.3">
      <c r="C9390" s="54"/>
      <c r="N9390" s="33"/>
    </row>
    <row r="9391" spans="3:14" x14ac:dyDescent="0.3">
      <c r="C9391" s="54"/>
      <c r="N9391" s="33"/>
    </row>
    <row r="9392" spans="3:14" x14ac:dyDescent="0.3">
      <c r="C9392" s="54"/>
      <c r="N9392" s="33"/>
    </row>
    <row r="9393" spans="3:14" x14ac:dyDescent="0.3">
      <c r="C9393" s="54"/>
      <c r="N9393" s="33"/>
    </row>
    <row r="9394" spans="3:14" x14ac:dyDescent="0.3">
      <c r="C9394" s="54"/>
      <c r="N9394" s="33"/>
    </row>
    <row r="9395" spans="3:14" x14ac:dyDescent="0.3">
      <c r="C9395" s="54"/>
      <c r="N9395" s="33"/>
    </row>
    <row r="9396" spans="3:14" x14ac:dyDescent="0.3">
      <c r="C9396" s="54"/>
      <c r="N9396" s="33"/>
    </row>
    <row r="9397" spans="3:14" x14ac:dyDescent="0.3">
      <c r="C9397" s="54"/>
      <c r="N9397" s="33"/>
    </row>
    <row r="9398" spans="3:14" x14ac:dyDescent="0.3">
      <c r="C9398" s="54"/>
      <c r="N9398" s="33"/>
    </row>
    <row r="9399" spans="3:14" x14ac:dyDescent="0.3">
      <c r="C9399" s="54"/>
      <c r="N9399" s="33"/>
    </row>
    <row r="9400" spans="3:14" x14ac:dyDescent="0.3">
      <c r="C9400" s="54"/>
      <c r="N9400" s="33"/>
    </row>
    <row r="9401" spans="3:14" x14ac:dyDescent="0.3">
      <c r="C9401" s="54"/>
      <c r="N9401" s="33"/>
    </row>
    <row r="9402" spans="3:14" x14ac:dyDescent="0.3">
      <c r="C9402" s="54"/>
      <c r="N9402" s="33"/>
    </row>
    <row r="9403" spans="3:14" x14ac:dyDescent="0.3">
      <c r="C9403" s="54"/>
      <c r="N9403" s="33"/>
    </row>
    <row r="9404" spans="3:14" x14ac:dyDescent="0.3">
      <c r="C9404" s="54"/>
      <c r="N9404" s="33"/>
    </row>
    <row r="9405" spans="3:14" x14ac:dyDescent="0.3">
      <c r="C9405" s="54"/>
      <c r="N9405" s="33"/>
    </row>
    <row r="9406" spans="3:14" x14ac:dyDescent="0.3">
      <c r="C9406" s="54"/>
      <c r="N9406" s="33"/>
    </row>
    <row r="9407" spans="3:14" x14ac:dyDescent="0.3">
      <c r="C9407" s="54"/>
      <c r="N9407" s="33"/>
    </row>
    <row r="9408" spans="3:14" x14ac:dyDescent="0.3">
      <c r="C9408" s="54"/>
      <c r="N9408" s="33"/>
    </row>
    <row r="9409" spans="3:14" x14ac:dyDescent="0.3">
      <c r="C9409" s="54"/>
      <c r="N9409" s="33"/>
    </row>
    <row r="9410" spans="3:14" x14ac:dyDescent="0.3">
      <c r="C9410" s="54"/>
      <c r="N9410" s="33"/>
    </row>
    <row r="9411" spans="3:14" x14ac:dyDescent="0.3">
      <c r="C9411" s="54"/>
      <c r="N9411" s="33"/>
    </row>
    <row r="9412" spans="3:14" x14ac:dyDescent="0.3">
      <c r="C9412" s="54"/>
      <c r="N9412" s="33"/>
    </row>
    <row r="9413" spans="3:14" x14ac:dyDescent="0.3">
      <c r="C9413" s="54"/>
      <c r="N9413" s="33"/>
    </row>
    <row r="9414" spans="3:14" x14ac:dyDescent="0.3">
      <c r="C9414" s="54"/>
      <c r="N9414" s="33"/>
    </row>
    <row r="9415" spans="3:14" x14ac:dyDescent="0.3">
      <c r="C9415" s="54"/>
      <c r="N9415" s="33"/>
    </row>
    <row r="9416" spans="3:14" x14ac:dyDescent="0.3">
      <c r="C9416" s="54"/>
      <c r="N9416" s="33"/>
    </row>
    <row r="9417" spans="3:14" x14ac:dyDescent="0.3">
      <c r="C9417" s="54"/>
      <c r="N9417" s="33"/>
    </row>
    <row r="9418" spans="3:14" x14ac:dyDescent="0.3">
      <c r="C9418" s="54"/>
      <c r="N9418" s="33"/>
    </row>
    <row r="9419" spans="3:14" x14ac:dyDescent="0.3">
      <c r="C9419" s="54"/>
      <c r="N9419" s="33"/>
    </row>
    <row r="9420" spans="3:14" x14ac:dyDescent="0.3">
      <c r="C9420" s="54"/>
      <c r="N9420" s="33"/>
    </row>
    <row r="9421" spans="3:14" x14ac:dyDescent="0.3">
      <c r="C9421" s="54"/>
      <c r="N9421" s="33"/>
    </row>
    <row r="9422" spans="3:14" x14ac:dyDescent="0.3">
      <c r="C9422" s="54"/>
      <c r="N9422" s="33"/>
    </row>
    <row r="9423" spans="3:14" x14ac:dyDescent="0.3">
      <c r="C9423" s="54"/>
      <c r="N9423" s="33"/>
    </row>
    <row r="9424" spans="3:14" x14ac:dyDescent="0.3">
      <c r="C9424" s="54"/>
      <c r="N9424" s="33"/>
    </row>
    <row r="9425" spans="3:14" x14ac:dyDescent="0.3">
      <c r="C9425" s="54"/>
      <c r="N9425" s="33"/>
    </row>
    <row r="9426" spans="3:14" x14ac:dyDescent="0.3">
      <c r="C9426" s="54"/>
      <c r="N9426" s="33"/>
    </row>
    <row r="9427" spans="3:14" x14ac:dyDescent="0.3">
      <c r="C9427" s="54"/>
      <c r="N9427" s="33"/>
    </row>
    <row r="9428" spans="3:14" x14ac:dyDescent="0.3">
      <c r="C9428" s="54"/>
      <c r="N9428" s="33"/>
    </row>
    <row r="9429" spans="3:14" x14ac:dyDescent="0.3">
      <c r="C9429" s="54"/>
      <c r="N9429" s="33"/>
    </row>
    <row r="9430" spans="3:14" x14ac:dyDescent="0.3">
      <c r="C9430" s="54"/>
      <c r="N9430" s="33"/>
    </row>
    <row r="9431" spans="3:14" x14ac:dyDescent="0.3">
      <c r="C9431" s="54"/>
      <c r="N9431" s="33"/>
    </row>
    <row r="9432" spans="3:14" x14ac:dyDescent="0.3">
      <c r="C9432" s="54"/>
      <c r="N9432" s="33"/>
    </row>
    <row r="9433" spans="3:14" x14ac:dyDescent="0.3">
      <c r="C9433" s="54"/>
      <c r="N9433" s="33"/>
    </row>
    <row r="9434" spans="3:14" x14ac:dyDescent="0.3">
      <c r="C9434" s="54"/>
      <c r="N9434" s="33"/>
    </row>
    <row r="9435" spans="3:14" x14ac:dyDescent="0.3">
      <c r="C9435" s="54"/>
      <c r="N9435" s="33"/>
    </row>
    <row r="9436" spans="3:14" x14ac:dyDescent="0.3">
      <c r="C9436" s="54"/>
      <c r="N9436" s="33"/>
    </row>
    <row r="9437" spans="3:14" x14ac:dyDescent="0.3">
      <c r="C9437" s="54"/>
      <c r="N9437" s="33"/>
    </row>
    <row r="9438" spans="3:14" x14ac:dyDescent="0.3">
      <c r="C9438" s="54"/>
      <c r="N9438" s="33"/>
    </row>
    <row r="9439" spans="3:14" x14ac:dyDescent="0.3">
      <c r="C9439" s="54"/>
      <c r="N9439" s="33"/>
    </row>
    <row r="9440" spans="3:14" x14ac:dyDescent="0.3">
      <c r="C9440" s="54"/>
      <c r="N9440" s="33"/>
    </row>
    <row r="9441" spans="3:14" x14ac:dyDescent="0.3">
      <c r="C9441" s="54"/>
      <c r="N9441" s="33"/>
    </row>
    <row r="9442" spans="3:14" x14ac:dyDescent="0.3">
      <c r="C9442" s="54"/>
      <c r="N9442" s="33"/>
    </row>
    <row r="9443" spans="3:14" x14ac:dyDescent="0.3">
      <c r="C9443" s="54"/>
      <c r="N9443" s="33"/>
    </row>
    <row r="9444" spans="3:14" x14ac:dyDescent="0.3">
      <c r="C9444" s="54"/>
      <c r="N9444" s="33"/>
    </row>
    <row r="9445" spans="3:14" x14ac:dyDescent="0.3">
      <c r="C9445" s="54"/>
      <c r="N9445" s="33"/>
    </row>
    <row r="9446" spans="3:14" x14ac:dyDescent="0.3">
      <c r="C9446" s="54"/>
      <c r="N9446" s="33"/>
    </row>
    <row r="9447" spans="3:14" x14ac:dyDescent="0.3">
      <c r="C9447" s="54"/>
      <c r="N9447" s="33"/>
    </row>
    <row r="9448" spans="3:14" x14ac:dyDescent="0.3">
      <c r="C9448" s="54"/>
      <c r="N9448" s="33"/>
    </row>
    <row r="9449" spans="3:14" x14ac:dyDescent="0.3">
      <c r="C9449" s="54"/>
      <c r="N9449" s="33"/>
    </row>
    <row r="9450" spans="3:14" x14ac:dyDescent="0.3">
      <c r="C9450" s="54"/>
      <c r="N9450" s="33"/>
    </row>
    <row r="9451" spans="3:14" x14ac:dyDescent="0.3">
      <c r="C9451" s="54"/>
      <c r="N9451" s="33"/>
    </row>
    <row r="9452" spans="3:14" x14ac:dyDescent="0.3">
      <c r="C9452" s="54"/>
      <c r="N9452" s="33"/>
    </row>
    <row r="9453" spans="3:14" x14ac:dyDescent="0.3">
      <c r="C9453" s="54"/>
      <c r="N9453" s="33"/>
    </row>
    <row r="9454" spans="3:14" x14ac:dyDescent="0.3">
      <c r="C9454" s="54"/>
      <c r="N9454" s="33"/>
    </row>
    <row r="9455" spans="3:14" x14ac:dyDescent="0.3">
      <c r="C9455" s="54"/>
      <c r="N9455" s="33"/>
    </row>
    <row r="9456" spans="3:14" x14ac:dyDescent="0.3">
      <c r="C9456" s="54"/>
      <c r="N9456" s="33"/>
    </row>
    <row r="9457" spans="3:14" x14ac:dyDescent="0.3">
      <c r="C9457" s="54"/>
      <c r="N9457" s="33"/>
    </row>
    <row r="9458" spans="3:14" x14ac:dyDescent="0.3">
      <c r="C9458" s="54"/>
      <c r="N9458" s="33"/>
    </row>
    <row r="9459" spans="3:14" x14ac:dyDescent="0.3">
      <c r="C9459" s="54"/>
      <c r="N9459" s="33"/>
    </row>
    <row r="9460" spans="3:14" x14ac:dyDescent="0.3">
      <c r="C9460" s="54"/>
      <c r="N9460" s="33"/>
    </row>
    <row r="9461" spans="3:14" x14ac:dyDescent="0.3">
      <c r="C9461" s="54"/>
      <c r="N9461" s="33"/>
    </row>
    <row r="9462" spans="3:14" x14ac:dyDescent="0.3">
      <c r="C9462" s="54"/>
      <c r="N9462" s="33"/>
    </row>
    <row r="9463" spans="3:14" x14ac:dyDescent="0.3">
      <c r="C9463" s="54"/>
      <c r="N9463" s="33"/>
    </row>
    <row r="9464" spans="3:14" x14ac:dyDescent="0.3">
      <c r="C9464" s="54"/>
      <c r="N9464" s="33"/>
    </row>
    <row r="9465" spans="3:14" x14ac:dyDescent="0.3">
      <c r="C9465" s="54"/>
      <c r="N9465" s="33"/>
    </row>
    <row r="9466" spans="3:14" x14ac:dyDescent="0.3">
      <c r="C9466" s="54"/>
      <c r="N9466" s="33"/>
    </row>
    <row r="9467" spans="3:14" x14ac:dyDescent="0.3">
      <c r="C9467" s="54"/>
      <c r="N9467" s="33"/>
    </row>
    <row r="9468" spans="3:14" x14ac:dyDescent="0.3">
      <c r="C9468" s="54"/>
      <c r="N9468" s="33"/>
    </row>
    <row r="9469" spans="3:14" x14ac:dyDescent="0.3">
      <c r="C9469" s="54"/>
      <c r="N9469" s="33"/>
    </row>
    <row r="9470" spans="3:14" x14ac:dyDescent="0.3">
      <c r="C9470" s="54"/>
      <c r="N9470" s="33"/>
    </row>
    <row r="9471" spans="3:14" x14ac:dyDescent="0.3">
      <c r="C9471" s="54"/>
      <c r="N9471" s="33"/>
    </row>
    <row r="9472" spans="3:14" x14ac:dyDescent="0.3">
      <c r="C9472" s="54"/>
      <c r="N9472" s="33"/>
    </row>
    <row r="9473" spans="3:14" x14ac:dyDescent="0.3">
      <c r="C9473" s="54"/>
      <c r="N9473" s="33"/>
    </row>
    <row r="9474" spans="3:14" x14ac:dyDescent="0.3">
      <c r="C9474" s="54"/>
      <c r="N9474" s="33"/>
    </row>
    <row r="9475" spans="3:14" x14ac:dyDescent="0.3">
      <c r="C9475" s="54"/>
      <c r="N9475" s="33"/>
    </row>
    <row r="9476" spans="3:14" x14ac:dyDescent="0.3">
      <c r="C9476" s="54"/>
      <c r="N9476" s="33"/>
    </row>
    <row r="9477" spans="3:14" x14ac:dyDescent="0.3">
      <c r="C9477" s="54"/>
      <c r="N9477" s="33"/>
    </row>
    <row r="9478" spans="3:14" x14ac:dyDescent="0.3">
      <c r="C9478" s="54"/>
      <c r="N9478" s="33"/>
    </row>
    <row r="9479" spans="3:14" x14ac:dyDescent="0.3">
      <c r="C9479" s="54"/>
      <c r="N9479" s="33"/>
    </row>
    <row r="9480" spans="3:14" x14ac:dyDescent="0.3">
      <c r="C9480" s="54"/>
      <c r="N9480" s="33"/>
    </row>
    <row r="9481" spans="3:14" x14ac:dyDescent="0.3">
      <c r="C9481" s="54"/>
      <c r="N9481" s="33"/>
    </row>
    <row r="9482" spans="3:14" x14ac:dyDescent="0.3">
      <c r="C9482" s="54"/>
      <c r="N9482" s="33"/>
    </row>
    <row r="9483" spans="3:14" x14ac:dyDescent="0.3">
      <c r="C9483" s="54"/>
      <c r="N9483" s="33"/>
    </row>
    <row r="9484" spans="3:14" x14ac:dyDescent="0.3">
      <c r="C9484" s="54"/>
      <c r="N9484" s="33"/>
    </row>
    <row r="9485" spans="3:14" x14ac:dyDescent="0.3">
      <c r="C9485" s="54"/>
      <c r="N9485" s="33"/>
    </row>
    <row r="9486" spans="3:14" x14ac:dyDescent="0.3">
      <c r="C9486" s="54"/>
      <c r="N9486" s="33"/>
    </row>
    <row r="9487" spans="3:14" x14ac:dyDescent="0.3">
      <c r="C9487" s="54"/>
      <c r="N9487" s="33"/>
    </row>
    <row r="9488" spans="3:14" x14ac:dyDescent="0.3">
      <c r="C9488" s="54"/>
      <c r="N9488" s="33"/>
    </row>
    <row r="9489" spans="3:14" x14ac:dyDescent="0.3">
      <c r="C9489" s="54"/>
      <c r="N9489" s="33"/>
    </row>
    <row r="9490" spans="3:14" x14ac:dyDescent="0.3">
      <c r="C9490" s="54"/>
      <c r="N9490" s="33"/>
    </row>
    <row r="9491" spans="3:14" x14ac:dyDescent="0.3">
      <c r="C9491" s="54"/>
      <c r="N9491" s="33"/>
    </row>
    <row r="9492" spans="3:14" x14ac:dyDescent="0.3">
      <c r="C9492" s="54"/>
      <c r="N9492" s="33"/>
    </row>
    <row r="9493" spans="3:14" x14ac:dyDescent="0.3">
      <c r="C9493" s="54"/>
      <c r="N9493" s="33"/>
    </row>
    <row r="9494" spans="3:14" x14ac:dyDescent="0.3">
      <c r="C9494" s="54"/>
      <c r="N9494" s="33"/>
    </row>
    <row r="9495" spans="3:14" x14ac:dyDescent="0.3">
      <c r="C9495" s="54"/>
      <c r="N9495" s="33"/>
    </row>
    <row r="9496" spans="3:14" x14ac:dyDescent="0.3">
      <c r="C9496" s="54"/>
      <c r="N9496" s="33"/>
    </row>
    <row r="9497" spans="3:14" x14ac:dyDescent="0.3">
      <c r="C9497" s="54"/>
      <c r="N9497" s="33"/>
    </row>
    <row r="9498" spans="3:14" x14ac:dyDescent="0.3">
      <c r="C9498" s="54"/>
      <c r="N9498" s="33"/>
    </row>
    <row r="9499" spans="3:14" x14ac:dyDescent="0.3">
      <c r="C9499" s="54"/>
      <c r="N9499" s="33"/>
    </row>
    <row r="9500" spans="3:14" x14ac:dyDescent="0.3">
      <c r="C9500" s="54"/>
      <c r="N9500" s="33"/>
    </row>
    <row r="9501" spans="3:14" x14ac:dyDescent="0.3">
      <c r="C9501" s="54"/>
      <c r="N9501" s="33"/>
    </row>
    <row r="9502" spans="3:14" x14ac:dyDescent="0.3">
      <c r="C9502" s="54"/>
      <c r="N9502" s="33"/>
    </row>
    <row r="9503" spans="3:14" x14ac:dyDescent="0.3">
      <c r="C9503" s="54"/>
      <c r="N9503" s="33"/>
    </row>
    <row r="9504" spans="3:14" x14ac:dyDescent="0.3">
      <c r="C9504" s="54"/>
      <c r="N9504" s="33"/>
    </row>
    <row r="9505" spans="3:14" x14ac:dyDescent="0.3">
      <c r="C9505" s="54"/>
      <c r="N9505" s="33"/>
    </row>
    <row r="9506" spans="3:14" x14ac:dyDescent="0.3">
      <c r="C9506" s="54"/>
      <c r="N9506" s="33"/>
    </row>
    <row r="9507" spans="3:14" x14ac:dyDescent="0.3">
      <c r="C9507" s="54"/>
      <c r="N9507" s="33"/>
    </row>
    <row r="9508" spans="3:14" x14ac:dyDescent="0.3">
      <c r="C9508" s="54"/>
      <c r="N9508" s="33"/>
    </row>
    <row r="9509" spans="3:14" x14ac:dyDescent="0.3">
      <c r="C9509" s="54"/>
      <c r="N9509" s="33"/>
    </row>
    <row r="9510" spans="3:14" x14ac:dyDescent="0.3">
      <c r="C9510" s="54"/>
      <c r="N9510" s="33"/>
    </row>
    <row r="9511" spans="3:14" x14ac:dyDescent="0.3">
      <c r="C9511" s="54"/>
      <c r="N9511" s="33"/>
    </row>
    <row r="9512" spans="3:14" x14ac:dyDescent="0.3">
      <c r="C9512" s="54"/>
      <c r="N9512" s="33"/>
    </row>
    <row r="9513" spans="3:14" x14ac:dyDescent="0.3">
      <c r="C9513" s="54"/>
      <c r="N9513" s="33"/>
    </row>
    <row r="9514" spans="3:14" x14ac:dyDescent="0.3">
      <c r="C9514" s="54"/>
      <c r="N9514" s="33"/>
    </row>
    <row r="9515" spans="3:14" x14ac:dyDescent="0.3">
      <c r="C9515" s="54"/>
      <c r="N9515" s="33"/>
    </row>
    <row r="9516" spans="3:14" x14ac:dyDescent="0.3">
      <c r="C9516" s="54"/>
      <c r="N9516" s="33"/>
    </row>
    <row r="9517" spans="3:14" x14ac:dyDescent="0.3">
      <c r="C9517" s="54"/>
      <c r="N9517" s="33"/>
    </row>
    <row r="9518" spans="3:14" x14ac:dyDescent="0.3">
      <c r="C9518" s="54"/>
      <c r="N9518" s="33"/>
    </row>
    <row r="9519" spans="3:14" x14ac:dyDescent="0.3">
      <c r="C9519" s="54"/>
      <c r="N9519" s="33"/>
    </row>
    <row r="9520" spans="3:14" x14ac:dyDescent="0.3">
      <c r="C9520" s="54"/>
      <c r="N9520" s="33"/>
    </row>
    <row r="9521" spans="3:14" x14ac:dyDescent="0.3">
      <c r="C9521" s="54"/>
      <c r="N9521" s="33"/>
    </row>
    <row r="9522" spans="3:14" x14ac:dyDescent="0.3">
      <c r="C9522" s="54"/>
      <c r="N9522" s="33"/>
    </row>
    <row r="9523" spans="3:14" x14ac:dyDescent="0.3">
      <c r="C9523" s="54"/>
      <c r="N9523" s="33"/>
    </row>
    <row r="9524" spans="3:14" x14ac:dyDescent="0.3">
      <c r="C9524" s="54"/>
      <c r="N9524" s="33"/>
    </row>
    <row r="9525" spans="3:14" x14ac:dyDescent="0.3">
      <c r="C9525" s="54"/>
      <c r="N9525" s="33"/>
    </row>
    <row r="9526" spans="3:14" x14ac:dyDescent="0.3">
      <c r="C9526" s="54"/>
      <c r="N9526" s="33"/>
    </row>
    <row r="9527" spans="3:14" x14ac:dyDescent="0.3">
      <c r="C9527" s="54"/>
      <c r="N9527" s="33"/>
    </row>
    <row r="9528" spans="3:14" x14ac:dyDescent="0.3">
      <c r="C9528" s="54"/>
      <c r="N9528" s="33"/>
    </row>
    <row r="9529" spans="3:14" x14ac:dyDescent="0.3">
      <c r="C9529" s="54"/>
      <c r="N9529" s="33"/>
    </row>
    <row r="9530" spans="3:14" x14ac:dyDescent="0.3">
      <c r="C9530" s="54"/>
      <c r="N9530" s="33"/>
    </row>
    <row r="9531" spans="3:14" x14ac:dyDescent="0.3">
      <c r="C9531" s="54"/>
      <c r="N9531" s="33"/>
    </row>
    <row r="9532" spans="3:14" x14ac:dyDescent="0.3">
      <c r="C9532" s="54"/>
      <c r="N9532" s="33"/>
    </row>
    <row r="9533" spans="3:14" x14ac:dyDescent="0.3">
      <c r="C9533" s="54"/>
      <c r="N9533" s="33"/>
    </row>
    <row r="9534" spans="3:14" x14ac:dyDescent="0.3">
      <c r="C9534" s="54"/>
      <c r="N9534" s="33"/>
    </row>
    <row r="9535" spans="3:14" x14ac:dyDescent="0.3">
      <c r="C9535" s="54"/>
      <c r="N9535" s="33"/>
    </row>
    <row r="9536" spans="3:14" x14ac:dyDescent="0.3">
      <c r="C9536" s="54"/>
      <c r="N9536" s="33"/>
    </row>
    <row r="9537" spans="3:14" x14ac:dyDescent="0.3">
      <c r="C9537" s="54"/>
      <c r="N9537" s="33"/>
    </row>
    <row r="9538" spans="3:14" x14ac:dyDescent="0.3">
      <c r="C9538" s="54"/>
      <c r="N9538" s="33"/>
    </row>
    <row r="9539" spans="3:14" x14ac:dyDescent="0.3">
      <c r="C9539" s="54"/>
      <c r="N9539" s="33"/>
    </row>
    <row r="9540" spans="3:14" x14ac:dyDescent="0.3">
      <c r="C9540" s="54"/>
      <c r="N9540" s="33"/>
    </row>
    <row r="9541" spans="3:14" x14ac:dyDescent="0.3">
      <c r="C9541" s="54"/>
      <c r="N9541" s="33"/>
    </row>
    <row r="9542" spans="3:14" x14ac:dyDescent="0.3">
      <c r="C9542" s="54"/>
      <c r="N9542" s="33"/>
    </row>
    <row r="9543" spans="3:14" x14ac:dyDescent="0.3">
      <c r="C9543" s="54"/>
      <c r="N9543" s="33"/>
    </row>
    <row r="9544" spans="3:14" x14ac:dyDescent="0.3">
      <c r="C9544" s="54"/>
      <c r="N9544" s="33"/>
    </row>
    <row r="9545" spans="3:14" x14ac:dyDescent="0.3">
      <c r="C9545" s="54"/>
      <c r="N9545" s="33"/>
    </row>
    <row r="9546" spans="3:14" x14ac:dyDescent="0.3">
      <c r="C9546" s="54"/>
      <c r="N9546" s="33"/>
    </row>
    <row r="9547" spans="3:14" x14ac:dyDescent="0.3">
      <c r="C9547" s="54"/>
      <c r="N9547" s="33"/>
    </row>
    <row r="9548" spans="3:14" x14ac:dyDescent="0.3">
      <c r="C9548" s="54"/>
      <c r="N9548" s="33"/>
    </row>
    <row r="9549" spans="3:14" x14ac:dyDescent="0.3">
      <c r="C9549" s="54"/>
      <c r="N9549" s="33"/>
    </row>
    <row r="9550" spans="3:14" x14ac:dyDescent="0.3">
      <c r="C9550" s="54"/>
      <c r="N9550" s="33"/>
    </row>
    <row r="9551" spans="3:14" x14ac:dyDescent="0.3">
      <c r="C9551" s="54"/>
      <c r="N9551" s="33"/>
    </row>
    <row r="9552" spans="3:14" x14ac:dyDescent="0.3">
      <c r="C9552" s="54"/>
      <c r="N9552" s="33"/>
    </row>
    <row r="9553" spans="3:14" x14ac:dyDescent="0.3">
      <c r="C9553" s="54"/>
      <c r="N9553" s="33"/>
    </row>
    <row r="9554" spans="3:14" x14ac:dyDescent="0.3">
      <c r="C9554" s="54"/>
      <c r="N9554" s="33"/>
    </row>
    <row r="9555" spans="3:14" x14ac:dyDescent="0.3">
      <c r="C9555" s="54"/>
      <c r="N9555" s="33"/>
    </row>
    <row r="9556" spans="3:14" x14ac:dyDescent="0.3">
      <c r="C9556" s="54"/>
      <c r="N9556" s="33"/>
    </row>
    <row r="9557" spans="3:14" x14ac:dyDescent="0.3">
      <c r="C9557" s="54"/>
      <c r="N9557" s="33"/>
    </row>
    <row r="9558" spans="3:14" x14ac:dyDescent="0.3">
      <c r="C9558" s="54"/>
      <c r="N9558" s="33"/>
    </row>
    <row r="9559" spans="3:14" x14ac:dyDescent="0.3">
      <c r="C9559" s="54"/>
      <c r="N9559" s="33"/>
    </row>
    <row r="9560" spans="3:14" x14ac:dyDescent="0.3">
      <c r="C9560" s="54"/>
      <c r="N9560" s="33"/>
    </row>
    <row r="9561" spans="3:14" x14ac:dyDescent="0.3">
      <c r="C9561" s="54"/>
      <c r="N9561" s="33"/>
    </row>
    <row r="9562" spans="3:14" x14ac:dyDescent="0.3">
      <c r="C9562" s="54"/>
      <c r="N9562" s="33"/>
    </row>
    <row r="9563" spans="3:14" x14ac:dyDescent="0.3">
      <c r="C9563" s="54"/>
      <c r="N9563" s="33"/>
    </row>
    <row r="9564" spans="3:14" x14ac:dyDescent="0.3">
      <c r="C9564" s="54"/>
      <c r="N9564" s="33"/>
    </row>
    <row r="9565" spans="3:14" x14ac:dyDescent="0.3">
      <c r="C9565" s="54"/>
      <c r="N9565" s="33"/>
    </row>
    <row r="9566" spans="3:14" x14ac:dyDescent="0.3">
      <c r="C9566" s="54"/>
      <c r="N9566" s="33"/>
    </row>
    <row r="9567" spans="3:14" x14ac:dyDescent="0.3">
      <c r="C9567" s="54"/>
      <c r="N9567" s="33"/>
    </row>
    <row r="9568" spans="3:14" x14ac:dyDescent="0.3">
      <c r="C9568" s="54"/>
      <c r="N9568" s="33"/>
    </row>
    <row r="9569" spans="3:14" x14ac:dyDescent="0.3">
      <c r="C9569" s="54"/>
      <c r="N9569" s="33"/>
    </row>
    <row r="9570" spans="3:14" x14ac:dyDescent="0.3">
      <c r="C9570" s="54"/>
      <c r="N9570" s="33"/>
    </row>
    <row r="9571" spans="3:14" x14ac:dyDescent="0.3">
      <c r="C9571" s="54"/>
      <c r="N9571" s="33"/>
    </row>
    <row r="9572" spans="3:14" x14ac:dyDescent="0.3">
      <c r="C9572" s="54"/>
      <c r="N9572" s="33"/>
    </row>
    <row r="9573" spans="3:14" x14ac:dyDescent="0.3">
      <c r="C9573" s="54"/>
      <c r="N9573" s="33"/>
    </row>
    <row r="9574" spans="3:14" x14ac:dyDescent="0.3">
      <c r="C9574" s="54"/>
      <c r="N9574" s="33"/>
    </row>
    <row r="9575" spans="3:14" x14ac:dyDescent="0.3">
      <c r="C9575" s="54"/>
      <c r="N9575" s="33"/>
    </row>
    <row r="9576" spans="3:14" x14ac:dyDescent="0.3">
      <c r="C9576" s="54"/>
      <c r="N9576" s="33"/>
    </row>
    <row r="9577" spans="3:14" x14ac:dyDescent="0.3">
      <c r="C9577" s="54"/>
      <c r="N9577" s="33"/>
    </row>
    <row r="9578" spans="3:14" x14ac:dyDescent="0.3">
      <c r="C9578" s="54"/>
      <c r="N9578" s="33"/>
    </row>
    <row r="9579" spans="3:14" x14ac:dyDescent="0.3">
      <c r="C9579" s="54"/>
      <c r="N9579" s="33"/>
    </row>
    <row r="9580" spans="3:14" x14ac:dyDescent="0.3">
      <c r="C9580" s="54"/>
      <c r="N9580" s="33"/>
    </row>
    <row r="9581" spans="3:14" x14ac:dyDescent="0.3">
      <c r="C9581" s="54"/>
      <c r="N9581" s="33"/>
    </row>
    <row r="9582" spans="3:14" x14ac:dyDescent="0.3">
      <c r="C9582" s="54"/>
      <c r="N9582" s="33"/>
    </row>
    <row r="9583" spans="3:14" x14ac:dyDescent="0.3">
      <c r="C9583" s="54"/>
      <c r="N9583" s="33"/>
    </row>
    <row r="9584" spans="3:14" x14ac:dyDescent="0.3">
      <c r="C9584" s="54"/>
      <c r="N9584" s="33"/>
    </row>
    <row r="9585" spans="3:14" x14ac:dyDescent="0.3">
      <c r="C9585" s="54"/>
      <c r="N9585" s="33"/>
    </row>
    <row r="9586" spans="3:14" x14ac:dyDescent="0.3">
      <c r="C9586" s="54"/>
      <c r="N9586" s="33"/>
    </row>
    <row r="9587" spans="3:14" x14ac:dyDescent="0.3">
      <c r="C9587" s="54"/>
      <c r="N9587" s="33"/>
    </row>
    <row r="9588" spans="3:14" x14ac:dyDescent="0.3">
      <c r="C9588" s="54"/>
      <c r="N9588" s="33"/>
    </row>
    <row r="9589" spans="3:14" x14ac:dyDescent="0.3">
      <c r="C9589" s="54"/>
      <c r="N9589" s="33"/>
    </row>
    <row r="9590" spans="3:14" x14ac:dyDescent="0.3">
      <c r="C9590" s="54"/>
      <c r="N9590" s="33"/>
    </row>
    <row r="9591" spans="3:14" x14ac:dyDescent="0.3">
      <c r="C9591" s="54"/>
      <c r="N9591" s="33"/>
    </row>
    <row r="9592" spans="3:14" x14ac:dyDescent="0.3">
      <c r="C9592" s="54"/>
      <c r="N9592" s="33"/>
    </row>
    <row r="9593" spans="3:14" x14ac:dyDescent="0.3">
      <c r="C9593" s="54"/>
      <c r="N9593" s="33"/>
    </row>
    <row r="9594" spans="3:14" x14ac:dyDescent="0.3">
      <c r="C9594" s="54"/>
      <c r="N9594" s="33"/>
    </row>
    <row r="9595" spans="3:14" x14ac:dyDescent="0.3">
      <c r="C9595" s="54"/>
      <c r="N9595" s="33"/>
    </row>
    <row r="9596" spans="3:14" x14ac:dyDescent="0.3">
      <c r="C9596" s="54"/>
      <c r="N9596" s="33"/>
    </row>
    <row r="9597" spans="3:14" x14ac:dyDescent="0.3">
      <c r="C9597" s="54"/>
      <c r="N9597" s="33"/>
    </row>
    <row r="9598" spans="3:14" x14ac:dyDescent="0.3">
      <c r="C9598" s="54"/>
      <c r="N9598" s="33"/>
    </row>
    <row r="9599" spans="3:14" x14ac:dyDescent="0.3">
      <c r="C9599" s="54"/>
      <c r="N9599" s="33"/>
    </row>
    <row r="9600" spans="3:14" x14ac:dyDescent="0.3">
      <c r="C9600" s="54"/>
      <c r="N9600" s="33"/>
    </row>
    <row r="9601" spans="3:14" x14ac:dyDescent="0.3">
      <c r="C9601" s="54"/>
      <c r="N9601" s="33"/>
    </row>
    <row r="9602" spans="3:14" x14ac:dyDescent="0.3">
      <c r="C9602" s="54"/>
      <c r="N9602" s="33"/>
    </row>
    <row r="9603" spans="3:14" x14ac:dyDescent="0.3">
      <c r="C9603" s="54"/>
      <c r="N9603" s="33"/>
    </row>
    <row r="9604" spans="3:14" x14ac:dyDescent="0.3">
      <c r="C9604" s="54"/>
      <c r="N9604" s="33"/>
    </row>
    <row r="9605" spans="3:14" x14ac:dyDescent="0.3">
      <c r="C9605" s="54"/>
      <c r="N9605" s="33"/>
    </row>
    <row r="9606" spans="3:14" x14ac:dyDescent="0.3">
      <c r="C9606" s="54"/>
      <c r="N9606" s="33"/>
    </row>
    <row r="9607" spans="3:14" x14ac:dyDescent="0.3">
      <c r="C9607" s="54"/>
      <c r="N9607" s="33"/>
    </row>
    <row r="9608" spans="3:14" x14ac:dyDescent="0.3">
      <c r="C9608" s="54"/>
      <c r="N9608" s="33"/>
    </row>
    <row r="9609" spans="3:14" x14ac:dyDescent="0.3">
      <c r="C9609" s="54"/>
      <c r="N9609" s="33"/>
    </row>
    <row r="9610" spans="3:14" x14ac:dyDescent="0.3">
      <c r="C9610" s="54"/>
      <c r="N9610" s="33"/>
    </row>
    <row r="9611" spans="3:14" x14ac:dyDescent="0.3">
      <c r="C9611" s="54"/>
      <c r="N9611" s="33"/>
    </row>
    <row r="9612" spans="3:14" x14ac:dyDescent="0.3">
      <c r="C9612" s="54"/>
      <c r="N9612" s="33"/>
    </row>
    <row r="9613" spans="3:14" x14ac:dyDescent="0.3">
      <c r="C9613" s="54"/>
      <c r="N9613" s="33"/>
    </row>
    <row r="9614" spans="3:14" x14ac:dyDescent="0.3">
      <c r="C9614" s="54"/>
      <c r="N9614" s="33"/>
    </row>
    <row r="9615" spans="3:14" x14ac:dyDescent="0.3">
      <c r="C9615" s="54"/>
      <c r="N9615" s="33"/>
    </row>
    <row r="9616" spans="3:14" x14ac:dyDescent="0.3">
      <c r="C9616" s="54"/>
      <c r="N9616" s="33"/>
    </row>
    <row r="9617" spans="3:14" x14ac:dyDescent="0.3">
      <c r="C9617" s="54"/>
      <c r="N9617" s="33"/>
    </row>
    <row r="9618" spans="3:14" x14ac:dyDescent="0.3">
      <c r="C9618" s="54"/>
      <c r="N9618" s="33"/>
    </row>
    <row r="9619" spans="3:14" x14ac:dyDescent="0.3">
      <c r="C9619" s="54"/>
      <c r="N9619" s="33"/>
    </row>
    <row r="9620" spans="3:14" x14ac:dyDescent="0.3">
      <c r="C9620" s="54"/>
      <c r="N9620" s="33"/>
    </row>
    <row r="9621" spans="3:14" x14ac:dyDescent="0.3">
      <c r="C9621" s="54"/>
      <c r="N9621" s="33"/>
    </row>
    <row r="9622" spans="3:14" x14ac:dyDescent="0.3">
      <c r="C9622" s="54"/>
      <c r="N9622" s="33"/>
    </row>
    <row r="9623" spans="3:14" x14ac:dyDescent="0.3">
      <c r="C9623" s="54"/>
      <c r="N9623" s="33"/>
    </row>
    <row r="9624" spans="3:14" x14ac:dyDescent="0.3">
      <c r="C9624" s="54"/>
      <c r="N9624" s="33"/>
    </row>
    <row r="9625" spans="3:14" x14ac:dyDescent="0.3">
      <c r="C9625" s="54"/>
      <c r="N9625" s="33"/>
    </row>
    <row r="9626" spans="3:14" x14ac:dyDescent="0.3">
      <c r="C9626" s="54"/>
      <c r="N9626" s="33"/>
    </row>
    <row r="9627" spans="3:14" x14ac:dyDescent="0.3">
      <c r="C9627" s="54"/>
      <c r="N9627" s="33"/>
    </row>
    <row r="9628" spans="3:14" x14ac:dyDescent="0.3">
      <c r="C9628" s="54"/>
      <c r="N9628" s="33"/>
    </row>
    <row r="9629" spans="3:14" x14ac:dyDescent="0.3">
      <c r="C9629" s="54"/>
      <c r="N9629" s="33"/>
    </row>
    <row r="9630" spans="3:14" x14ac:dyDescent="0.3">
      <c r="C9630" s="54"/>
      <c r="N9630" s="33"/>
    </row>
    <row r="9631" spans="3:14" x14ac:dyDescent="0.3">
      <c r="C9631" s="54"/>
      <c r="N9631" s="33"/>
    </row>
    <row r="9632" spans="3:14" x14ac:dyDescent="0.3">
      <c r="C9632" s="54"/>
      <c r="N9632" s="33"/>
    </row>
    <row r="9633" spans="3:14" x14ac:dyDescent="0.3">
      <c r="C9633" s="54"/>
      <c r="N9633" s="33"/>
    </row>
    <row r="9634" spans="3:14" x14ac:dyDescent="0.3">
      <c r="C9634" s="54"/>
      <c r="N9634" s="33"/>
    </row>
    <row r="9635" spans="3:14" x14ac:dyDescent="0.3">
      <c r="C9635" s="54"/>
      <c r="N9635" s="33"/>
    </row>
    <row r="9636" spans="3:14" x14ac:dyDescent="0.3">
      <c r="C9636" s="54"/>
      <c r="N9636" s="33"/>
    </row>
    <row r="9637" spans="3:14" x14ac:dyDescent="0.3">
      <c r="C9637" s="54"/>
      <c r="N9637" s="33"/>
    </row>
    <row r="9638" spans="3:14" x14ac:dyDescent="0.3">
      <c r="C9638" s="54"/>
      <c r="N9638" s="33"/>
    </row>
    <row r="9639" spans="3:14" x14ac:dyDescent="0.3">
      <c r="C9639" s="54"/>
      <c r="N9639" s="33"/>
    </row>
    <row r="9640" spans="3:14" x14ac:dyDescent="0.3">
      <c r="C9640" s="54"/>
      <c r="N9640" s="33"/>
    </row>
    <row r="9641" spans="3:14" x14ac:dyDescent="0.3">
      <c r="C9641" s="54"/>
      <c r="N9641" s="33"/>
    </row>
    <row r="9642" spans="3:14" x14ac:dyDescent="0.3">
      <c r="C9642" s="54"/>
      <c r="N9642" s="33"/>
    </row>
    <row r="9643" spans="3:14" x14ac:dyDescent="0.3">
      <c r="C9643" s="54"/>
      <c r="N9643" s="33"/>
    </row>
    <row r="9644" spans="3:14" x14ac:dyDescent="0.3">
      <c r="C9644" s="54"/>
      <c r="N9644" s="33"/>
    </row>
    <row r="9645" spans="3:14" x14ac:dyDescent="0.3">
      <c r="C9645" s="54"/>
      <c r="N9645" s="33"/>
    </row>
    <row r="9646" spans="3:14" x14ac:dyDescent="0.3">
      <c r="C9646" s="54"/>
      <c r="N9646" s="33"/>
    </row>
    <row r="9647" spans="3:14" x14ac:dyDescent="0.3">
      <c r="C9647" s="54"/>
      <c r="N9647" s="33"/>
    </row>
    <row r="9648" spans="3:14" x14ac:dyDescent="0.3">
      <c r="C9648" s="54"/>
      <c r="N9648" s="33"/>
    </row>
    <row r="9649" spans="3:14" x14ac:dyDescent="0.3">
      <c r="C9649" s="54"/>
      <c r="N9649" s="33"/>
    </row>
    <row r="9650" spans="3:14" x14ac:dyDescent="0.3">
      <c r="C9650" s="54"/>
      <c r="N9650" s="33"/>
    </row>
    <row r="9651" spans="3:14" x14ac:dyDescent="0.3">
      <c r="C9651" s="54"/>
      <c r="N9651" s="33"/>
    </row>
    <row r="9652" spans="3:14" x14ac:dyDescent="0.3">
      <c r="C9652" s="54"/>
      <c r="N9652" s="33"/>
    </row>
    <row r="9653" spans="3:14" x14ac:dyDescent="0.3">
      <c r="C9653" s="54"/>
      <c r="N9653" s="33"/>
    </row>
    <row r="9654" spans="3:14" x14ac:dyDescent="0.3">
      <c r="C9654" s="54"/>
      <c r="N9654" s="33"/>
    </row>
    <row r="9655" spans="3:14" x14ac:dyDescent="0.3">
      <c r="C9655" s="54"/>
      <c r="N9655" s="33"/>
    </row>
    <row r="9656" spans="3:14" x14ac:dyDescent="0.3">
      <c r="C9656" s="54"/>
      <c r="N9656" s="33"/>
    </row>
    <row r="9657" spans="3:14" x14ac:dyDescent="0.3">
      <c r="C9657" s="54"/>
      <c r="N9657" s="33"/>
    </row>
    <row r="9658" spans="3:14" x14ac:dyDescent="0.3">
      <c r="C9658" s="54"/>
      <c r="N9658" s="33"/>
    </row>
    <row r="9659" spans="3:14" x14ac:dyDescent="0.3">
      <c r="C9659" s="54"/>
      <c r="N9659" s="33"/>
    </row>
    <row r="9660" spans="3:14" x14ac:dyDescent="0.3">
      <c r="C9660" s="54"/>
      <c r="N9660" s="33"/>
    </row>
    <row r="9661" spans="3:14" x14ac:dyDescent="0.3">
      <c r="C9661" s="54"/>
      <c r="N9661" s="33"/>
    </row>
    <row r="9662" spans="3:14" x14ac:dyDescent="0.3">
      <c r="C9662" s="54"/>
      <c r="N9662" s="33"/>
    </row>
    <row r="9663" spans="3:14" x14ac:dyDescent="0.3">
      <c r="C9663" s="54"/>
      <c r="N9663" s="33"/>
    </row>
    <row r="9664" spans="3:14" x14ac:dyDescent="0.3">
      <c r="C9664" s="54"/>
      <c r="N9664" s="33"/>
    </row>
    <row r="9665" spans="3:14" x14ac:dyDescent="0.3">
      <c r="C9665" s="54"/>
      <c r="N9665" s="33"/>
    </row>
    <row r="9666" spans="3:14" x14ac:dyDescent="0.3">
      <c r="C9666" s="54"/>
      <c r="N9666" s="33"/>
    </row>
    <row r="9667" spans="3:14" x14ac:dyDescent="0.3">
      <c r="C9667" s="54"/>
      <c r="N9667" s="33"/>
    </row>
    <row r="9668" spans="3:14" x14ac:dyDescent="0.3">
      <c r="C9668" s="54"/>
      <c r="N9668" s="33"/>
    </row>
    <row r="9669" spans="3:14" x14ac:dyDescent="0.3">
      <c r="C9669" s="54"/>
      <c r="N9669" s="33"/>
    </row>
    <row r="9670" spans="3:14" x14ac:dyDescent="0.3">
      <c r="C9670" s="54"/>
      <c r="N9670" s="33"/>
    </row>
    <row r="9671" spans="3:14" x14ac:dyDescent="0.3">
      <c r="C9671" s="54"/>
      <c r="N9671" s="33"/>
    </row>
    <row r="9672" spans="3:14" x14ac:dyDescent="0.3">
      <c r="C9672" s="54"/>
      <c r="N9672" s="33"/>
    </row>
    <row r="9673" spans="3:14" x14ac:dyDescent="0.3">
      <c r="C9673" s="54"/>
      <c r="N9673" s="33"/>
    </row>
    <row r="9674" spans="3:14" x14ac:dyDescent="0.3">
      <c r="C9674" s="54"/>
      <c r="N9674" s="33"/>
    </row>
    <row r="9675" spans="3:14" x14ac:dyDescent="0.3">
      <c r="C9675" s="54"/>
      <c r="N9675" s="33"/>
    </row>
    <row r="9676" spans="3:14" x14ac:dyDescent="0.3">
      <c r="C9676" s="54"/>
      <c r="N9676" s="33"/>
    </row>
    <row r="9677" spans="3:14" x14ac:dyDescent="0.3">
      <c r="C9677" s="54"/>
      <c r="N9677" s="33"/>
    </row>
    <row r="9678" spans="3:14" x14ac:dyDescent="0.3">
      <c r="C9678" s="54"/>
      <c r="N9678" s="33"/>
    </row>
    <row r="9679" spans="3:14" x14ac:dyDescent="0.3">
      <c r="C9679" s="54"/>
      <c r="N9679" s="33"/>
    </row>
    <row r="9680" spans="3:14" x14ac:dyDescent="0.3">
      <c r="C9680" s="54"/>
      <c r="N9680" s="33"/>
    </row>
    <row r="9681" spans="3:14" x14ac:dyDescent="0.3">
      <c r="C9681" s="54"/>
      <c r="N9681" s="33"/>
    </row>
    <row r="9682" spans="3:14" x14ac:dyDescent="0.3">
      <c r="C9682" s="54"/>
      <c r="N9682" s="33"/>
    </row>
    <row r="9683" spans="3:14" x14ac:dyDescent="0.3">
      <c r="C9683" s="54"/>
      <c r="N9683" s="33"/>
    </row>
    <row r="9684" spans="3:14" x14ac:dyDescent="0.3">
      <c r="C9684" s="54"/>
      <c r="N9684" s="33"/>
    </row>
    <row r="9685" spans="3:14" x14ac:dyDescent="0.3">
      <c r="C9685" s="54"/>
      <c r="N9685" s="33"/>
    </row>
    <row r="9686" spans="3:14" x14ac:dyDescent="0.3">
      <c r="C9686" s="54"/>
      <c r="N9686" s="33"/>
    </row>
    <row r="9687" spans="3:14" x14ac:dyDescent="0.3">
      <c r="C9687" s="54"/>
      <c r="N9687" s="33"/>
    </row>
    <row r="9688" spans="3:14" x14ac:dyDescent="0.3">
      <c r="C9688" s="54"/>
      <c r="N9688" s="33"/>
    </row>
    <row r="9689" spans="3:14" x14ac:dyDescent="0.3">
      <c r="C9689" s="54"/>
      <c r="N9689" s="33"/>
    </row>
    <row r="9690" spans="3:14" x14ac:dyDescent="0.3">
      <c r="C9690" s="54"/>
      <c r="N9690" s="33"/>
    </row>
    <row r="9691" spans="3:14" x14ac:dyDescent="0.3">
      <c r="C9691" s="54"/>
      <c r="N9691" s="33"/>
    </row>
    <row r="9692" spans="3:14" x14ac:dyDescent="0.3">
      <c r="C9692" s="54"/>
      <c r="N9692" s="33"/>
    </row>
    <row r="9693" spans="3:14" x14ac:dyDescent="0.3">
      <c r="C9693" s="54"/>
      <c r="N9693" s="33"/>
    </row>
    <row r="9694" spans="3:14" x14ac:dyDescent="0.3">
      <c r="C9694" s="54"/>
      <c r="N9694" s="33"/>
    </row>
    <row r="9695" spans="3:14" x14ac:dyDescent="0.3">
      <c r="C9695" s="54"/>
      <c r="N9695" s="33"/>
    </row>
    <row r="9696" spans="3:14" x14ac:dyDescent="0.3">
      <c r="C9696" s="54"/>
      <c r="N9696" s="33"/>
    </row>
    <row r="9697" spans="3:14" x14ac:dyDescent="0.3">
      <c r="C9697" s="54"/>
      <c r="N9697" s="33"/>
    </row>
    <row r="9698" spans="3:14" x14ac:dyDescent="0.3">
      <c r="C9698" s="54"/>
      <c r="N9698" s="33"/>
    </row>
    <row r="9699" spans="3:14" x14ac:dyDescent="0.3">
      <c r="C9699" s="54"/>
      <c r="N9699" s="33"/>
    </row>
    <row r="9700" spans="3:14" x14ac:dyDescent="0.3">
      <c r="C9700" s="54"/>
      <c r="N9700" s="33"/>
    </row>
    <row r="9701" spans="3:14" x14ac:dyDescent="0.3">
      <c r="C9701" s="54"/>
      <c r="N9701" s="33"/>
    </row>
    <row r="9702" spans="3:14" x14ac:dyDescent="0.3">
      <c r="C9702" s="54"/>
      <c r="N9702" s="33"/>
    </row>
    <row r="9703" spans="3:14" x14ac:dyDescent="0.3">
      <c r="C9703" s="54"/>
      <c r="N9703" s="33"/>
    </row>
    <row r="9704" spans="3:14" x14ac:dyDescent="0.3">
      <c r="C9704" s="54"/>
      <c r="N9704" s="33"/>
    </row>
    <row r="9705" spans="3:14" x14ac:dyDescent="0.3">
      <c r="C9705" s="54"/>
      <c r="N9705" s="33"/>
    </row>
    <row r="9706" spans="3:14" x14ac:dyDescent="0.3">
      <c r="C9706" s="54"/>
      <c r="N9706" s="33"/>
    </row>
    <row r="9707" spans="3:14" x14ac:dyDescent="0.3">
      <c r="C9707" s="54"/>
      <c r="N9707" s="33"/>
    </row>
    <row r="9708" spans="3:14" x14ac:dyDescent="0.3">
      <c r="C9708" s="54"/>
      <c r="N9708" s="33"/>
    </row>
    <row r="9709" spans="3:14" x14ac:dyDescent="0.3">
      <c r="C9709" s="54"/>
      <c r="N9709" s="33"/>
    </row>
    <row r="9710" spans="3:14" x14ac:dyDescent="0.3">
      <c r="C9710" s="54"/>
      <c r="N9710" s="33"/>
    </row>
    <row r="9711" spans="3:14" x14ac:dyDescent="0.3">
      <c r="C9711" s="54"/>
      <c r="N9711" s="33"/>
    </row>
    <row r="9712" spans="3:14" x14ac:dyDescent="0.3">
      <c r="C9712" s="54"/>
      <c r="N9712" s="33"/>
    </row>
    <row r="9713" spans="3:14" x14ac:dyDescent="0.3">
      <c r="C9713" s="54"/>
      <c r="N9713" s="33"/>
    </row>
    <row r="9714" spans="3:14" x14ac:dyDescent="0.3">
      <c r="C9714" s="54"/>
      <c r="N9714" s="33"/>
    </row>
    <row r="9715" spans="3:14" x14ac:dyDescent="0.3">
      <c r="C9715" s="54"/>
      <c r="N9715" s="33"/>
    </row>
    <row r="9716" spans="3:14" x14ac:dyDescent="0.3">
      <c r="C9716" s="54"/>
      <c r="N9716" s="33"/>
    </row>
    <row r="9717" spans="3:14" x14ac:dyDescent="0.3">
      <c r="C9717" s="54"/>
      <c r="N9717" s="33"/>
    </row>
    <row r="9718" spans="3:14" x14ac:dyDescent="0.3">
      <c r="C9718" s="54"/>
      <c r="N9718" s="33"/>
    </row>
    <row r="9719" spans="3:14" x14ac:dyDescent="0.3">
      <c r="C9719" s="54"/>
      <c r="N9719" s="33"/>
    </row>
    <row r="9720" spans="3:14" x14ac:dyDescent="0.3">
      <c r="C9720" s="54"/>
      <c r="N9720" s="33"/>
    </row>
    <row r="9721" spans="3:14" x14ac:dyDescent="0.3">
      <c r="C9721" s="54"/>
      <c r="N9721" s="33"/>
    </row>
    <row r="9722" spans="3:14" x14ac:dyDescent="0.3">
      <c r="C9722" s="54"/>
      <c r="N9722" s="33"/>
    </row>
    <row r="9723" spans="3:14" x14ac:dyDescent="0.3">
      <c r="C9723" s="54"/>
      <c r="N9723" s="33"/>
    </row>
    <row r="9724" spans="3:14" x14ac:dyDescent="0.3">
      <c r="C9724" s="54"/>
      <c r="N9724" s="33"/>
    </row>
    <row r="9725" spans="3:14" x14ac:dyDescent="0.3">
      <c r="C9725" s="54"/>
      <c r="N9725" s="33"/>
    </row>
    <row r="9726" spans="3:14" x14ac:dyDescent="0.3">
      <c r="C9726" s="54"/>
      <c r="N9726" s="33"/>
    </row>
    <row r="9727" spans="3:14" x14ac:dyDescent="0.3">
      <c r="C9727" s="54"/>
      <c r="N9727" s="33"/>
    </row>
    <row r="9728" spans="3:14" x14ac:dyDescent="0.3">
      <c r="C9728" s="54"/>
      <c r="N9728" s="33"/>
    </row>
    <row r="9729" spans="3:14" x14ac:dyDescent="0.3">
      <c r="C9729" s="54"/>
      <c r="N9729" s="33"/>
    </row>
    <row r="9730" spans="3:14" x14ac:dyDescent="0.3">
      <c r="C9730" s="54"/>
      <c r="N9730" s="33"/>
    </row>
    <row r="9731" spans="3:14" x14ac:dyDescent="0.3">
      <c r="C9731" s="54"/>
      <c r="N9731" s="33"/>
    </row>
    <row r="9732" spans="3:14" x14ac:dyDescent="0.3">
      <c r="C9732" s="54"/>
      <c r="N9732" s="33"/>
    </row>
    <row r="9733" spans="3:14" x14ac:dyDescent="0.3">
      <c r="C9733" s="54"/>
      <c r="N9733" s="33"/>
    </row>
    <row r="9734" spans="3:14" x14ac:dyDescent="0.3">
      <c r="C9734" s="54"/>
      <c r="N9734" s="33"/>
    </row>
    <row r="9735" spans="3:14" x14ac:dyDescent="0.3">
      <c r="C9735" s="54"/>
      <c r="N9735" s="33"/>
    </row>
    <row r="9736" spans="3:14" x14ac:dyDescent="0.3">
      <c r="C9736" s="54"/>
      <c r="N9736" s="33"/>
    </row>
    <row r="9737" spans="3:14" x14ac:dyDescent="0.3">
      <c r="C9737" s="54"/>
      <c r="N9737" s="33"/>
    </row>
    <row r="9738" spans="3:14" x14ac:dyDescent="0.3">
      <c r="C9738" s="54"/>
      <c r="N9738" s="33"/>
    </row>
    <row r="9739" spans="3:14" x14ac:dyDescent="0.3">
      <c r="C9739" s="54"/>
      <c r="N9739" s="33"/>
    </row>
    <row r="9740" spans="3:14" x14ac:dyDescent="0.3">
      <c r="C9740" s="54"/>
      <c r="N9740" s="33"/>
    </row>
    <row r="9741" spans="3:14" x14ac:dyDescent="0.3">
      <c r="C9741" s="54"/>
      <c r="N9741" s="33"/>
    </row>
    <row r="9742" spans="3:14" x14ac:dyDescent="0.3">
      <c r="C9742" s="54"/>
      <c r="N9742" s="33"/>
    </row>
    <row r="9743" spans="3:14" x14ac:dyDescent="0.3">
      <c r="C9743" s="54"/>
      <c r="N9743" s="33"/>
    </row>
    <row r="9744" spans="3:14" x14ac:dyDescent="0.3">
      <c r="C9744" s="54"/>
      <c r="N9744" s="33"/>
    </row>
    <row r="9745" spans="3:14" x14ac:dyDescent="0.3">
      <c r="C9745" s="54"/>
      <c r="N9745" s="33"/>
    </row>
    <row r="9746" spans="3:14" x14ac:dyDescent="0.3">
      <c r="C9746" s="54"/>
      <c r="N9746" s="33"/>
    </row>
    <row r="9747" spans="3:14" x14ac:dyDescent="0.3">
      <c r="C9747" s="54"/>
      <c r="N9747" s="33"/>
    </row>
    <row r="9748" spans="3:14" x14ac:dyDescent="0.3">
      <c r="C9748" s="54"/>
      <c r="N9748" s="33"/>
    </row>
    <row r="9749" spans="3:14" x14ac:dyDescent="0.3">
      <c r="C9749" s="54"/>
      <c r="N9749" s="33"/>
    </row>
    <row r="9750" spans="3:14" x14ac:dyDescent="0.3">
      <c r="C9750" s="54"/>
      <c r="N9750" s="33"/>
    </row>
    <row r="9751" spans="3:14" x14ac:dyDescent="0.3">
      <c r="C9751" s="54"/>
      <c r="N9751" s="33"/>
    </row>
    <row r="9752" spans="3:14" x14ac:dyDescent="0.3">
      <c r="C9752" s="54"/>
      <c r="N9752" s="33"/>
    </row>
    <row r="9753" spans="3:14" x14ac:dyDescent="0.3">
      <c r="C9753" s="54"/>
      <c r="N9753" s="33"/>
    </row>
    <row r="9754" spans="3:14" x14ac:dyDescent="0.3">
      <c r="C9754" s="54"/>
      <c r="N9754" s="33"/>
    </row>
    <row r="9755" spans="3:14" x14ac:dyDescent="0.3">
      <c r="C9755" s="54"/>
      <c r="N9755" s="33"/>
    </row>
    <row r="9756" spans="3:14" x14ac:dyDescent="0.3">
      <c r="C9756" s="54"/>
      <c r="N9756" s="33"/>
    </row>
    <row r="9757" spans="3:14" x14ac:dyDescent="0.3">
      <c r="C9757" s="54"/>
      <c r="N9757" s="33"/>
    </row>
    <row r="9758" spans="3:14" x14ac:dyDescent="0.3">
      <c r="C9758" s="54"/>
      <c r="N9758" s="33"/>
    </row>
    <row r="9759" spans="3:14" x14ac:dyDescent="0.3">
      <c r="C9759" s="54"/>
      <c r="N9759" s="33"/>
    </row>
    <row r="9760" spans="3:14" x14ac:dyDescent="0.3">
      <c r="C9760" s="54"/>
      <c r="N9760" s="33"/>
    </row>
    <row r="9761" spans="3:14" x14ac:dyDescent="0.3">
      <c r="C9761" s="54"/>
      <c r="N9761" s="33"/>
    </row>
    <row r="9762" spans="3:14" x14ac:dyDescent="0.3">
      <c r="C9762" s="54"/>
      <c r="N9762" s="33"/>
    </row>
    <row r="9763" spans="3:14" x14ac:dyDescent="0.3">
      <c r="C9763" s="54"/>
      <c r="N9763" s="33"/>
    </row>
    <row r="9764" spans="3:14" x14ac:dyDescent="0.3">
      <c r="C9764" s="54"/>
      <c r="N9764" s="33"/>
    </row>
    <row r="9765" spans="3:14" x14ac:dyDescent="0.3">
      <c r="C9765" s="54"/>
      <c r="N9765" s="33"/>
    </row>
    <row r="9766" spans="3:14" x14ac:dyDescent="0.3">
      <c r="C9766" s="54"/>
      <c r="N9766" s="33"/>
    </row>
    <row r="9767" spans="3:14" x14ac:dyDescent="0.3">
      <c r="C9767" s="54"/>
      <c r="N9767" s="33"/>
    </row>
    <row r="9768" spans="3:14" x14ac:dyDescent="0.3">
      <c r="C9768" s="54"/>
      <c r="N9768" s="33"/>
    </row>
    <row r="9769" spans="3:14" x14ac:dyDescent="0.3">
      <c r="C9769" s="54"/>
      <c r="N9769" s="33"/>
    </row>
    <row r="9770" spans="3:14" x14ac:dyDescent="0.3">
      <c r="C9770" s="54"/>
      <c r="N9770" s="33"/>
    </row>
    <row r="9771" spans="3:14" x14ac:dyDescent="0.3">
      <c r="C9771" s="54"/>
      <c r="N9771" s="33"/>
    </row>
    <row r="9772" spans="3:14" x14ac:dyDescent="0.3">
      <c r="C9772" s="54"/>
      <c r="N9772" s="33"/>
    </row>
    <row r="9773" spans="3:14" x14ac:dyDescent="0.3">
      <c r="C9773" s="54"/>
      <c r="N9773" s="33"/>
    </row>
    <row r="9774" spans="3:14" x14ac:dyDescent="0.3">
      <c r="C9774" s="54"/>
      <c r="N9774" s="33"/>
    </row>
    <row r="9775" spans="3:14" x14ac:dyDescent="0.3">
      <c r="C9775" s="54"/>
      <c r="N9775" s="33"/>
    </row>
    <row r="9776" spans="3:14" x14ac:dyDescent="0.3">
      <c r="C9776" s="54"/>
      <c r="N9776" s="33"/>
    </row>
    <row r="9777" spans="3:14" x14ac:dyDescent="0.3">
      <c r="C9777" s="54"/>
      <c r="N9777" s="33"/>
    </row>
    <row r="9778" spans="3:14" x14ac:dyDescent="0.3">
      <c r="C9778" s="54"/>
      <c r="N9778" s="33"/>
    </row>
    <row r="9779" spans="3:14" x14ac:dyDescent="0.3">
      <c r="C9779" s="54"/>
      <c r="N9779" s="33"/>
    </row>
    <row r="9780" spans="3:14" x14ac:dyDescent="0.3">
      <c r="C9780" s="54"/>
      <c r="N9780" s="33"/>
    </row>
    <row r="9781" spans="3:14" x14ac:dyDescent="0.3">
      <c r="C9781" s="54"/>
      <c r="N9781" s="33"/>
    </row>
    <row r="9782" spans="3:14" x14ac:dyDescent="0.3">
      <c r="C9782" s="54"/>
      <c r="N9782" s="33"/>
    </row>
    <row r="9783" spans="3:14" x14ac:dyDescent="0.3">
      <c r="C9783" s="54"/>
      <c r="N9783" s="33"/>
    </row>
    <row r="9784" spans="3:14" x14ac:dyDescent="0.3">
      <c r="C9784" s="54"/>
      <c r="N9784" s="33"/>
    </row>
    <row r="9785" spans="3:14" x14ac:dyDescent="0.3">
      <c r="C9785" s="54"/>
      <c r="N9785" s="33"/>
    </row>
    <row r="9786" spans="3:14" x14ac:dyDescent="0.3">
      <c r="C9786" s="54"/>
      <c r="N9786" s="33"/>
    </row>
    <row r="9787" spans="3:14" x14ac:dyDescent="0.3">
      <c r="C9787" s="54"/>
      <c r="N9787" s="33"/>
    </row>
    <row r="9788" spans="3:14" x14ac:dyDescent="0.3">
      <c r="C9788" s="54"/>
      <c r="N9788" s="33"/>
    </row>
    <row r="9789" spans="3:14" x14ac:dyDescent="0.3">
      <c r="C9789" s="54"/>
      <c r="N9789" s="33"/>
    </row>
    <row r="9790" spans="3:14" x14ac:dyDescent="0.3">
      <c r="C9790" s="54"/>
      <c r="N9790" s="33"/>
    </row>
    <row r="9791" spans="3:14" x14ac:dyDescent="0.3">
      <c r="C9791" s="54"/>
      <c r="N9791" s="33"/>
    </row>
    <row r="9792" spans="3:14" x14ac:dyDescent="0.3">
      <c r="C9792" s="54"/>
      <c r="N9792" s="33"/>
    </row>
    <row r="9793" spans="3:14" x14ac:dyDescent="0.3">
      <c r="C9793" s="54"/>
      <c r="N9793" s="33"/>
    </row>
    <row r="9794" spans="3:14" x14ac:dyDescent="0.3">
      <c r="C9794" s="54"/>
      <c r="N9794" s="33"/>
    </row>
    <row r="9795" spans="3:14" x14ac:dyDescent="0.3">
      <c r="C9795" s="54"/>
      <c r="N9795" s="33"/>
    </row>
    <row r="9796" spans="3:14" x14ac:dyDescent="0.3">
      <c r="C9796" s="54"/>
      <c r="N9796" s="33"/>
    </row>
    <row r="9797" spans="3:14" x14ac:dyDescent="0.3">
      <c r="C9797" s="54"/>
      <c r="N9797" s="33"/>
    </row>
    <row r="9798" spans="3:14" x14ac:dyDescent="0.3">
      <c r="C9798" s="54"/>
      <c r="N9798" s="33"/>
    </row>
    <row r="9799" spans="3:14" x14ac:dyDescent="0.3">
      <c r="C9799" s="54"/>
      <c r="N9799" s="33"/>
    </row>
    <row r="9800" spans="3:14" x14ac:dyDescent="0.3">
      <c r="C9800" s="54"/>
      <c r="N9800" s="33"/>
    </row>
    <row r="9801" spans="3:14" x14ac:dyDescent="0.3">
      <c r="C9801" s="54"/>
      <c r="N9801" s="33"/>
    </row>
    <row r="9802" spans="3:14" x14ac:dyDescent="0.3">
      <c r="C9802" s="54"/>
      <c r="N9802" s="33"/>
    </row>
    <row r="9803" spans="3:14" x14ac:dyDescent="0.3">
      <c r="C9803" s="54"/>
      <c r="N9803" s="33"/>
    </row>
    <row r="9804" spans="3:14" x14ac:dyDescent="0.3">
      <c r="C9804" s="54"/>
      <c r="N9804" s="33"/>
    </row>
    <row r="9805" spans="3:14" x14ac:dyDescent="0.3">
      <c r="C9805" s="54"/>
      <c r="N9805" s="33"/>
    </row>
    <row r="9806" spans="3:14" x14ac:dyDescent="0.3">
      <c r="C9806" s="54"/>
      <c r="N9806" s="33"/>
    </row>
    <row r="9807" spans="3:14" x14ac:dyDescent="0.3">
      <c r="C9807" s="54"/>
      <c r="N9807" s="33"/>
    </row>
    <row r="9808" spans="3:14" x14ac:dyDescent="0.3">
      <c r="C9808" s="54"/>
      <c r="N9808" s="33"/>
    </row>
    <row r="9809" spans="3:14" x14ac:dyDescent="0.3">
      <c r="C9809" s="54"/>
      <c r="N9809" s="33"/>
    </row>
    <row r="9810" spans="3:14" x14ac:dyDescent="0.3">
      <c r="C9810" s="54"/>
      <c r="N9810" s="33"/>
    </row>
    <row r="9811" spans="3:14" x14ac:dyDescent="0.3">
      <c r="C9811" s="54"/>
      <c r="N9811" s="33"/>
    </row>
    <row r="9812" spans="3:14" x14ac:dyDescent="0.3">
      <c r="C9812" s="54"/>
      <c r="N9812" s="33"/>
    </row>
    <row r="9813" spans="3:14" x14ac:dyDescent="0.3">
      <c r="C9813" s="54"/>
      <c r="N9813" s="33"/>
    </row>
    <row r="9814" spans="3:14" x14ac:dyDescent="0.3">
      <c r="C9814" s="54"/>
      <c r="N9814" s="33"/>
    </row>
    <row r="9815" spans="3:14" x14ac:dyDescent="0.3">
      <c r="C9815" s="54"/>
      <c r="N9815" s="33"/>
    </row>
    <row r="9816" spans="3:14" x14ac:dyDescent="0.3">
      <c r="C9816" s="54"/>
      <c r="N9816" s="33"/>
    </row>
    <row r="9817" spans="3:14" x14ac:dyDescent="0.3">
      <c r="C9817" s="54"/>
      <c r="N9817" s="33"/>
    </row>
    <row r="9818" spans="3:14" x14ac:dyDescent="0.3">
      <c r="C9818" s="54"/>
      <c r="N9818" s="33"/>
    </row>
    <row r="9819" spans="3:14" x14ac:dyDescent="0.3">
      <c r="C9819" s="54"/>
      <c r="N9819" s="33"/>
    </row>
    <row r="9820" spans="3:14" x14ac:dyDescent="0.3">
      <c r="C9820" s="54"/>
      <c r="N9820" s="33"/>
    </row>
    <row r="9821" spans="3:14" x14ac:dyDescent="0.3">
      <c r="C9821" s="54"/>
      <c r="N9821" s="33"/>
    </row>
    <row r="9822" spans="3:14" x14ac:dyDescent="0.3">
      <c r="C9822" s="54"/>
      <c r="N9822" s="33"/>
    </row>
    <row r="9823" spans="3:14" x14ac:dyDescent="0.3">
      <c r="C9823" s="54"/>
      <c r="N9823" s="33"/>
    </row>
    <row r="9824" spans="3:14" x14ac:dyDescent="0.3">
      <c r="C9824" s="54"/>
      <c r="N9824" s="33"/>
    </row>
    <row r="9825" spans="3:14" x14ac:dyDescent="0.3">
      <c r="C9825" s="54"/>
      <c r="N9825" s="33"/>
    </row>
    <row r="9826" spans="3:14" x14ac:dyDescent="0.3">
      <c r="C9826" s="54"/>
      <c r="N9826" s="33"/>
    </row>
    <row r="9827" spans="3:14" x14ac:dyDescent="0.3">
      <c r="C9827" s="54"/>
      <c r="N9827" s="33"/>
    </row>
    <row r="9828" spans="3:14" x14ac:dyDescent="0.3">
      <c r="C9828" s="54"/>
      <c r="N9828" s="33"/>
    </row>
    <row r="9829" spans="3:14" x14ac:dyDescent="0.3">
      <c r="C9829" s="54"/>
      <c r="N9829" s="33"/>
    </row>
    <row r="9830" spans="3:14" x14ac:dyDescent="0.3">
      <c r="C9830" s="54"/>
      <c r="N9830" s="33"/>
    </row>
    <row r="9831" spans="3:14" x14ac:dyDescent="0.3">
      <c r="C9831" s="54"/>
      <c r="N9831" s="33"/>
    </row>
    <row r="9832" spans="3:14" x14ac:dyDescent="0.3">
      <c r="C9832" s="54"/>
      <c r="N9832" s="33"/>
    </row>
    <row r="9833" spans="3:14" x14ac:dyDescent="0.3">
      <c r="C9833" s="54"/>
      <c r="N9833" s="33"/>
    </row>
    <row r="9834" spans="3:14" x14ac:dyDescent="0.3">
      <c r="C9834" s="54"/>
      <c r="N9834" s="33"/>
    </row>
    <row r="9835" spans="3:14" x14ac:dyDescent="0.3">
      <c r="C9835" s="54"/>
      <c r="N9835" s="33"/>
    </row>
    <row r="9836" spans="3:14" x14ac:dyDescent="0.3">
      <c r="C9836" s="54"/>
      <c r="N9836" s="33"/>
    </row>
    <row r="9837" spans="3:14" x14ac:dyDescent="0.3">
      <c r="C9837" s="54"/>
      <c r="N9837" s="33"/>
    </row>
    <row r="9838" spans="3:14" x14ac:dyDescent="0.3">
      <c r="C9838" s="54"/>
      <c r="N9838" s="33"/>
    </row>
    <row r="9839" spans="3:14" x14ac:dyDescent="0.3">
      <c r="C9839" s="54"/>
      <c r="N9839" s="33"/>
    </row>
    <row r="9840" spans="3:14" x14ac:dyDescent="0.3">
      <c r="C9840" s="54"/>
      <c r="N9840" s="33"/>
    </row>
    <row r="9841" spans="3:14" x14ac:dyDescent="0.3">
      <c r="C9841" s="54"/>
      <c r="N9841" s="33"/>
    </row>
    <row r="9842" spans="3:14" x14ac:dyDescent="0.3">
      <c r="C9842" s="54"/>
      <c r="N9842" s="33"/>
    </row>
    <row r="9843" spans="3:14" x14ac:dyDescent="0.3">
      <c r="C9843" s="54"/>
      <c r="N9843" s="33"/>
    </row>
    <row r="9844" spans="3:14" x14ac:dyDescent="0.3">
      <c r="C9844" s="54"/>
      <c r="N9844" s="33"/>
    </row>
    <row r="9845" spans="3:14" x14ac:dyDescent="0.3">
      <c r="C9845" s="54"/>
      <c r="N9845" s="33"/>
    </row>
    <row r="9846" spans="3:14" x14ac:dyDescent="0.3">
      <c r="C9846" s="54"/>
      <c r="N9846" s="33"/>
    </row>
    <row r="9847" spans="3:14" x14ac:dyDescent="0.3">
      <c r="C9847" s="54"/>
      <c r="N9847" s="33"/>
    </row>
    <row r="9848" spans="3:14" x14ac:dyDescent="0.3">
      <c r="C9848" s="54"/>
      <c r="N9848" s="33"/>
    </row>
    <row r="9849" spans="3:14" x14ac:dyDescent="0.3">
      <c r="C9849" s="54"/>
      <c r="N9849" s="33"/>
    </row>
    <row r="9850" spans="3:14" x14ac:dyDescent="0.3">
      <c r="C9850" s="54"/>
      <c r="N9850" s="33"/>
    </row>
    <row r="9851" spans="3:14" x14ac:dyDescent="0.3">
      <c r="C9851" s="54"/>
      <c r="N9851" s="33"/>
    </row>
    <row r="9852" spans="3:14" x14ac:dyDescent="0.3">
      <c r="C9852" s="54"/>
      <c r="N9852" s="33"/>
    </row>
    <row r="9853" spans="3:14" x14ac:dyDescent="0.3">
      <c r="C9853" s="54"/>
      <c r="N9853" s="33"/>
    </row>
    <row r="9854" spans="3:14" x14ac:dyDescent="0.3">
      <c r="C9854" s="54"/>
      <c r="N9854" s="33"/>
    </row>
    <row r="9855" spans="3:14" x14ac:dyDescent="0.3">
      <c r="C9855" s="54"/>
      <c r="N9855" s="33"/>
    </row>
    <row r="9856" spans="3:14" x14ac:dyDescent="0.3">
      <c r="C9856" s="54"/>
      <c r="N9856" s="33"/>
    </row>
    <row r="9857" spans="3:14" x14ac:dyDescent="0.3">
      <c r="C9857" s="54"/>
      <c r="N9857" s="33"/>
    </row>
    <row r="9858" spans="3:14" x14ac:dyDescent="0.3">
      <c r="C9858" s="54"/>
      <c r="N9858" s="33"/>
    </row>
    <row r="9859" spans="3:14" x14ac:dyDescent="0.3">
      <c r="C9859" s="54"/>
      <c r="N9859" s="33"/>
    </row>
    <row r="9860" spans="3:14" x14ac:dyDescent="0.3">
      <c r="C9860" s="54"/>
      <c r="N9860" s="33"/>
    </row>
    <row r="9861" spans="3:14" x14ac:dyDescent="0.3">
      <c r="C9861" s="54"/>
      <c r="N9861" s="33"/>
    </row>
    <row r="9862" spans="3:14" x14ac:dyDescent="0.3">
      <c r="C9862" s="54"/>
      <c r="N9862" s="33"/>
    </row>
    <row r="9863" spans="3:14" x14ac:dyDescent="0.3">
      <c r="C9863" s="54"/>
      <c r="N9863" s="33"/>
    </row>
    <row r="9864" spans="3:14" x14ac:dyDescent="0.3">
      <c r="C9864" s="54"/>
      <c r="N9864" s="33"/>
    </row>
    <row r="9865" spans="3:14" x14ac:dyDescent="0.3">
      <c r="C9865" s="54"/>
      <c r="N9865" s="33"/>
    </row>
    <row r="9866" spans="3:14" x14ac:dyDescent="0.3">
      <c r="C9866" s="54"/>
      <c r="N9866" s="33"/>
    </row>
    <row r="9867" spans="3:14" x14ac:dyDescent="0.3">
      <c r="C9867" s="54"/>
      <c r="N9867" s="33"/>
    </row>
    <row r="9868" spans="3:14" x14ac:dyDescent="0.3">
      <c r="C9868" s="54"/>
      <c r="N9868" s="33"/>
    </row>
    <row r="9869" spans="3:14" x14ac:dyDescent="0.3">
      <c r="C9869" s="54"/>
      <c r="N9869" s="33"/>
    </row>
    <row r="9870" spans="3:14" x14ac:dyDescent="0.3">
      <c r="C9870" s="54"/>
      <c r="N9870" s="33"/>
    </row>
    <row r="9871" spans="3:14" x14ac:dyDescent="0.3">
      <c r="C9871" s="54"/>
      <c r="N9871" s="33"/>
    </row>
    <row r="9872" spans="3:14" x14ac:dyDescent="0.3">
      <c r="C9872" s="54"/>
      <c r="N9872" s="33"/>
    </row>
    <row r="9873" spans="3:14" x14ac:dyDescent="0.3">
      <c r="C9873" s="54"/>
      <c r="N9873" s="33"/>
    </row>
    <row r="9874" spans="3:14" x14ac:dyDescent="0.3">
      <c r="C9874" s="54"/>
      <c r="N9874" s="33"/>
    </row>
    <row r="9875" spans="3:14" x14ac:dyDescent="0.3">
      <c r="C9875" s="54"/>
      <c r="N9875" s="33"/>
    </row>
    <row r="9876" spans="3:14" x14ac:dyDescent="0.3">
      <c r="C9876" s="54"/>
      <c r="N9876" s="33"/>
    </row>
    <row r="9877" spans="3:14" x14ac:dyDescent="0.3">
      <c r="C9877" s="54"/>
      <c r="N9877" s="33"/>
    </row>
    <row r="9878" spans="3:14" x14ac:dyDescent="0.3">
      <c r="C9878" s="54"/>
      <c r="N9878" s="33"/>
    </row>
    <row r="9879" spans="3:14" x14ac:dyDescent="0.3">
      <c r="C9879" s="54"/>
      <c r="N9879" s="33"/>
    </row>
    <row r="9880" spans="3:14" x14ac:dyDescent="0.3">
      <c r="C9880" s="54"/>
      <c r="N9880" s="33"/>
    </row>
    <row r="9881" spans="3:14" x14ac:dyDescent="0.3">
      <c r="C9881" s="54"/>
      <c r="N9881" s="33"/>
    </row>
    <row r="9882" spans="3:14" x14ac:dyDescent="0.3">
      <c r="C9882" s="54"/>
      <c r="N9882" s="33"/>
    </row>
    <row r="9883" spans="3:14" x14ac:dyDescent="0.3">
      <c r="C9883" s="54"/>
      <c r="N9883" s="33"/>
    </row>
    <row r="9884" spans="3:14" x14ac:dyDescent="0.3">
      <c r="C9884" s="54"/>
      <c r="N9884" s="33"/>
    </row>
    <row r="9885" spans="3:14" x14ac:dyDescent="0.3">
      <c r="C9885" s="54"/>
      <c r="N9885" s="33"/>
    </row>
    <row r="9886" spans="3:14" x14ac:dyDescent="0.3">
      <c r="C9886" s="54"/>
      <c r="N9886" s="33"/>
    </row>
    <row r="9887" spans="3:14" x14ac:dyDescent="0.3">
      <c r="C9887" s="54"/>
      <c r="N9887" s="33"/>
    </row>
    <row r="9888" spans="3:14" x14ac:dyDescent="0.3">
      <c r="C9888" s="54"/>
      <c r="N9888" s="33"/>
    </row>
    <row r="9889" spans="3:14" x14ac:dyDescent="0.3">
      <c r="C9889" s="54"/>
      <c r="N9889" s="33"/>
    </row>
    <row r="9890" spans="3:14" x14ac:dyDescent="0.3">
      <c r="C9890" s="54"/>
      <c r="N9890" s="33"/>
    </row>
    <row r="9891" spans="3:14" x14ac:dyDescent="0.3">
      <c r="C9891" s="54"/>
      <c r="N9891" s="33"/>
    </row>
    <row r="9892" spans="3:14" x14ac:dyDescent="0.3">
      <c r="C9892" s="54"/>
      <c r="N9892" s="33"/>
    </row>
    <row r="9893" spans="3:14" x14ac:dyDescent="0.3">
      <c r="C9893" s="54"/>
      <c r="N9893" s="33"/>
    </row>
    <row r="9894" spans="3:14" x14ac:dyDescent="0.3">
      <c r="C9894" s="54"/>
      <c r="N9894" s="33"/>
    </row>
    <row r="9895" spans="3:14" x14ac:dyDescent="0.3">
      <c r="C9895" s="54"/>
      <c r="N9895" s="33"/>
    </row>
    <row r="9896" spans="3:14" x14ac:dyDescent="0.3">
      <c r="C9896" s="54"/>
      <c r="N9896" s="33"/>
    </row>
    <row r="9897" spans="3:14" x14ac:dyDescent="0.3">
      <c r="C9897" s="54"/>
      <c r="N9897" s="33"/>
    </row>
    <row r="9898" spans="3:14" x14ac:dyDescent="0.3">
      <c r="C9898" s="54"/>
      <c r="N9898" s="33"/>
    </row>
    <row r="9899" spans="3:14" x14ac:dyDescent="0.3">
      <c r="C9899" s="54"/>
      <c r="N9899" s="33"/>
    </row>
    <row r="9900" spans="3:14" x14ac:dyDescent="0.3">
      <c r="C9900" s="54"/>
      <c r="N9900" s="33"/>
    </row>
    <row r="9901" spans="3:14" x14ac:dyDescent="0.3">
      <c r="C9901" s="54"/>
      <c r="N9901" s="33"/>
    </row>
    <row r="9902" spans="3:14" x14ac:dyDescent="0.3">
      <c r="C9902" s="54"/>
      <c r="N9902" s="33"/>
    </row>
    <row r="9903" spans="3:14" x14ac:dyDescent="0.3">
      <c r="C9903" s="54"/>
      <c r="N9903" s="33"/>
    </row>
    <row r="9904" spans="3:14" x14ac:dyDescent="0.3">
      <c r="C9904" s="54"/>
      <c r="N9904" s="33"/>
    </row>
    <row r="9905" spans="3:14" x14ac:dyDescent="0.3">
      <c r="C9905" s="54"/>
      <c r="N9905" s="33"/>
    </row>
    <row r="9906" spans="3:14" x14ac:dyDescent="0.3">
      <c r="C9906" s="54"/>
      <c r="N9906" s="33"/>
    </row>
    <row r="9907" spans="3:14" x14ac:dyDescent="0.3">
      <c r="C9907" s="54"/>
      <c r="N9907" s="33"/>
    </row>
    <row r="9908" spans="3:14" x14ac:dyDescent="0.3">
      <c r="C9908" s="54"/>
      <c r="N9908" s="33"/>
    </row>
    <row r="9909" spans="3:14" x14ac:dyDescent="0.3">
      <c r="C9909" s="54"/>
      <c r="N9909" s="33"/>
    </row>
    <row r="9910" spans="3:14" x14ac:dyDescent="0.3">
      <c r="C9910" s="54"/>
      <c r="N9910" s="33"/>
    </row>
    <row r="9911" spans="3:14" x14ac:dyDescent="0.3">
      <c r="C9911" s="54"/>
      <c r="N9911" s="33"/>
    </row>
    <row r="9912" spans="3:14" x14ac:dyDescent="0.3">
      <c r="C9912" s="54"/>
      <c r="N9912" s="33"/>
    </row>
    <row r="9913" spans="3:14" x14ac:dyDescent="0.3">
      <c r="C9913" s="54"/>
      <c r="N9913" s="33"/>
    </row>
    <row r="9914" spans="3:14" x14ac:dyDescent="0.3">
      <c r="C9914" s="54"/>
      <c r="N9914" s="33"/>
    </row>
    <row r="9915" spans="3:14" x14ac:dyDescent="0.3">
      <c r="C9915" s="54"/>
      <c r="N9915" s="33"/>
    </row>
    <row r="9916" spans="3:14" x14ac:dyDescent="0.3">
      <c r="C9916" s="54"/>
      <c r="N9916" s="33"/>
    </row>
    <row r="9917" spans="3:14" x14ac:dyDescent="0.3">
      <c r="C9917" s="54"/>
      <c r="N9917" s="33"/>
    </row>
    <row r="9918" spans="3:14" x14ac:dyDescent="0.3">
      <c r="C9918" s="54"/>
      <c r="N9918" s="33"/>
    </row>
    <row r="9919" spans="3:14" x14ac:dyDescent="0.3">
      <c r="C9919" s="54"/>
      <c r="N9919" s="33"/>
    </row>
    <row r="9920" spans="3:14" x14ac:dyDescent="0.3">
      <c r="C9920" s="54"/>
      <c r="N9920" s="33"/>
    </row>
    <row r="9921" spans="3:14" x14ac:dyDescent="0.3">
      <c r="C9921" s="54"/>
      <c r="N9921" s="33"/>
    </row>
    <row r="9922" spans="3:14" x14ac:dyDescent="0.3">
      <c r="C9922" s="54"/>
      <c r="N9922" s="33"/>
    </row>
    <row r="9923" spans="3:14" x14ac:dyDescent="0.3">
      <c r="C9923" s="54"/>
      <c r="N9923" s="33"/>
    </row>
    <row r="9924" spans="3:14" x14ac:dyDescent="0.3">
      <c r="C9924" s="54"/>
      <c r="N9924" s="33"/>
    </row>
    <row r="9925" spans="3:14" x14ac:dyDescent="0.3">
      <c r="C9925" s="54"/>
      <c r="N9925" s="33"/>
    </row>
    <row r="9926" spans="3:14" x14ac:dyDescent="0.3">
      <c r="C9926" s="54"/>
      <c r="N9926" s="33"/>
    </row>
    <row r="9927" spans="3:14" x14ac:dyDescent="0.3">
      <c r="C9927" s="54"/>
      <c r="N9927" s="33"/>
    </row>
    <row r="9928" spans="3:14" x14ac:dyDescent="0.3">
      <c r="C9928" s="54"/>
      <c r="N9928" s="33"/>
    </row>
    <row r="9929" spans="3:14" x14ac:dyDescent="0.3">
      <c r="C9929" s="54"/>
      <c r="N9929" s="33"/>
    </row>
    <row r="9930" spans="3:14" x14ac:dyDescent="0.3">
      <c r="C9930" s="54"/>
      <c r="N9930" s="33"/>
    </row>
    <row r="9931" spans="3:14" x14ac:dyDescent="0.3">
      <c r="C9931" s="54"/>
      <c r="N9931" s="33"/>
    </row>
    <row r="9932" spans="3:14" x14ac:dyDescent="0.3">
      <c r="C9932" s="54"/>
      <c r="N9932" s="33"/>
    </row>
    <row r="9933" spans="3:14" x14ac:dyDescent="0.3">
      <c r="C9933" s="54"/>
      <c r="N9933" s="33"/>
    </row>
    <row r="9934" spans="3:14" x14ac:dyDescent="0.3">
      <c r="C9934" s="54"/>
      <c r="N9934" s="33"/>
    </row>
    <row r="9935" spans="3:14" x14ac:dyDescent="0.3">
      <c r="C9935" s="54"/>
      <c r="N9935" s="33"/>
    </row>
    <row r="9936" spans="3:14" x14ac:dyDescent="0.3">
      <c r="C9936" s="54"/>
      <c r="N9936" s="33"/>
    </row>
    <row r="9937" spans="3:14" x14ac:dyDescent="0.3">
      <c r="C9937" s="54"/>
      <c r="N9937" s="33"/>
    </row>
    <row r="9938" spans="3:14" x14ac:dyDescent="0.3">
      <c r="C9938" s="54"/>
      <c r="N9938" s="33"/>
    </row>
    <row r="9939" spans="3:14" x14ac:dyDescent="0.3">
      <c r="C9939" s="54"/>
      <c r="N9939" s="33"/>
    </row>
    <row r="9940" spans="3:14" x14ac:dyDescent="0.3">
      <c r="C9940" s="54"/>
      <c r="N9940" s="33"/>
    </row>
    <row r="9941" spans="3:14" x14ac:dyDescent="0.3">
      <c r="C9941" s="54"/>
      <c r="N9941" s="33"/>
    </row>
    <row r="9942" spans="3:14" x14ac:dyDescent="0.3">
      <c r="C9942" s="54"/>
      <c r="N9942" s="33"/>
    </row>
    <row r="9943" spans="3:14" x14ac:dyDescent="0.3">
      <c r="C9943" s="54"/>
      <c r="N9943" s="33"/>
    </row>
    <row r="9944" spans="3:14" x14ac:dyDescent="0.3">
      <c r="C9944" s="54"/>
      <c r="N9944" s="33"/>
    </row>
    <row r="9945" spans="3:14" x14ac:dyDescent="0.3">
      <c r="C9945" s="54"/>
      <c r="N9945" s="33"/>
    </row>
    <row r="9946" spans="3:14" x14ac:dyDescent="0.3">
      <c r="C9946" s="54"/>
      <c r="N9946" s="33"/>
    </row>
    <row r="9947" spans="3:14" x14ac:dyDescent="0.3">
      <c r="C9947" s="54"/>
      <c r="N9947" s="33"/>
    </row>
    <row r="9948" spans="3:14" x14ac:dyDescent="0.3">
      <c r="C9948" s="54"/>
      <c r="N9948" s="33"/>
    </row>
    <row r="9949" spans="3:14" x14ac:dyDescent="0.3">
      <c r="C9949" s="54"/>
      <c r="N9949" s="33"/>
    </row>
    <row r="9950" spans="3:14" x14ac:dyDescent="0.3">
      <c r="C9950" s="54"/>
      <c r="N9950" s="33"/>
    </row>
    <row r="9951" spans="3:14" x14ac:dyDescent="0.3">
      <c r="C9951" s="54"/>
      <c r="N9951" s="33"/>
    </row>
    <row r="9952" spans="3:14" x14ac:dyDescent="0.3">
      <c r="C9952" s="54"/>
      <c r="N9952" s="33"/>
    </row>
    <row r="9953" spans="3:14" x14ac:dyDescent="0.3">
      <c r="C9953" s="54"/>
      <c r="N9953" s="33"/>
    </row>
    <row r="9954" spans="3:14" x14ac:dyDescent="0.3">
      <c r="C9954" s="54"/>
      <c r="N9954" s="33"/>
    </row>
    <row r="9955" spans="3:14" x14ac:dyDescent="0.3">
      <c r="C9955" s="54"/>
      <c r="N9955" s="33"/>
    </row>
    <row r="9956" spans="3:14" x14ac:dyDescent="0.3">
      <c r="C9956" s="54"/>
      <c r="N9956" s="33"/>
    </row>
    <row r="9957" spans="3:14" x14ac:dyDescent="0.3">
      <c r="C9957" s="54"/>
      <c r="N9957" s="33"/>
    </row>
    <row r="9958" spans="3:14" x14ac:dyDescent="0.3">
      <c r="C9958" s="54"/>
      <c r="N9958" s="33"/>
    </row>
    <row r="9959" spans="3:14" x14ac:dyDescent="0.3">
      <c r="C9959" s="54"/>
      <c r="N9959" s="33"/>
    </row>
    <row r="9960" spans="3:14" x14ac:dyDescent="0.3">
      <c r="C9960" s="54"/>
      <c r="N9960" s="33"/>
    </row>
    <row r="9961" spans="3:14" x14ac:dyDescent="0.3">
      <c r="C9961" s="54"/>
      <c r="N9961" s="33"/>
    </row>
    <row r="9962" spans="3:14" x14ac:dyDescent="0.3">
      <c r="C9962" s="54"/>
      <c r="N9962" s="33"/>
    </row>
    <row r="9963" spans="3:14" x14ac:dyDescent="0.3">
      <c r="C9963" s="54"/>
      <c r="N9963" s="33"/>
    </row>
    <row r="9964" spans="3:14" x14ac:dyDescent="0.3">
      <c r="C9964" s="54"/>
      <c r="N9964" s="33"/>
    </row>
    <row r="9965" spans="3:14" x14ac:dyDescent="0.3">
      <c r="C9965" s="54"/>
      <c r="N9965" s="33"/>
    </row>
    <row r="9966" spans="3:14" x14ac:dyDescent="0.3">
      <c r="C9966" s="54"/>
      <c r="N9966" s="33"/>
    </row>
    <row r="9967" spans="3:14" x14ac:dyDescent="0.3">
      <c r="C9967" s="54"/>
      <c r="N9967" s="33"/>
    </row>
    <row r="9968" spans="3:14" x14ac:dyDescent="0.3">
      <c r="C9968" s="54"/>
      <c r="N9968" s="33"/>
    </row>
    <row r="9969" spans="3:14" x14ac:dyDescent="0.3">
      <c r="C9969" s="54"/>
      <c r="N9969" s="33"/>
    </row>
    <row r="9970" spans="3:14" x14ac:dyDescent="0.3">
      <c r="C9970" s="54"/>
      <c r="N9970" s="33"/>
    </row>
    <row r="9971" spans="3:14" x14ac:dyDescent="0.3">
      <c r="C9971" s="54"/>
      <c r="N9971" s="33"/>
    </row>
    <row r="9972" spans="3:14" x14ac:dyDescent="0.3">
      <c r="C9972" s="54"/>
      <c r="N9972" s="33"/>
    </row>
    <row r="9973" spans="3:14" x14ac:dyDescent="0.3">
      <c r="C9973" s="54"/>
      <c r="N9973" s="33"/>
    </row>
    <row r="9974" spans="3:14" x14ac:dyDescent="0.3">
      <c r="C9974" s="54"/>
      <c r="N9974" s="33"/>
    </row>
    <row r="9975" spans="3:14" x14ac:dyDescent="0.3">
      <c r="C9975" s="54"/>
      <c r="N9975" s="33"/>
    </row>
    <row r="9976" spans="3:14" x14ac:dyDescent="0.3">
      <c r="C9976" s="54"/>
      <c r="N9976" s="33"/>
    </row>
    <row r="9977" spans="3:14" x14ac:dyDescent="0.3">
      <c r="C9977" s="54"/>
      <c r="N9977" s="33"/>
    </row>
    <row r="9978" spans="3:14" x14ac:dyDescent="0.3">
      <c r="C9978" s="54"/>
      <c r="N9978" s="33"/>
    </row>
    <row r="9979" spans="3:14" x14ac:dyDescent="0.3">
      <c r="C9979" s="54"/>
      <c r="N9979" s="33"/>
    </row>
    <row r="9980" spans="3:14" x14ac:dyDescent="0.3">
      <c r="C9980" s="54"/>
      <c r="N9980" s="33"/>
    </row>
    <row r="9981" spans="3:14" x14ac:dyDescent="0.3">
      <c r="C9981" s="54"/>
      <c r="N9981" s="33"/>
    </row>
    <row r="9982" spans="3:14" x14ac:dyDescent="0.3">
      <c r="C9982" s="54"/>
      <c r="N9982" s="33"/>
    </row>
    <row r="9983" spans="3:14" x14ac:dyDescent="0.3">
      <c r="C9983" s="54"/>
      <c r="N9983" s="33"/>
    </row>
    <row r="9984" spans="3:14" x14ac:dyDescent="0.3">
      <c r="C9984" s="54"/>
      <c r="N9984" s="33"/>
    </row>
    <row r="9985" spans="3:14" x14ac:dyDescent="0.3">
      <c r="C9985" s="54"/>
      <c r="N9985" s="33"/>
    </row>
    <row r="9986" spans="3:14" x14ac:dyDescent="0.3">
      <c r="C9986" s="54"/>
      <c r="N9986" s="33"/>
    </row>
    <row r="9987" spans="3:14" x14ac:dyDescent="0.3">
      <c r="C9987" s="54"/>
      <c r="N9987" s="33"/>
    </row>
    <row r="9988" spans="3:14" x14ac:dyDescent="0.3">
      <c r="C9988" s="54"/>
      <c r="N9988" s="33"/>
    </row>
    <row r="9989" spans="3:14" x14ac:dyDescent="0.3">
      <c r="C9989" s="54"/>
      <c r="N9989" s="33"/>
    </row>
    <row r="9990" spans="3:14" x14ac:dyDescent="0.3">
      <c r="C9990" s="54"/>
      <c r="N9990" s="33"/>
    </row>
    <row r="9991" spans="3:14" x14ac:dyDescent="0.3">
      <c r="C9991" s="54"/>
      <c r="N9991" s="33"/>
    </row>
    <row r="9992" spans="3:14" x14ac:dyDescent="0.3">
      <c r="C9992" s="54"/>
      <c r="N9992" s="33"/>
    </row>
    <row r="9993" spans="3:14" x14ac:dyDescent="0.3">
      <c r="C9993" s="54"/>
      <c r="N9993" s="33"/>
    </row>
    <row r="9994" spans="3:14" x14ac:dyDescent="0.3">
      <c r="C9994" s="54"/>
      <c r="N9994" s="33"/>
    </row>
    <row r="9995" spans="3:14" x14ac:dyDescent="0.3">
      <c r="C9995" s="54"/>
      <c r="N9995" s="33"/>
    </row>
    <row r="9996" spans="3:14" x14ac:dyDescent="0.3">
      <c r="C9996" s="54"/>
      <c r="N9996" s="33"/>
    </row>
    <row r="9997" spans="3:14" x14ac:dyDescent="0.3">
      <c r="C9997" s="54"/>
      <c r="N9997" s="33"/>
    </row>
    <row r="9998" spans="3:14" x14ac:dyDescent="0.3">
      <c r="C9998" s="54"/>
      <c r="N9998" s="33"/>
    </row>
    <row r="9999" spans="3:14" x14ac:dyDescent="0.3">
      <c r="C9999" s="54"/>
      <c r="N9999" s="33"/>
    </row>
    <row r="10000" spans="3:14" x14ac:dyDescent="0.3">
      <c r="C10000" s="54"/>
      <c r="N10000" s="33"/>
    </row>
    <row r="10001" spans="3:14" x14ac:dyDescent="0.3">
      <c r="C10001" s="54"/>
      <c r="N10001" s="33"/>
    </row>
    <row r="10002" spans="3:14" x14ac:dyDescent="0.3">
      <c r="C10002" s="54"/>
      <c r="N10002" s="33"/>
    </row>
    <row r="10003" spans="3:14" x14ac:dyDescent="0.3">
      <c r="C10003" s="54"/>
      <c r="N10003" s="33"/>
    </row>
    <row r="10004" spans="3:14" x14ac:dyDescent="0.3">
      <c r="C10004" s="54"/>
      <c r="N10004" s="33"/>
    </row>
    <row r="10005" spans="3:14" x14ac:dyDescent="0.3">
      <c r="C10005" s="54"/>
      <c r="N10005" s="33"/>
    </row>
    <row r="10006" spans="3:14" x14ac:dyDescent="0.3">
      <c r="C10006" s="54"/>
      <c r="N10006" s="33"/>
    </row>
    <row r="10007" spans="3:14" x14ac:dyDescent="0.3">
      <c r="C10007" s="54"/>
      <c r="N10007" s="33"/>
    </row>
    <row r="10008" spans="3:14" x14ac:dyDescent="0.3">
      <c r="C10008" s="54"/>
      <c r="N10008" s="33"/>
    </row>
    <row r="10009" spans="3:14" x14ac:dyDescent="0.3">
      <c r="C10009" s="54"/>
      <c r="N10009" s="33"/>
    </row>
    <row r="10010" spans="3:14" x14ac:dyDescent="0.3">
      <c r="C10010" s="54"/>
      <c r="N10010" s="33"/>
    </row>
    <row r="10011" spans="3:14" x14ac:dyDescent="0.3">
      <c r="C10011" s="54"/>
      <c r="N10011" s="33"/>
    </row>
    <row r="10012" spans="3:14" x14ac:dyDescent="0.3">
      <c r="C10012" s="54"/>
      <c r="N10012" s="33"/>
    </row>
    <row r="10013" spans="3:14" x14ac:dyDescent="0.3">
      <c r="C10013" s="54"/>
      <c r="N10013" s="33"/>
    </row>
    <row r="10014" spans="3:14" x14ac:dyDescent="0.3">
      <c r="C10014" s="54"/>
      <c r="N10014" s="33"/>
    </row>
    <row r="10015" spans="3:14" x14ac:dyDescent="0.3">
      <c r="C10015" s="54"/>
      <c r="N10015" s="33"/>
    </row>
    <row r="10016" spans="3:14" x14ac:dyDescent="0.3">
      <c r="C10016" s="54"/>
      <c r="N10016" s="33"/>
    </row>
    <row r="10017" spans="3:14" x14ac:dyDescent="0.3">
      <c r="C10017" s="54"/>
      <c r="N10017" s="33"/>
    </row>
    <row r="10018" spans="3:14" x14ac:dyDescent="0.3">
      <c r="C10018" s="54"/>
      <c r="N10018" s="33"/>
    </row>
    <row r="10019" spans="3:14" x14ac:dyDescent="0.3">
      <c r="C10019" s="54"/>
      <c r="N10019" s="33"/>
    </row>
    <row r="10020" spans="3:14" x14ac:dyDescent="0.3">
      <c r="C10020" s="54"/>
      <c r="N10020" s="33"/>
    </row>
    <row r="10021" spans="3:14" x14ac:dyDescent="0.3">
      <c r="C10021" s="54"/>
      <c r="N10021" s="33"/>
    </row>
    <row r="10022" spans="3:14" x14ac:dyDescent="0.3">
      <c r="C10022" s="54"/>
      <c r="N10022" s="33"/>
    </row>
    <row r="10023" spans="3:14" x14ac:dyDescent="0.3">
      <c r="C10023" s="54"/>
      <c r="N10023" s="33"/>
    </row>
    <row r="10024" spans="3:14" x14ac:dyDescent="0.3">
      <c r="C10024" s="54"/>
      <c r="N10024" s="33"/>
    </row>
    <row r="10025" spans="3:14" x14ac:dyDescent="0.3">
      <c r="C10025" s="54"/>
      <c r="N10025" s="33"/>
    </row>
    <row r="10026" spans="3:14" x14ac:dyDescent="0.3">
      <c r="C10026" s="54"/>
      <c r="N10026" s="33"/>
    </row>
    <row r="10027" spans="3:14" x14ac:dyDescent="0.3">
      <c r="C10027" s="54"/>
      <c r="N10027" s="33"/>
    </row>
    <row r="10028" spans="3:14" x14ac:dyDescent="0.3">
      <c r="C10028" s="54"/>
      <c r="N10028" s="33"/>
    </row>
    <row r="10029" spans="3:14" x14ac:dyDescent="0.3">
      <c r="C10029" s="54"/>
      <c r="N10029" s="33"/>
    </row>
    <row r="10030" spans="3:14" x14ac:dyDescent="0.3">
      <c r="C10030" s="54"/>
      <c r="N10030" s="33"/>
    </row>
    <row r="10031" spans="3:14" x14ac:dyDescent="0.3">
      <c r="C10031" s="54"/>
      <c r="N10031" s="33"/>
    </row>
    <row r="10032" spans="3:14" x14ac:dyDescent="0.3">
      <c r="C10032" s="54"/>
      <c r="N10032" s="33"/>
    </row>
    <row r="10033" spans="3:14" x14ac:dyDescent="0.3">
      <c r="C10033" s="54"/>
      <c r="N10033" s="33"/>
    </row>
    <row r="10034" spans="3:14" x14ac:dyDescent="0.3">
      <c r="C10034" s="54"/>
      <c r="N10034" s="33"/>
    </row>
    <row r="10035" spans="3:14" x14ac:dyDescent="0.3">
      <c r="C10035" s="54"/>
      <c r="N10035" s="33"/>
    </row>
    <row r="10036" spans="3:14" x14ac:dyDescent="0.3">
      <c r="C10036" s="54"/>
      <c r="N10036" s="33"/>
    </row>
    <row r="10037" spans="3:14" x14ac:dyDescent="0.3">
      <c r="C10037" s="54"/>
      <c r="N10037" s="33"/>
    </row>
    <row r="10038" spans="3:14" x14ac:dyDescent="0.3">
      <c r="C10038" s="54"/>
      <c r="N10038" s="33"/>
    </row>
    <row r="10039" spans="3:14" x14ac:dyDescent="0.3">
      <c r="C10039" s="54"/>
      <c r="N10039" s="33"/>
    </row>
    <row r="10040" spans="3:14" x14ac:dyDescent="0.3">
      <c r="C10040" s="54"/>
      <c r="N10040" s="33"/>
    </row>
    <row r="10041" spans="3:14" x14ac:dyDescent="0.3">
      <c r="C10041" s="54"/>
      <c r="N10041" s="33"/>
    </row>
    <row r="10042" spans="3:14" x14ac:dyDescent="0.3">
      <c r="C10042" s="54"/>
      <c r="N10042" s="33"/>
    </row>
    <row r="10043" spans="3:14" x14ac:dyDescent="0.3">
      <c r="C10043" s="54"/>
      <c r="N10043" s="33"/>
    </row>
    <row r="10044" spans="3:14" x14ac:dyDescent="0.3">
      <c r="C10044" s="54"/>
      <c r="N10044" s="33"/>
    </row>
    <row r="10045" spans="3:14" x14ac:dyDescent="0.3">
      <c r="C10045" s="54"/>
      <c r="N10045" s="33"/>
    </row>
    <row r="10046" spans="3:14" x14ac:dyDescent="0.3">
      <c r="C10046" s="54"/>
      <c r="N10046" s="33"/>
    </row>
    <row r="10047" spans="3:14" x14ac:dyDescent="0.3">
      <c r="C10047" s="54"/>
      <c r="N10047" s="33"/>
    </row>
    <row r="10048" spans="3:14" x14ac:dyDescent="0.3">
      <c r="C10048" s="54"/>
      <c r="N10048" s="33"/>
    </row>
    <row r="10049" spans="3:14" x14ac:dyDescent="0.3">
      <c r="C10049" s="54"/>
      <c r="N10049" s="33"/>
    </row>
    <row r="10050" spans="3:14" x14ac:dyDescent="0.3">
      <c r="C10050" s="54"/>
      <c r="N10050" s="33"/>
    </row>
    <row r="10051" spans="3:14" x14ac:dyDescent="0.3">
      <c r="C10051" s="54"/>
      <c r="N10051" s="33"/>
    </row>
    <row r="10052" spans="3:14" x14ac:dyDescent="0.3">
      <c r="C10052" s="54"/>
      <c r="N10052" s="33"/>
    </row>
    <row r="10053" spans="3:14" x14ac:dyDescent="0.3">
      <c r="C10053" s="54"/>
      <c r="N10053" s="33"/>
    </row>
    <row r="10054" spans="3:14" x14ac:dyDescent="0.3">
      <c r="C10054" s="54"/>
      <c r="N10054" s="33"/>
    </row>
    <row r="10055" spans="3:14" x14ac:dyDescent="0.3">
      <c r="C10055" s="54"/>
      <c r="N10055" s="33"/>
    </row>
    <row r="10056" spans="3:14" x14ac:dyDescent="0.3">
      <c r="C10056" s="54"/>
      <c r="N10056" s="33"/>
    </row>
    <row r="10057" spans="3:14" x14ac:dyDescent="0.3">
      <c r="C10057" s="54"/>
      <c r="N10057" s="33"/>
    </row>
    <row r="10058" spans="3:14" x14ac:dyDescent="0.3">
      <c r="C10058" s="54"/>
      <c r="N10058" s="33"/>
    </row>
    <row r="10059" spans="3:14" x14ac:dyDescent="0.3">
      <c r="C10059" s="54"/>
      <c r="N10059" s="33"/>
    </row>
    <row r="10060" spans="3:14" x14ac:dyDescent="0.3">
      <c r="C10060" s="54"/>
      <c r="N10060" s="33"/>
    </row>
    <row r="10061" spans="3:14" x14ac:dyDescent="0.3">
      <c r="C10061" s="54"/>
      <c r="N10061" s="33"/>
    </row>
    <row r="10062" spans="3:14" x14ac:dyDescent="0.3">
      <c r="C10062" s="54"/>
      <c r="N10062" s="33"/>
    </row>
    <row r="10063" spans="3:14" x14ac:dyDescent="0.3">
      <c r="C10063" s="54"/>
      <c r="N10063" s="33"/>
    </row>
    <row r="10064" spans="3:14" x14ac:dyDescent="0.3">
      <c r="C10064" s="54"/>
      <c r="N10064" s="33"/>
    </row>
    <row r="10065" spans="3:14" x14ac:dyDescent="0.3">
      <c r="C10065" s="54"/>
      <c r="N10065" s="33"/>
    </row>
    <row r="10066" spans="3:14" x14ac:dyDescent="0.3">
      <c r="C10066" s="54"/>
      <c r="N10066" s="33"/>
    </row>
    <row r="10067" spans="3:14" x14ac:dyDescent="0.3">
      <c r="C10067" s="54"/>
      <c r="N10067" s="33"/>
    </row>
    <row r="10068" spans="3:14" x14ac:dyDescent="0.3">
      <c r="C10068" s="54"/>
      <c r="N10068" s="33"/>
    </row>
    <row r="10069" spans="3:14" x14ac:dyDescent="0.3">
      <c r="C10069" s="54"/>
      <c r="N10069" s="33"/>
    </row>
    <row r="10070" spans="3:14" x14ac:dyDescent="0.3">
      <c r="C10070" s="54"/>
      <c r="N10070" s="33"/>
    </row>
    <row r="10071" spans="3:14" x14ac:dyDescent="0.3">
      <c r="C10071" s="54"/>
      <c r="N10071" s="33"/>
    </row>
    <row r="10072" spans="3:14" x14ac:dyDescent="0.3">
      <c r="C10072" s="54"/>
      <c r="N10072" s="33"/>
    </row>
    <row r="10073" spans="3:14" x14ac:dyDescent="0.3">
      <c r="C10073" s="54"/>
      <c r="N10073" s="33"/>
    </row>
    <row r="10074" spans="3:14" x14ac:dyDescent="0.3">
      <c r="C10074" s="54"/>
      <c r="N10074" s="33"/>
    </row>
    <row r="10075" spans="3:14" x14ac:dyDescent="0.3">
      <c r="C10075" s="54"/>
      <c r="N10075" s="33"/>
    </row>
    <row r="10076" spans="3:14" x14ac:dyDescent="0.3">
      <c r="C10076" s="54"/>
      <c r="N10076" s="33"/>
    </row>
    <row r="10077" spans="3:14" x14ac:dyDescent="0.3">
      <c r="C10077" s="54"/>
      <c r="N10077" s="33"/>
    </row>
    <row r="10078" spans="3:14" x14ac:dyDescent="0.3">
      <c r="C10078" s="54"/>
      <c r="N10078" s="33"/>
    </row>
    <row r="10079" spans="3:14" x14ac:dyDescent="0.3">
      <c r="C10079" s="54"/>
      <c r="N10079" s="33"/>
    </row>
    <row r="10080" spans="3:14" x14ac:dyDescent="0.3">
      <c r="C10080" s="54"/>
      <c r="N10080" s="33"/>
    </row>
    <row r="10081" spans="3:14" x14ac:dyDescent="0.3">
      <c r="C10081" s="54"/>
      <c r="N10081" s="33"/>
    </row>
    <row r="10082" spans="3:14" x14ac:dyDescent="0.3">
      <c r="C10082" s="54"/>
      <c r="N10082" s="33"/>
    </row>
    <row r="10083" spans="3:14" x14ac:dyDescent="0.3">
      <c r="C10083" s="54"/>
      <c r="N10083" s="33"/>
    </row>
    <row r="10084" spans="3:14" x14ac:dyDescent="0.3">
      <c r="C10084" s="54"/>
      <c r="N10084" s="33"/>
    </row>
    <row r="10085" spans="3:14" x14ac:dyDescent="0.3">
      <c r="C10085" s="54"/>
      <c r="N10085" s="33"/>
    </row>
    <row r="10086" spans="3:14" x14ac:dyDescent="0.3">
      <c r="C10086" s="54"/>
      <c r="N10086" s="33"/>
    </row>
    <row r="10087" spans="3:14" x14ac:dyDescent="0.3">
      <c r="C10087" s="54"/>
      <c r="N10087" s="33"/>
    </row>
    <row r="10088" spans="3:14" x14ac:dyDescent="0.3">
      <c r="C10088" s="54"/>
      <c r="N10088" s="33"/>
    </row>
    <row r="10089" spans="3:14" x14ac:dyDescent="0.3">
      <c r="C10089" s="54"/>
      <c r="N10089" s="33"/>
    </row>
    <row r="10090" spans="3:14" x14ac:dyDescent="0.3">
      <c r="C10090" s="54"/>
      <c r="N10090" s="33"/>
    </row>
    <row r="10091" spans="3:14" x14ac:dyDescent="0.3">
      <c r="C10091" s="54"/>
      <c r="N10091" s="33"/>
    </row>
    <row r="10092" spans="3:14" x14ac:dyDescent="0.3">
      <c r="C10092" s="54"/>
      <c r="N10092" s="33"/>
    </row>
    <row r="10093" spans="3:14" x14ac:dyDescent="0.3">
      <c r="C10093" s="54"/>
      <c r="N10093" s="33"/>
    </row>
    <row r="10094" spans="3:14" x14ac:dyDescent="0.3">
      <c r="C10094" s="54"/>
      <c r="N10094" s="33"/>
    </row>
    <row r="10095" spans="3:14" x14ac:dyDescent="0.3">
      <c r="C10095" s="54"/>
      <c r="N10095" s="33"/>
    </row>
    <row r="10096" spans="3:14" x14ac:dyDescent="0.3">
      <c r="C10096" s="54"/>
      <c r="N10096" s="33"/>
    </row>
    <row r="10097" spans="3:14" x14ac:dyDescent="0.3">
      <c r="C10097" s="54"/>
      <c r="N10097" s="33"/>
    </row>
    <row r="10098" spans="3:14" x14ac:dyDescent="0.3">
      <c r="C10098" s="54"/>
      <c r="N10098" s="33"/>
    </row>
    <row r="10099" spans="3:14" x14ac:dyDescent="0.3">
      <c r="C10099" s="54"/>
      <c r="N10099" s="33"/>
    </row>
    <row r="10100" spans="3:14" x14ac:dyDescent="0.3">
      <c r="C10100" s="54"/>
      <c r="N10100" s="33"/>
    </row>
    <row r="10101" spans="3:14" x14ac:dyDescent="0.3">
      <c r="C10101" s="54"/>
      <c r="N10101" s="33"/>
    </row>
    <row r="10102" spans="3:14" x14ac:dyDescent="0.3">
      <c r="C10102" s="54"/>
      <c r="N10102" s="33"/>
    </row>
    <row r="10103" spans="3:14" x14ac:dyDescent="0.3">
      <c r="C10103" s="54"/>
      <c r="N10103" s="33"/>
    </row>
    <row r="10104" spans="3:14" x14ac:dyDescent="0.3">
      <c r="C10104" s="54"/>
      <c r="N10104" s="33"/>
    </row>
    <row r="10105" spans="3:14" x14ac:dyDescent="0.3">
      <c r="C10105" s="54"/>
      <c r="N10105" s="33"/>
    </row>
    <row r="10106" spans="3:14" x14ac:dyDescent="0.3">
      <c r="C10106" s="54"/>
      <c r="N10106" s="33"/>
    </row>
    <row r="10107" spans="3:14" x14ac:dyDescent="0.3">
      <c r="C10107" s="54"/>
      <c r="N10107" s="33"/>
    </row>
    <row r="10108" spans="3:14" x14ac:dyDescent="0.3">
      <c r="C10108" s="54"/>
      <c r="N10108" s="33"/>
    </row>
    <row r="10109" spans="3:14" x14ac:dyDescent="0.3">
      <c r="C10109" s="54"/>
      <c r="N10109" s="33"/>
    </row>
    <row r="10110" spans="3:14" x14ac:dyDescent="0.3">
      <c r="C10110" s="54"/>
      <c r="N10110" s="33"/>
    </row>
    <row r="10111" spans="3:14" x14ac:dyDescent="0.3">
      <c r="C10111" s="54"/>
      <c r="N10111" s="33"/>
    </row>
    <row r="10112" spans="3:14" x14ac:dyDescent="0.3">
      <c r="C10112" s="54"/>
      <c r="N10112" s="33"/>
    </row>
    <row r="10113" spans="3:14" x14ac:dyDescent="0.3">
      <c r="C10113" s="54"/>
      <c r="N10113" s="33"/>
    </row>
    <row r="10114" spans="3:14" x14ac:dyDescent="0.3">
      <c r="C10114" s="54"/>
      <c r="N10114" s="33"/>
    </row>
    <row r="10115" spans="3:14" x14ac:dyDescent="0.3">
      <c r="C10115" s="54"/>
      <c r="N10115" s="33"/>
    </row>
    <row r="10116" spans="3:14" x14ac:dyDescent="0.3">
      <c r="C10116" s="54"/>
      <c r="N10116" s="33"/>
    </row>
    <row r="10117" spans="3:14" x14ac:dyDescent="0.3">
      <c r="C10117" s="54"/>
      <c r="N10117" s="33"/>
    </row>
    <row r="10118" spans="3:14" x14ac:dyDescent="0.3">
      <c r="C10118" s="54"/>
      <c r="N10118" s="33"/>
    </row>
    <row r="10119" spans="3:14" x14ac:dyDescent="0.3">
      <c r="C10119" s="54"/>
      <c r="N10119" s="33"/>
    </row>
    <row r="10120" spans="3:14" x14ac:dyDescent="0.3">
      <c r="C10120" s="54"/>
      <c r="N10120" s="33"/>
    </row>
    <row r="10121" spans="3:14" x14ac:dyDescent="0.3">
      <c r="C10121" s="54"/>
      <c r="N10121" s="33"/>
    </row>
    <row r="10122" spans="3:14" x14ac:dyDescent="0.3">
      <c r="C10122" s="54"/>
      <c r="N10122" s="33"/>
    </row>
    <row r="10123" spans="3:14" x14ac:dyDescent="0.3">
      <c r="C10123" s="54"/>
      <c r="N10123" s="33"/>
    </row>
    <row r="10124" spans="3:14" x14ac:dyDescent="0.3">
      <c r="C10124" s="54"/>
      <c r="N10124" s="33"/>
    </row>
    <row r="10125" spans="3:14" x14ac:dyDescent="0.3">
      <c r="C10125" s="54"/>
      <c r="N10125" s="33"/>
    </row>
    <row r="10126" spans="3:14" x14ac:dyDescent="0.3">
      <c r="C10126" s="54"/>
      <c r="N10126" s="33"/>
    </row>
    <row r="10127" spans="3:14" x14ac:dyDescent="0.3">
      <c r="C10127" s="54"/>
      <c r="N10127" s="33"/>
    </row>
    <row r="10128" spans="3:14" x14ac:dyDescent="0.3">
      <c r="C10128" s="54"/>
      <c r="N10128" s="33"/>
    </row>
    <row r="10129" spans="3:14" x14ac:dyDescent="0.3">
      <c r="C10129" s="54"/>
      <c r="N10129" s="33"/>
    </row>
    <row r="10130" spans="3:14" x14ac:dyDescent="0.3">
      <c r="C10130" s="54"/>
      <c r="N10130" s="33"/>
    </row>
    <row r="10131" spans="3:14" x14ac:dyDescent="0.3">
      <c r="C10131" s="54"/>
      <c r="N10131" s="33"/>
    </row>
    <row r="10132" spans="3:14" x14ac:dyDescent="0.3">
      <c r="C10132" s="54"/>
      <c r="N10132" s="33"/>
    </row>
    <row r="10133" spans="3:14" x14ac:dyDescent="0.3">
      <c r="C10133" s="54"/>
      <c r="N10133" s="33"/>
    </row>
    <row r="10134" spans="3:14" x14ac:dyDescent="0.3">
      <c r="C10134" s="54"/>
      <c r="N10134" s="33"/>
    </row>
    <row r="10135" spans="3:14" x14ac:dyDescent="0.3">
      <c r="C10135" s="54"/>
      <c r="N10135" s="33"/>
    </row>
    <row r="10136" spans="3:14" x14ac:dyDescent="0.3">
      <c r="C10136" s="54"/>
      <c r="N10136" s="33"/>
    </row>
    <row r="10137" spans="3:14" x14ac:dyDescent="0.3">
      <c r="C10137" s="54"/>
      <c r="N10137" s="33"/>
    </row>
    <row r="10138" spans="3:14" x14ac:dyDescent="0.3">
      <c r="C10138" s="54"/>
      <c r="N10138" s="33"/>
    </row>
    <row r="10139" spans="3:14" x14ac:dyDescent="0.3">
      <c r="C10139" s="54"/>
      <c r="N10139" s="33"/>
    </row>
    <row r="10140" spans="3:14" x14ac:dyDescent="0.3">
      <c r="C10140" s="54"/>
      <c r="N10140" s="33"/>
    </row>
    <row r="10141" spans="3:14" x14ac:dyDescent="0.3">
      <c r="C10141" s="54"/>
      <c r="N10141" s="33"/>
    </row>
    <row r="10142" spans="3:14" x14ac:dyDescent="0.3">
      <c r="C10142" s="54"/>
      <c r="N10142" s="33"/>
    </row>
    <row r="10143" spans="3:14" x14ac:dyDescent="0.3">
      <c r="C10143" s="54"/>
      <c r="N10143" s="33"/>
    </row>
    <row r="10144" spans="3:14" x14ac:dyDescent="0.3">
      <c r="C10144" s="54"/>
      <c r="N10144" s="33"/>
    </row>
    <row r="10145" spans="3:14" x14ac:dyDescent="0.3">
      <c r="C10145" s="54"/>
      <c r="N10145" s="33"/>
    </row>
    <row r="10146" spans="3:14" x14ac:dyDescent="0.3">
      <c r="C10146" s="54"/>
      <c r="N10146" s="33"/>
    </row>
    <row r="10147" spans="3:14" x14ac:dyDescent="0.3">
      <c r="C10147" s="54"/>
      <c r="N10147" s="33"/>
    </row>
    <row r="10148" spans="3:14" x14ac:dyDescent="0.3">
      <c r="C10148" s="54"/>
      <c r="N10148" s="33"/>
    </row>
    <row r="10149" spans="3:14" x14ac:dyDescent="0.3">
      <c r="C10149" s="54"/>
      <c r="N10149" s="33"/>
    </row>
    <row r="10150" spans="3:14" x14ac:dyDescent="0.3">
      <c r="C10150" s="54"/>
      <c r="N10150" s="33"/>
    </row>
    <row r="10151" spans="3:14" x14ac:dyDescent="0.3">
      <c r="C10151" s="54"/>
      <c r="N10151" s="33"/>
    </row>
    <row r="10152" spans="3:14" x14ac:dyDescent="0.3">
      <c r="C10152" s="54"/>
      <c r="N10152" s="33"/>
    </row>
    <row r="10153" spans="3:14" x14ac:dyDescent="0.3">
      <c r="C10153" s="54"/>
      <c r="N10153" s="33"/>
    </row>
    <row r="10154" spans="3:14" x14ac:dyDescent="0.3">
      <c r="C10154" s="54"/>
      <c r="N10154" s="33"/>
    </row>
    <row r="10155" spans="3:14" x14ac:dyDescent="0.3">
      <c r="C10155" s="54"/>
      <c r="N10155" s="33"/>
    </row>
    <row r="10156" spans="3:14" x14ac:dyDescent="0.3">
      <c r="C10156" s="54"/>
      <c r="N10156" s="33"/>
    </row>
    <row r="10157" spans="3:14" x14ac:dyDescent="0.3">
      <c r="C10157" s="54"/>
      <c r="N10157" s="33"/>
    </row>
    <row r="10158" spans="3:14" x14ac:dyDescent="0.3">
      <c r="C10158" s="54"/>
      <c r="N10158" s="33"/>
    </row>
    <row r="10159" spans="3:14" x14ac:dyDescent="0.3">
      <c r="C10159" s="54"/>
      <c r="N10159" s="33"/>
    </row>
    <row r="10160" spans="3:14" x14ac:dyDescent="0.3">
      <c r="C10160" s="54"/>
      <c r="N10160" s="33"/>
    </row>
    <row r="10161" spans="3:14" x14ac:dyDescent="0.3">
      <c r="C10161" s="54"/>
      <c r="N10161" s="33"/>
    </row>
    <row r="10162" spans="3:14" x14ac:dyDescent="0.3">
      <c r="C10162" s="54"/>
      <c r="N10162" s="33"/>
    </row>
    <row r="10163" spans="3:14" x14ac:dyDescent="0.3">
      <c r="C10163" s="54"/>
      <c r="N10163" s="33"/>
    </row>
    <row r="10164" spans="3:14" x14ac:dyDescent="0.3">
      <c r="C10164" s="54"/>
      <c r="N10164" s="33"/>
    </row>
    <row r="10165" spans="3:14" x14ac:dyDescent="0.3">
      <c r="C10165" s="54"/>
      <c r="N10165" s="33"/>
    </row>
    <row r="10166" spans="3:14" x14ac:dyDescent="0.3">
      <c r="C10166" s="54"/>
      <c r="N10166" s="33"/>
    </row>
    <row r="10167" spans="3:14" x14ac:dyDescent="0.3">
      <c r="C10167" s="54"/>
      <c r="N10167" s="33"/>
    </row>
    <row r="10168" spans="3:14" x14ac:dyDescent="0.3">
      <c r="C10168" s="54"/>
      <c r="N10168" s="33"/>
    </row>
    <row r="10169" spans="3:14" x14ac:dyDescent="0.3">
      <c r="C10169" s="54"/>
      <c r="N10169" s="33"/>
    </row>
    <row r="10170" spans="3:14" x14ac:dyDescent="0.3">
      <c r="C10170" s="54"/>
      <c r="N10170" s="33"/>
    </row>
    <row r="10171" spans="3:14" x14ac:dyDescent="0.3">
      <c r="C10171" s="54"/>
      <c r="N10171" s="33"/>
    </row>
    <row r="10172" spans="3:14" x14ac:dyDescent="0.3">
      <c r="C10172" s="54"/>
      <c r="N10172" s="33"/>
    </row>
    <row r="10173" spans="3:14" x14ac:dyDescent="0.3">
      <c r="C10173" s="54"/>
      <c r="N10173" s="33"/>
    </row>
    <row r="10174" spans="3:14" x14ac:dyDescent="0.3">
      <c r="C10174" s="54"/>
      <c r="N10174" s="33"/>
    </row>
    <row r="10175" spans="3:14" x14ac:dyDescent="0.3">
      <c r="C10175" s="54"/>
      <c r="N10175" s="33"/>
    </row>
    <row r="10176" spans="3:14" x14ac:dyDescent="0.3">
      <c r="C10176" s="54"/>
      <c r="N10176" s="33"/>
    </row>
    <row r="10177" spans="3:14" x14ac:dyDescent="0.3">
      <c r="C10177" s="54"/>
      <c r="N10177" s="33"/>
    </row>
    <row r="10178" spans="3:14" x14ac:dyDescent="0.3">
      <c r="C10178" s="54"/>
      <c r="N10178" s="33"/>
    </row>
    <row r="10179" spans="3:14" x14ac:dyDescent="0.3">
      <c r="C10179" s="54"/>
      <c r="N10179" s="33"/>
    </row>
    <row r="10180" spans="3:14" x14ac:dyDescent="0.3">
      <c r="C10180" s="54"/>
      <c r="N10180" s="33"/>
    </row>
    <row r="10181" spans="3:14" x14ac:dyDescent="0.3">
      <c r="C10181" s="54"/>
      <c r="N10181" s="33"/>
    </row>
    <row r="10182" spans="3:14" x14ac:dyDescent="0.3">
      <c r="C10182" s="54"/>
      <c r="N10182" s="33"/>
    </row>
    <row r="10183" spans="3:14" x14ac:dyDescent="0.3">
      <c r="C10183" s="54"/>
      <c r="N10183" s="33"/>
    </row>
    <row r="10184" spans="3:14" x14ac:dyDescent="0.3">
      <c r="C10184" s="54"/>
      <c r="N10184" s="33"/>
    </row>
    <row r="10185" spans="3:14" x14ac:dyDescent="0.3">
      <c r="C10185" s="54"/>
      <c r="N10185" s="33"/>
    </row>
    <row r="10186" spans="3:14" x14ac:dyDescent="0.3">
      <c r="C10186" s="54"/>
      <c r="N10186" s="33"/>
    </row>
    <row r="10187" spans="3:14" x14ac:dyDescent="0.3">
      <c r="C10187" s="54"/>
      <c r="N10187" s="33"/>
    </row>
    <row r="10188" spans="3:14" x14ac:dyDescent="0.3">
      <c r="C10188" s="54"/>
      <c r="N10188" s="33"/>
    </row>
    <row r="10189" spans="3:14" x14ac:dyDescent="0.3">
      <c r="C10189" s="54"/>
      <c r="N10189" s="33"/>
    </row>
    <row r="10190" spans="3:14" x14ac:dyDescent="0.3">
      <c r="C10190" s="54"/>
      <c r="N10190" s="33"/>
    </row>
    <row r="10191" spans="3:14" x14ac:dyDescent="0.3">
      <c r="C10191" s="54"/>
      <c r="N10191" s="33"/>
    </row>
    <row r="10192" spans="3:14" x14ac:dyDescent="0.3">
      <c r="C10192" s="54"/>
      <c r="N10192" s="33"/>
    </row>
    <row r="10193" spans="3:14" x14ac:dyDescent="0.3">
      <c r="C10193" s="54"/>
      <c r="N10193" s="33"/>
    </row>
    <row r="10194" spans="3:14" x14ac:dyDescent="0.3">
      <c r="C10194" s="54"/>
      <c r="N10194" s="33"/>
    </row>
    <row r="10195" spans="3:14" x14ac:dyDescent="0.3">
      <c r="C10195" s="54"/>
      <c r="N10195" s="33"/>
    </row>
    <row r="10196" spans="3:14" x14ac:dyDescent="0.3">
      <c r="C10196" s="54"/>
      <c r="N10196" s="33"/>
    </row>
    <row r="10197" spans="3:14" x14ac:dyDescent="0.3">
      <c r="C10197" s="54"/>
      <c r="N10197" s="33"/>
    </row>
    <row r="10198" spans="3:14" x14ac:dyDescent="0.3">
      <c r="C10198" s="54"/>
      <c r="N10198" s="33"/>
    </row>
    <row r="10199" spans="3:14" x14ac:dyDescent="0.3">
      <c r="C10199" s="54"/>
      <c r="N10199" s="33"/>
    </row>
    <row r="10200" spans="3:14" x14ac:dyDescent="0.3">
      <c r="C10200" s="54"/>
      <c r="N10200" s="33"/>
    </row>
    <row r="10201" spans="3:14" x14ac:dyDescent="0.3">
      <c r="C10201" s="54"/>
      <c r="N10201" s="33"/>
    </row>
    <row r="10202" spans="3:14" x14ac:dyDescent="0.3">
      <c r="C10202" s="54"/>
      <c r="N10202" s="33"/>
    </row>
    <row r="10203" spans="3:14" x14ac:dyDescent="0.3">
      <c r="C10203" s="54"/>
      <c r="N10203" s="33"/>
    </row>
    <row r="10204" spans="3:14" x14ac:dyDescent="0.3">
      <c r="C10204" s="54"/>
      <c r="N10204" s="33"/>
    </row>
    <row r="10205" spans="3:14" x14ac:dyDescent="0.3">
      <c r="C10205" s="54"/>
      <c r="N10205" s="33"/>
    </row>
    <row r="10206" spans="3:14" x14ac:dyDescent="0.3">
      <c r="C10206" s="54"/>
      <c r="N10206" s="33"/>
    </row>
    <row r="10207" spans="3:14" x14ac:dyDescent="0.3">
      <c r="C10207" s="54"/>
      <c r="N10207" s="33"/>
    </row>
    <row r="10208" spans="3:14" x14ac:dyDescent="0.3">
      <c r="C10208" s="54"/>
      <c r="N10208" s="33"/>
    </row>
    <row r="10209" spans="3:14" x14ac:dyDescent="0.3">
      <c r="C10209" s="54"/>
      <c r="N10209" s="33"/>
    </row>
    <row r="10210" spans="3:14" x14ac:dyDescent="0.3">
      <c r="C10210" s="54"/>
      <c r="N10210" s="33"/>
    </row>
    <row r="10211" spans="3:14" x14ac:dyDescent="0.3">
      <c r="C10211" s="54"/>
      <c r="N10211" s="33"/>
    </row>
    <row r="10212" spans="3:14" x14ac:dyDescent="0.3">
      <c r="C10212" s="54"/>
      <c r="N10212" s="33"/>
    </row>
    <row r="10213" spans="3:14" x14ac:dyDescent="0.3">
      <c r="C10213" s="54"/>
      <c r="N10213" s="33"/>
    </row>
    <row r="10214" spans="3:14" x14ac:dyDescent="0.3">
      <c r="C10214" s="54"/>
      <c r="N10214" s="33"/>
    </row>
    <row r="10215" spans="3:14" x14ac:dyDescent="0.3">
      <c r="C10215" s="54"/>
      <c r="N10215" s="33"/>
    </row>
    <row r="10216" spans="3:14" x14ac:dyDescent="0.3">
      <c r="C10216" s="54"/>
      <c r="N10216" s="33"/>
    </row>
    <row r="10217" spans="3:14" x14ac:dyDescent="0.3">
      <c r="C10217" s="54"/>
      <c r="N10217" s="33"/>
    </row>
    <row r="10218" spans="3:14" x14ac:dyDescent="0.3">
      <c r="C10218" s="54"/>
      <c r="N10218" s="33"/>
    </row>
    <row r="10219" spans="3:14" x14ac:dyDescent="0.3">
      <c r="C10219" s="54"/>
      <c r="N10219" s="33"/>
    </row>
    <row r="10220" spans="3:14" x14ac:dyDescent="0.3">
      <c r="C10220" s="54"/>
      <c r="N10220" s="33"/>
    </row>
    <row r="10221" spans="3:14" x14ac:dyDescent="0.3">
      <c r="C10221" s="54"/>
      <c r="N10221" s="33"/>
    </row>
    <row r="10222" spans="3:14" x14ac:dyDescent="0.3">
      <c r="C10222" s="54"/>
      <c r="N10222" s="33"/>
    </row>
    <row r="10223" spans="3:14" x14ac:dyDescent="0.3">
      <c r="C10223" s="54"/>
      <c r="N10223" s="33"/>
    </row>
    <row r="10224" spans="3:14" x14ac:dyDescent="0.3">
      <c r="C10224" s="54"/>
      <c r="N10224" s="33"/>
    </row>
    <row r="10225" spans="3:14" x14ac:dyDescent="0.3">
      <c r="C10225" s="54"/>
      <c r="N10225" s="33"/>
    </row>
    <row r="10226" spans="3:14" x14ac:dyDescent="0.3">
      <c r="C10226" s="54"/>
      <c r="N10226" s="33"/>
    </row>
    <row r="10227" spans="3:14" x14ac:dyDescent="0.3">
      <c r="C10227" s="54"/>
      <c r="N10227" s="33"/>
    </row>
    <row r="10228" spans="3:14" x14ac:dyDescent="0.3">
      <c r="C10228" s="54"/>
      <c r="N10228" s="33"/>
    </row>
    <row r="10229" spans="3:14" x14ac:dyDescent="0.3">
      <c r="C10229" s="54"/>
      <c r="N10229" s="33"/>
    </row>
    <row r="10230" spans="3:14" x14ac:dyDescent="0.3">
      <c r="C10230" s="54"/>
      <c r="N10230" s="33"/>
    </row>
    <row r="10231" spans="3:14" x14ac:dyDescent="0.3">
      <c r="C10231" s="54"/>
      <c r="N10231" s="33"/>
    </row>
    <row r="10232" spans="3:14" x14ac:dyDescent="0.3">
      <c r="C10232" s="54"/>
      <c r="N10232" s="33"/>
    </row>
    <row r="10233" spans="3:14" x14ac:dyDescent="0.3">
      <c r="C10233" s="54"/>
      <c r="N10233" s="33"/>
    </row>
    <row r="10234" spans="3:14" x14ac:dyDescent="0.3">
      <c r="C10234" s="54"/>
      <c r="N10234" s="33"/>
    </row>
    <row r="10235" spans="3:14" x14ac:dyDescent="0.3">
      <c r="C10235" s="54"/>
      <c r="N10235" s="33"/>
    </row>
    <row r="10236" spans="3:14" x14ac:dyDescent="0.3">
      <c r="C10236" s="54"/>
      <c r="N10236" s="33"/>
    </row>
    <row r="10237" spans="3:14" x14ac:dyDescent="0.3">
      <c r="C10237" s="54"/>
      <c r="N10237" s="33"/>
    </row>
    <row r="10238" spans="3:14" x14ac:dyDescent="0.3">
      <c r="C10238" s="54"/>
      <c r="N10238" s="33"/>
    </row>
    <row r="10239" spans="3:14" x14ac:dyDescent="0.3">
      <c r="C10239" s="54"/>
      <c r="N10239" s="33"/>
    </row>
    <row r="10240" spans="3:14" x14ac:dyDescent="0.3">
      <c r="C10240" s="54"/>
      <c r="N10240" s="33"/>
    </row>
    <row r="10241" spans="3:14" x14ac:dyDescent="0.3">
      <c r="C10241" s="54"/>
      <c r="N10241" s="33"/>
    </row>
    <row r="10242" spans="3:14" x14ac:dyDescent="0.3">
      <c r="C10242" s="54"/>
      <c r="N10242" s="33"/>
    </row>
    <row r="10243" spans="3:14" x14ac:dyDescent="0.3">
      <c r="C10243" s="54"/>
      <c r="N10243" s="33"/>
    </row>
    <row r="10244" spans="3:14" x14ac:dyDescent="0.3">
      <c r="C10244" s="54"/>
      <c r="N10244" s="33"/>
    </row>
    <row r="10245" spans="3:14" x14ac:dyDescent="0.3">
      <c r="C10245" s="54"/>
      <c r="N10245" s="33"/>
    </row>
    <row r="10246" spans="3:14" x14ac:dyDescent="0.3">
      <c r="C10246" s="54"/>
      <c r="N10246" s="33"/>
    </row>
    <row r="10247" spans="3:14" x14ac:dyDescent="0.3">
      <c r="C10247" s="54"/>
      <c r="N10247" s="33"/>
    </row>
    <row r="10248" spans="3:14" x14ac:dyDescent="0.3">
      <c r="C10248" s="54"/>
      <c r="N10248" s="33"/>
    </row>
    <row r="10249" spans="3:14" x14ac:dyDescent="0.3">
      <c r="C10249" s="54"/>
      <c r="N10249" s="33"/>
    </row>
    <row r="10250" spans="3:14" x14ac:dyDescent="0.3">
      <c r="C10250" s="54"/>
      <c r="N10250" s="33"/>
    </row>
    <row r="10251" spans="3:14" x14ac:dyDescent="0.3">
      <c r="C10251" s="54"/>
      <c r="N10251" s="33"/>
    </row>
    <row r="10252" spans="3:14" x14ac:dyDescent="0.3">
      <c r="C10252" s="54"/>
      <c r="N10252" s="33"/>
    </row>
    <row r="10253" spans="3:14" x14ac:dyDescent="0.3">
      <c r="C10253" s="54"/>
      <c r="N10253" s="33"/>
    </row>
    <row r="10254" spans="3:14" x14ac:dyDescent="0.3">
      <c r="C10254" s="54"/>
      <c r="N10254" s="33"/>
    </row>
    <row r="10255" spans="3:14" x14ac:dyDescent="0.3">
      <c r="C10255" s="54"/>
      <c r="N10255" s="33"/>
    </row>
    <row r="10256" spans="3:14" x14ac:dyDescent="0.3">
      <c r="C10256" s="54"/>
      <c r="N10256" s="33"/>
    </row>
    <row r="10257" spans="3:14" x14ac:dyDescent="0.3">
      <c r="C10257" s="54"/>
      <c r="N10257" s="33"/>
    </row>
    <row r="10258" spans="3:14" x14ac:dyDescent="0.3">
      <c r="C10258" s="54"/>
      <c r="N10258" s="33"/>
    </row>
    <row r="10259" spans="3:14" x14ac:dyDescent="0.3">
      <c r="C10259" s="54"/>
      <c r="N10259" s="33"/>
    </row>
    <row r="10260" spans="3:14" x14ac:dyDescent="0.3">
      <c r="C10260" s="54"/>
      <c r="N10260" s="33"/>
    </row>
    <row r="10261" spans="3:14" x14ac:dyDescent="0.3">
      <c r="C10261" s="54"/>
      <c r="N10261" s="33"/>
    </row>
    <row r="10262" spans="3:14" x14ac:dyDescent="0.3">
      <c r="C10262" s="54"/>
      <c r="N10262" s="33"/>
    </row>
    <row r="10263" spans="3:14" x14ac:dyDescent="0.3">
      <c r="C10263" s="54"/>
      <c r="N10263" s="33"/>
    </row>
    <row r="10264" spans="3:14" x14ac:dyDescent="0.3">
      <c r="C10264" s="54"/>
      <c r="N10264" s="33"/>
    </row>
    <row r="10265" spans="3:14" x14ac:dyDescent="0.3">
      <c r="C10265" s="54"/>
      <c r="N10265" s="33"/>
    </row>
    <row r="10266" spans="3:14" x14ac:dyDescent="0.3">
      <c r="C10266" s="54"/>
      <c r="N10266" s="33"/>
    </row>
    <row r="10267" spans="3:14" x14ac:dyDescent="0.3">
      <c r="C10267" s="54"/>
      <c r="N10267" s="33"/>
    </row>
    <row r="10268" spans="3:14" x14ac:dyDescent="0.3">
      <c r="C10268" s="54"/>
      <c r="N10268" s="33"/>
    </row>
    <row r="10269" spans="3:14" x14ac:dyDescent="0.3">
      <c r="C10269" s="54"/>
      <c r="N10269" s="33"/>
    </row>
    <row r="10270" spans="3:14" x14ac:dyDescent="0.3">
      <c r="C10270" s="54"/>
      <c r="N10270" s="33"/>
    </row>
    <row r="10271" spans="3:14" x14ac:dyDescent="0.3">
      <c r="C10271" s="54"/>
      <c r="N10271" s="33"/>
    </row>
    <row r="10272" spans="3:14" x14ac:dyDescent="0.3">
      <c r="C10272" s="54"/>
      <c r="N10272" s="33"/>
    </row>
    <row r="10273" spans="3:14" x14ac:dyDescent="0.3">
      <c r="C10273" s="54"/>
      <c r="N10273" s="33"/>
    </row>
    <row r="10274" spans="3:14" x14ac:dyDescent="0.3">
      <c r="C10274" s="54"/>
      <c r="N10274" s="33"/>
    </row>
    <row r="10275" spans="3:14" x14ac:dyDescent="0.3">
      <c r="C10275" s="54"/>
      <c r="N10275" s="33"/>
    </row>
    <row r="10276" spans="3:14" x14ac:dyDescent="0.3">
      <c r="C10276" s="54"/>
      <c r="N10276" s="33"/>
    </row>
    <row r="10277" spans="3:14" x14ac:dyDescent="0.3">
      <c r="C10277" s="54"/>
      <c r="N10277" s="33"/>
    </row>
    <row r="10278" spans="3:14" x14ac:dyDescent="0.3">
      <c r="C10278" s="54"/>
      <c r="N10278" s="33"/>
    </row>
    <row r="10279" spans="3:14" x14ac:dyDescent="0.3">
      <c r="C10279" s="54"/>
      <c r="N10279" s="33"/>
    </row>
    <row r="10280" spans="3:14" x14ac:dyDescent="0.3">
      <c r="C10280" s="54"/>
      <c r="N10280" s="33"/>
    </row>
    <row r="10281" spans="3:14" x14ac:dyDescent="0.3">
      <c r="C10281" s="54"/>
      <c r="N10281" s="33"/>
    </row>
    <row r="10282" spans="3:14" x14ac:dyDescent="0.3">
      <c r="C10282" s="54"/>
      <c r="N10282" s="33"/>
    </row>
    <row r="10283" spans="3:14" x14ac:dyDescent="0.3">
      <c r="C10283" s="54"/>
      <c r="N10283" s="33"/>
    </row>
    <row r="10284" spans="3:14" x14ac:dyDescent="0.3">
      <c r="C10284" s="54"/>
      <c r="N10284" s="33"/>
    </row>
    <row r="10285" spans="3:14" x14ac:dyDescent="0.3">
      <c r="C10285" s="54"/>
      <c r="N10285" s="33"/>
    </row>
    <row r="10286" spans="3:14" x14ac:dyDescent="0.3">
      <c r="C10286" s="54"/>
      <c r="N10286" s="33"/>
    </row>
    <row r="10287" spans="3:14" x14ac:dyDescent="0.3">
      <c r="C10287" s="54"/>
      <c r="N10287" s="33"/>
    </row>
    <row r="10288" spans="3:14" x14ac:dyDescent="0.3">
      <c r="C10288" s="54"/>
      <c r="N10288" s="33"/>
    </row>
    <row r="10289" spans="3:14" x14ac:dyDescent="0.3">
      <c r="C10289" s="54"/>
      <c r="N10289" s="33"/>
    </row>
    <row r="10290" spans="3:14" x14ac:dyDescent="0.3">
      <c r="C10290" s="54"/>
      <c r="N10290" s="33"/>
    </row>
    <row r="10291" spans="3:14" x14ac:dyDescent="0.3">
      <c r="C10291" s="54"/>
      <c r="N10291" s="33"/>
    </row>
    <row r="10292" spans="3:14" x14ac:dyDescent="0.3">
      <c r="C10292" s="54"/>
      <c r="N10292" s="33"/>
    </row>
    <row r="10293" spans="3:14" x14ac:dyDescent="0.3">
      <c r="C10293" s="54"/>
      <c r="N10293" s="33"/>
    </row>
    <row r="10294" spans="3:14" x14ac:dyDescent="0.3">
      <c r="C10294" s="54"/>
      <c r="N10294" s="33"/>
    </row>
    <row r="10295" spans="3:14" x14ac:dyDescent="0.3">
      <c r="C10295" s="54"/>
      <c r="N10295" s="33"/>
    </row>
    <row r="10296" spans="3:14" x14ac:dyDescent="0.3">
      <c r="C10296" s="54"/>
      <c r="N10296" s="33"/>
    </row>
    <row r="10297" spans="3:14" x14ac:dyDescent="0.3">
      <c r="C10297" s="54"/>
      <c r="N10297" s="33"/>
    </row>
    <row r="10298" spans="3:14" x14ac:dyDescent="0.3">
      <c r="C10298" s="54"/>
      <c r="N10298" s="33"/>
    </row>
    <row r="10299" spans="3:14" x14ac:dyDescent="0.3">
      <c r="C10299" s="54"/>
      <c r="N10299" s="33"/>
    </row>
    <row r="10300" spans="3:14" x14ac:dyDescent="0.3">
      <c r="C10300" s="54"/>
      <c r="N10300" s="33"/>
    </row>
    <row r="10301" spans="3:14" x14ac:dyDescent="0.3">
      <c r="C10301" s="54"/>
      <c r="N10301" s="33"/>
    </row>
    <row r="10302" spans="3:14" x14ac:dyDescent="0.3">
      <c r="C10302" s="54"/>
      <c r="N10302" s="33"/>
    </row>
    <row r="10303" spans="3:14" x14ac:dyDescent="0.3">
      <c r="C10303" s="54"/>
      <c r="N10303" s="33"/>
    </row>
    <row r="10304" spans="3:14" x14ac:dyDescent="0.3">
      <c r="C10304" s="54"/>
      <c r="N10304" s="33"/>
    </row>
    <row r="10305" spans="3:14" x14ac:dyDescent="0.3">
      <c r="C10305" s="54"/>
      <c r="N10305" s="33"/>
    </row>
    <row r="10306" spans="3:14" x14ac:dyDescent="0.3">
      <c r="C10306" s="54"/>
      <c r="N10306" s="33"/>
    </row>
    <row r="10307" spans="3:14" x14ac:dyDescent="0.3">
      <c r="C10307" s="54"/>
      <c r="N10307" s="33"/>
    </row>
    <row r="10308" spans="3:14" x14ac:dyDescent="0.3">
      <c r="C10308" s="54"/>
      <c r="N10308" s="33"/>
    </row>
    <row r="10309" spans="3:14" x14ac:dyDescent="0.3">
      <c r="C10309" s="54"/>
      <c r="N10309" s="33"/>
    </row>
    <row r="10310" spans="3:14" x14ac:dyDescent="0.3">
      <c r="C10310" s="54"/>
      <c r="N10310" s="33"/>
    </row>
    <row r="10311" spans="3:14" x14ac:dyDescent="0.3">
      <c r="C10311" s="54"/>
      <c r="N10311" s="33"/>
    </row>
    <row r="10312" spans="3:14" x14ac:dyDescent="0.3">
      <c r="C10312" s="54"/>
      <c r="N10312" s="33"/>
    </row>
    <row r="10313" spans="3:14" x14ac:dyDescent="0.3">
      <c r="C10313" s="54"/>
      <c r="N10313" s="33"/>
    </row>
    <row r="10314" spans="3:14" x14ac:dyDescent="0.3">
      <c r="C10314" s="54"/>
      <c r="N10314" s="33"/>
    </row>
    <row r="10315" spans="3:14" x14ac:dyDescent="0.3">
      <c r="C10315" s="54"/>
      <c r="N10315" s="33"/>
    </row>
    <row r="10316" spans="3:14" x14ac:dyDescent="0.3">
      <c r="C10316" s="54"/>
      <c r="N10316" s="33"/>
    </row>
    <row r="10317" spans="3:14" x14ac:dyDescent="0.3">
      <c r="C10317" s="54"/>
      <c r="N10317" s="33"/>
    </row>
    <row r="10318" spans="3:14" x14ac:dyDescent="0.3">
      <c r="C10318" s="54"/>
      <c r="N10318" s="33"/>
    </row>
    <row r="10319" spans="3:14" x14ac:dyDescent="0.3">
      <c r="C10319" s="54"/>
      <c r="N10319" s="33"/>
    </row>
    <row r="10320" spans="3:14" x14ac:dyDescent="0.3">
      <c r="C10320" s="54"/>
      <c r="N10320" s="33"/>
    </row>
    <row r="10321" spans="3:14" x14ac:dyDescent="0.3">
      <c r="C10321" s="54"/>
      <c r="N10321" s="33"/>
    </row>
    <row r="10322" spans="3:14" x14ac:dyDescent="0.3">
      <c r="C10322" s="54"/>
      <c r="N10322" s="33"/>
    </row>
    <row r="10323" spans="3:14" x14ac:dyDescent="0.3">
      <c r="C10323" s="54"/>
      <c r="N10323" s="33"/>
    </row>
    <row r="10324" spans="3:14" x14ac:dyDescent="0.3">
      <c r="C10324" s="54"/>
      <c r="N10324" s="33"/>
    </row>
    <row r="10325" spans="3:14" x14ac:dyDescent="0.3">
      <c r="C10325" s="54"/>
      <c r="N10325" s="33"/>
    </row>
    <row r="10326" spans="3:14" x14ac:dyDescent="0.3">
      <c r="C10326" s="54"/>
      <c r="N10326" s="33"/>
    </row>
    <row r="10327" spans="3:14" x14ac:dyDescent="0.3">
      <c r="C10327" s="54"/>
      <c r="N10327" s="33"/>
    </row>
    <row r="10328" spans="3:14" x14ac:dyDescent="0.3">
      <c r="C10328" s="54"/>
      <c r="N10328" s="33"/>
    </row>
    <row r="10329" spans="3:14" x14ac:dyDescent="0.3">
      <c r="C10329" s="54"/>
      <c r="N10329" s="33"/>
    </row>
    <row r="10330" spans="3:14" x14ac:dyDescent="0.3">
      <c r="C10330" s="54"/>
      <c r="N10330" s="33"/>
    </row>
    <row r="10331" spans="3:14" x14ac:dyDescent="0.3">
      <c r="C10331" s="54"/>
      <c r="N10331" s="33"/>
    </row>
    <row r="10332" spans="3:14" x14ac:dyDescent="0.3">
      <c r="C10332" s="54"/>
      <c r="N10332" s="33"/>
    </row>
    <row r="10333" spans="3:14" x14ac:dyDescent="0.3">
      <c r="C10333" s="54"/>
      <c r="N10333" s="33"/>
    </row>
    <row r="10334" spans="3:14" x14ac:dyDescent="0.3">
      <c r="C10334" s="54"/>
      <c r="N10334" s="33"/>
    </row>
    <row r="10335" spans="3:14" x14ac:dyDescent="0.3">
      <c r="C10335" s="54"/>
      <c r="N10335" s="33"/>
    </row>
    <row r="10336" spans="3:14" x14ac:dyDescent="0.3">
      <c r="C10336" s="54"/>
      <c r="N10336" s="33"/>
    </row>
    <row r="10337" spans="3:14" x14ac:dyDescent="0.3">
      <c r="C10337" s="54"/>
      <c r="N10337" s="33"/>
    </row>
    <row r="10338" spans="3:14" x14ac:dyDescent="0.3">
      <c r="C10338" s="54"/>
      <c r="N10338" s="33"/>
    </row>
    <row r="10339" spans="3:14" x14ac:dyDescent="0.3">
      <c r="C10339" s="54"/>
      <c r="N10339" s="33"/>
    </row>
    <row r="10340" spans="3:14" x14ac:dyDescent="0.3">
      <c r="C10340" s="54"/>
      <c r="N10340" s="33"/>
    </row>
    <row r="10341" spans="3:14" x14ac:dyDescent="0.3">
      <c r="C10341" s="54"/>
      <c r="N10341" s="33"/>
    </row>
    <row r="10342" spans="3:14" x14ac:dyDescent="0.3">
      <c r="C10342" s="54"/>
      <c r="N10342" s="33"/>
    </row>
    <row r="10343" spans="3:14" x14ac:dyDescent="0.3">
      <c r="C10343" s="54"/>
      <c r="N10343" s="33"/>
    </row>
    <row r="10344" spans="3:14" x14ac:dyDescent="0.3">
      <c r="C10344" s="54"/>
      <c r="N10344" s="33"/>
    </row>
    <row r="10345" spans="3:14" x14ac:dyDescent="0.3">
      <c r="C10345" s="54"/>
      <c r="N10345" s="33"/>
    </row>
    <row r="10346" spans="3:14" x14ac:dyDescent="0.3">
      <c r="C10346" s="54"/>
      <c r="N10346" s="33"/>
    </row>
    <row r="10347" spans="3:14" x14ac:dyDescent="0.3">
      <c r="C10347" s="54"/>
      <c r="N10347" s="33"/>
    </row>
    <row r="10348" spans="3:14" x14ac:dyDescent="0.3">
      <c r="C10348" s="54"/>
      <c r="N10348" s="33"/>
    </row>
    <row r="10349" spans="3:14" x14ac:dyDescent="0.3">
      <c r="C10349" s="54"/>
      <c r="N10349" s="33"/>
    </row>
    <row r="10350" spans="3:14" x14ac:dyDescent="0.3">
      <c r="C10350" s="54"/>
      <c r="N10350" s="33"/>
    </row>
    <row r="10351" spans="3:14" x14ac:dyDescent="0.3">
      <c r="C10351" s="54"/>
      <c r="N10351" s="33"/>
    </row>
    <row r="10352" spans="3:14" x14ac:dyDescent="0.3">
      <c r="C10352" s="54"/>
      <c r="N10352" s="33"/>
    </row>
    <row r="10353" spans="3:14" x14ac:dyDescent="0.3">
      <c r="C10353" s="54"/>
      <c r="N10353" s="33"/>
    </row>
    <row r="10354" spans="3:14" x14ac:dyDescent="0.3">
      <c r="C10354" s="54"/>
      <c r="N10354" s="33"/>
    </row>
    <row r="10355" spans="3:14" x14ac:dyDescent="0.3">
      <c r="C10355" s="54"/>
      <c r="N10355" s="33"/>
    </row>
    <row r="10356" spans="3:14" x14ac:dyDescent="0.3">
      <c r="C10356" s="54"/>
      <c r="N10356" s="33"/>
    </row>
    <row r="10357" spans="3:14" x14ac:dyDescent="0.3">
      <c r="C10357" s="54"/>
      <c r="N10357" s="33"/>
    </row>
    <row r="10358" spans="3:14" x14ac:dyDescent="0.3">
      <c r="C10358" s="54"/>
      <c r="N10358" s="33"/>
    </row>
    <row r="10359" spans="3:14" x14ac:dyDescent="0.3">
      <c r="C10359" s="54"/>
      <c r="N10359" s="33"/>
    </row>
    <row r="10360" spans="3:14" x14ac:dyDescent="0.3">
      <c r="C10360" s="54"/>
      <c r="N10360" s="33"/>
    </row>
    <row r="10361" spans="3:14" x14ac:dyDescent="0.3">
      <c r="C10361" s="54"/>
      <c r="N10361" s="33"/>
    </row>
    <row r="10362" spans="3:14" x14ac:dyDescent="0.3">
      <c r="C10362" s="54"/>
      <c r="N10362" s="33"/>
    </row>
    <row r="10363" spans="3:14" x14ac:dyDescent="0.3">
      <c r="C10363" s="54"/>
      <c r="N10363" s="33"/>
    </row>
    <row r="10364" spans="3:14" x14ac:dyDescent="0.3">
      <c r="C10364" s="54"/>
      <c r="N10364" s="33"/>
    </row>
    <row r="10365" spans="3:14" x14ac:dyDescent="0.3">
      <c r="C10365" s="54"/>
      <c r="N10365" s="33"/>
    </row>
    <row r="10366" spans="3:14" x14ac:dyDescent="0.3">
      <c r="C10366" s="54"/>
      <c r="N10366" s="33"/>
    </row>
    <row r="10367" spans="3:14" x14ac:dyDescent="0.3">
      <c r="C10367" s="54"/>
      <c r="N10367" s="33"/>
    </row>
    <row r="10368" spans="3:14" x14ac:dyDescent="0.3">
      <c r="C10368" s="54"/>
      <c r="N10368" s="33"/>
    </row>
    <row r="10369" spans="3:14" x14ac:dyDescent="0.3">
      <c r="C10369" s="54"/>
      <c r="N10369" s="33"/>
    </row>
    <row r="10370" spans="3:14" x14ac:dyDescent="0.3">
      <c r="C10370" s="54"/>
      <c r="N10370" s="33"/>
    </row>
    <row r="10371" spans="3:14" x14ac:dyDescent="0.3">
      <c r="C10371" s="54"/>
      <c r="N10371" s="33"/>
    </row>
    <row r="10372" spans="3:14" x14ac:dyDescent="0.3">
      <c r="C10372" s="54"/>
      <c r="N10372" s="33"/>
    </row>
    <row r="10373" spans="3:14" x14ac:dyDescent="0.3">
      <c r="C10373" s="54"/>
      <c r="N10373" s="33"/>
    </row>
    <row r="10374" spans="3:14" x14ac:dyDescent="0.3">
      <c r="C10374" s="54"/>
      <c r="N10374" s="33"/>
    </row>
    <row r="10375" spans="3:14" x14ac:dyDescent="0.3">
      <c r="C10375" s="54"/>
      <c r="N10375" s="33"/>
    </row>
    <row r="10376" spans="3:14" x14ac:dyDescent="0.3">
      <c r="C10376" s="54"/>
      <c r="N10376" s="33"/>
    </row>
    <row r="10377" spans="3:14" x14ac:dyDescent="0.3">
      <c r="C10377" s="54"/>
      <c r="N10377" s="33"/>
    </row>
    <row r="10378" spans="3:14" x14ac:dyDescent="0.3">
      <c r="C10378" s="54"/>
      <c r="N10378" s="33"/>
    </row>
    <row r="10379" spans="3:14" x14ac:dyDescent="0.3">
      <c r="C10379" s="54"/>
      <c r="N10379" s="33"/>
    </row>
    <row r="10380" spans="3:14" x14ac:dyDescent="0.3">
      <c r="C10380" s="54"/>
      <c r="N10380" s="33"/>
    </row>
    <row r="10381" spans="3:14" x14ac:dyDescent="0.3">
      <c r="C10381" s="54"/>
      <c r="N10381" s="33"/>
    </row>
    <row r="10382" spans="3:14" x14ac:dyDescent="0.3">
      <c r="C10382" s="54"/>
      <c r="N10382" s="33"/>
    </row>
    <row r="10383" spans="3:14" x14ac:dyDescent="0.3">
      <c r="C10383" s="54"/>
      <c r="N10383" s="33"/>
    </row>
    <row r="10384" spans="3:14" x14ac:dyDescent="0.3">
      <c r="C10384" s="54"/>
      <c r="N10384" s="33"/>
    </row>
    <row r="10385" spans="3:14" x14ac:dyDescent="0.3">
      <c r="C10385" s="54"/>
      <c r="N10385" s="33"/>
    </row>
    <row r="10386" spans="3:14" x14ac:dyDescent="0.3">
      <c r="C10386" s="54"/>
      <c r="N10386" s="33"/>
    </row>
    <row r="10387" spans="3:14" x14ac:dyDescent="0.3">
      <c r="C10387" s="54"/>
      <c r="N10387" s="33"/>
    </row>
    <row r="10388" spans="3:14" x14ac:dyDescent="0.3">
      <c r="C10388" s="54"/>
      <c r="N10388" s="33"/>
    </row>
    <row r="10389" spans="3:14" x14ac:dyDescent="0.3">
      <c r="C10389" s="54"/>
      <c r="N10389" s="33"/>
    </row>
    <row r="10390" spans="3:14" x14ac:dyDescent="0.3">
      <c r="C10390" s="54"/>
      <c r="N10390" s="33"/>
    </row>
    <row r="10391" spans="3:14" x14ac:dyDescent="0.3">
      <c r="C10391" s="54"/>
      <c r="N10391" s="33"/>
    </row>
    <row r="10392" spans="3:14" x14ac:dyDescent="0.3">
      <c r="C10392" s="54"/>
      <c r="N10392" s="33"/>
    </row>
    <row r="10393" spans="3:14" x14ac:dyDescent="0.3">
      <c r="C10393" s="54"/>
      <c r="N10393" s="33"/>
    </row>
    <row r="10394" spans="3:14" x14ac:dyDescent="0.3">
      <c r="C10394" s="54"/>
      <c r="N10394" s="33"/>
    </row>
    <row r="10395" spans="3:14" x14ac:dyDescent="0.3">
      <c r="C10395" s="54"/>
      <c r="N10395" s="33"/>
    </row>
    <row r="10396" spans="3:14" x14ac:dyDescent="0.3">
      <c r="C10396" s="54"/>
      <c r="N10396" s="33"/>
    </row>
    <row r="10397" spans="3:14" x14ac:dyDescent="0.3">
      <c r="C10397" s="54"/>
      <c r="N10397" s="33"/>
    </row>
    <row r="10398" spans="3:14" x14ac:dyDescent="0.3">
      <c r="C10398" s="54"/>
      <c r="N10398" s="33"/>
    </row>
    <row r="10399" spans="3:14" x14ac:dyDescent="0.3">
      <c r="C10399" s="54"/>
      <c r="N10399" s="33"/>
    </row>
    <row r="10400" spans="3:14" x14ac:dyDescent="0.3">
      <c r="C10400" s="54"/>
      <c r="N10400" s="33"/>
    </row>
    <row r="10401" spans="3:14" x14ac:dyDescent="0.3">
      <c r="C10401" s="54"/>
      <c r="N10401" s="33"/>
    </row>
    <row r="10402" spans="3:14" x14ac:dyDescent="0.3">
      <c r="C10402" s="54"/>
      <c r="N10402" s="33"/>
    </row>
    <row r="10403" spans="3:14" x14ac:dyDescent="0.3">
      <c r="C10403" s="54"/>
      <c r="N10403" s="33"/>
    </row>
    <row r="10404" spans="3:14" x14ac:dyDescent="0.3">
      <c r="C10404" s="54"/>
      <c r="N10404" s="33"/>
    </row>
    <row r="10405" spans="3:14" x14ac:dyDescent="0.3">
      <c r="C10405" s="54"/>
      <c r="N10405" s="33"/>
    </row>
    <row r="10406" spans="3:14" x14ac:dyDescent="0.3">
      <c r="C10406" s="54"/>
      <c r="N10406" s="33"/>
    </row>
    <row r="10407" spans="3:14" x14ac:dyDescent="0.3">
      <c r="C10407" s="54"/>
      <c r="N10407" s="33"/>
    </row>
    <row r="10408" spans="3:14" x14ac:dyDescent="0.3">
      <c r="C10408" s="54"/>
      <c r="N10408" s="33"/>
    </row>
    <row r="10409" spans="3:14" x14ac:dyDescent="0.3">
      <c r="C10409" s="54"/>
      <c r="N10409" s="33"/>
    </row>
    <row r="10410" spans="3:14" x14ac:dyDescent="0.3">
      <c r="C10410" s="54"/>
      <c r="N10410" s="33"/>
    </row>
    <row r="10411" spans="3:14" x14ac:dyDescent="0.3">
      <c r="C10411" s="54"/>
      <c r="N10411" s="33"/>
    </row>
    <row r="10412" spans="3:14" x14ac:dyDescent="0.3">
      <c r="C10412" s="54"/>
      <c r="N10412" s="33"/>
    </row>
    <row r="10413" spans="3:14" x14ac:dyDescent="0.3">
      <c r="C10413" s="54"/>
      <c r="N10413" s="33"/>
    </row>
    <row r="10414" spans="3:14" x14ac:dyDescent="0.3">
      <c r="C10414" s="54"/>
      <c r="N10414" s="33"/>
    </row>
    <row r="10415" spans="3:14" x14ac:dyDescent="0.3">
      <c r="C10415" s="54"/>
      <c r="N10415" s="33"/>
    </row>
    <row r="10416" spans="3:14" x14ac:dyDescent="0.3">
      <c r="C10416" s="54"/>
      <c r="N10416" s="33"/>
    </row>
    <row r="10417" spans="3:14" x14ac:dyDescent="0.3">
      <c r="C10417" s="54"/>
      <c r="N10417" s="33"/>
    </row>
    <row r="10418" spans="3:14" x14ac:dyDescent="0.3">
      <c r="C10418" s="54"/>
      <c r="N10418" s="33"/>
    </row>
    <row r="10419" spans="3:14" x14ac:dyDescent="0.3">
      <c r="C10419" s="54"/>
      <c r="N10419" s="33"/>
    </row>
    <row r="10420" spans="3:14" x14ac:dyDescent="0.3">
      <c r="C10420" s="54"/>
      <c r="N10420" s="33"/>
    </row>
    <row r="10421" spans="3:14" x14ac:dyDescent="0.3">
      <c r="C10421" s="54"/>
      <c r="N10421" s="33"/>
    </row>
    <row r="10422" spans="3:14" x14ac:dyDescent="0.3">
      <c r="C10422" s="54"/>
      <c r="N10422" s="33"/>
    </row>
    <row r="10423" spans="3:14" x14ac:dyDescent="0.3">
      <c r="C10423" s="54"/>
      <c r="N10423" s="33"/>
    </row>
    <row r="10424" spans="3:14" x14ac:dyDescent="0.3">
      <c r="C10424" s="54"/>
      <c r="N10424" s="33"/>
    </row>
    <row r="10425" spans="3:14" x14ac:dyDescent="0.3">
      <c r="C10425" s="54"/>
      <c r="N10425" s="33"/>
    </row>
    <row r="10426" spans="3:14" x14ac:dyDescent="0.3">
      <c r="C10426" s="54"/>
      <c r="N10426" s="33"/>
    </row>
    <row r="10427" spans="3:14" x14ac:dyDescent="0.3">
      <c r="C10427" s="54"/>
      <c r="N10427" s="33"/>
    </row>
    <row r="10428" spans="3:14" x14ac:dyDescent="0.3">
      <c r="C10428" s="54"/>
      <c r="N10428" s="33"/>
    </row>
    <row r="10429" spans="3:14" x14ac:dyDescent="0.3">
      <c r="C10429" s="54"/>
      <c r="N10429" s="33"/>
    </row>
    <row r="10430" spans="3:14" x14ac:dyDescent="0.3">
      <c r="C10430" s="54"/>
      <c r="N10430" s="33"/>
    </row>
    <row r="10431" spans="3:14" x14ac:dyDescent="0.3">
      <c r="C10431" s="54"/>
      <c r="N10431" s="33"/>
    </row>
    <row r="10432" spans="3:14" x14ac:dyDescent="0.3">
      <c r="C10432" s="54"/>
      <c r="N10432" s="33"/>
    </row>
    <row r="10433" spans="3:14" x14ac:dyDescent="0.3">
      <c r="C10433" s="54"/>
      <c r="N10433" s="33"/>
    </row>
    <row r="10434" spans="3:14" x14ac:dyDescent="0.3">
      <c r="C10434" s="54"/>
      <c r="N10434" s="33"/>
    </row>
    <row r="10435" spans="3:14" x14ac:dyDescent="0.3">
      <c r="C10435" s="54"/>
      <c r="N10435" s="33"/>
    </row>
    <row r="10436" spans="3:14" x14ac:dyDescent="0.3">
      <c r="C10436" s="54"/>
      <c r="N10436" s="33"/>
    </row>
    <row r="10437" spans="3:14" x14ac:dyDescent="0.3">
      <c r="C10437" s="54"/>
      <c r="N10437" s="33"/>
    </row>
    <row r="10438" spans="3:14" x14ac:dyDescent="0.3">
      <c r="C10438" s="54"/>
      <c r="N10438" s="33"/>
    </row>
    <row r="10439" spans="3:14" x14ac:dyDescent="0.3">
      <c r="C10439" s="54"/>
      <c r="N10439" s="33"/>
    </row>
    <row r="10440" spans="3:14" x14ac:dyDescent="0.3">
      <c r="C10440" s="54"/>
      <c r="N10440" s="33"/>
    </row>
    <row r="10441" spans="3:14" x14ac:dyDescent="0.3">
      <c r="C10441" s="54"/>
      <c r="N10441" s="33"/>
    </row>
    <row r="10442" spans="3:14" x14ac:dyDescent="0.3">
      <c r="C10442" s="54"/>
      <c r="N10442" s="33"/>
    </row>
    <row r="10443" spans="3:14" x14ac:dyDescent="0.3">
      <c r="C10443" s="54"/>
      <c r="N10443" s="33"/>
    </row>
    <row r="10444" spans="3:14" x14ac:dyDescent="0.3">
      <c r="C10444" s="54"/>
      <c r="N10444" s="33"/>
    </row>
    <row r="10445" spans="3:14" x14ac:dyDescent="0.3">
      <c r="C10445" s="54"/>
      <c r="N10445" s="33"/>
    </row>
    <row r="10446" spans="3:14" x14ac:dyDescent="0.3">
      <c r="C10446" s="54"/>
      <c r="N10446" s="33"/>
    </row>
    <row r="10447" spans="3:14" x14ac:dyDescent="0.3">
      <c r="C10447" s="54"/>
      <c r="N10447" s="33"/>
    </row>
    <row r="10448" spans="3:14" x14ac:dyDescent="0.3">
      <c r="C10448" s="54"/>
      <c r="N10448" s="33"/>
    </row>
    <row r="10449" spans="3:14" x14ac:dyDescent="0.3">
      <c r="C10449" s="54"/>
      <c r="N10449" s="33"/>
    </row>
    <row r="10450" spans="3:14" x14ac:dyDescent="0.3">
      <c r="C10450" s="54"/>
      <c r="N10450" s="33"/>
    </row>
    <row r="10451" spans="3:14" x14ac:dyDescent="0.3">
      <c r="C10451" s="54"/>
      <c r="N10451" s="33"/>
    </row>
    <row r="10452" spans="3:14" x14ac:dyDescent="0.3">
      <c r="C10452" s="54"/>
      <c r="N10452" s="33"/>
    </row>
    <row r="10453" spans="3:14" x14ac:dyDescent="0.3">
      <c r="C10453" s="54"/>
      <c r="N10453" s="33"/>
    </row>
    <row r="10454" spans="3:14" x14ac:dyDescent="0.3">
      <c r="C10454" s="54"/>
      <c r="N10454" s="33"/>
    </row>
    <row r="10455" spans="3:14" x14ac:dyDescent="0.3">
      <c r="C10455" s="54"/>
      <c r="N10455" s="33"/>
    </row>
    <row r="10456" spans="3:14" x14ac:dyDescent="0.3">
      <c r="C10456" s="54"/>
      <c r="N10456" s="33"/>
    </row>
    <row r="10457" spans="3:14" x14ac:dyDescent="0.3">
      <c r="C10457" s="54"/>
      <c r="N10457" s="33"/>
    </row>
    <row r="10458" spans="3:14" x14ac:dyDescent="0.3">
      <c r="C10458" s="54"/>
      <c r="N10458" s="33"/>
    </row>
    <row r="10459" spans="3:14" x14ac:dyDescent="0.3">
      <c r="C10459" s="54"/>
      <c r="N10459" s="33"/>
    </row>
    <row r="10460" spans="3:14" x14ac:dyDescent="0.3">
      <c r="C10460" s="54"/>
      <c r="N10460" s="33"/>
    </row>
    <row r="10461" spans="3:14" x14ac:dyDescent="0.3">
      <c r="C10461" s="54"/>
      <c r="N10461" s="33"/>
    </row>
    <row r="10462" spans="3:14" x14ac:dyDescent="0.3">
      <c r="C10462" s="54"/>
      <c r="N10462" s="33"/>
    </row>
    <row r="10463" spans="3:14" x14ac:dyDescent="0.3">
      <c r="C10463" s="54"/>
      <c r="N10463" s="33"/>
    </row>
    <row r="10464" spans="3:14" x14ac:dyDescent="0.3">
      <c r="C10464" s="54"/>
      <c r="N10464" s="33"/>
    </row>
    <row r="10465" spans="3:14" x14ac:dyDescent="0.3">
      <c r="C10465" s="54"/>
      <c r="N10465" s="33"/>
    </row>
    <row r="10466" spans="3:14" x14ac:dyDescent="0.3">
      <c r="C10466" s="54"/>
      <c r="N10466" s="33"/>
    </row>
    <row r="10467" spans="3:14" x14ac:dyDescent="0.3">
      <c r="C10467" s="54"/>
      <c r="N10467" s="33"/>
    </row>
    <row r="10468" spans="3:14" x14ac:dyDescent="0.3">
      <c r="C10468" s="54"/>
      <c r="N10468" s="33"/>
    </row>
    <row r="10469" spans="3:14" x14ac:dyDescent="0.3">
      <c r="C10469" s="54"/>
      <c r="N10469" s="33"/>
    </row>
    <row r="10470" spans="3:14" x14ac:dyDescent="0.3">
      <c r="C10470" s="54"/>
      <c r="N10470" s="33"/>
    </row>
    <row r="10471" spans="3:14" x14ac:dyDescent="0.3">
      <c r="C10471" s="54"/>
      <c r="N10471" s="33"/>
    </row>
    <row r="10472" spans="3:14" x14ac:dyDescent="0.3">
      <c r="C10472" s="54"/>
      <c r="N10472" s="33"/>
    </row>
    <row r="10473" spans="3:14" x14ac:dyDescent="0.3">
      <c r="C10473" s="54"/>
      <c r="N10473" s="33"/>
    </row>
    <row r="10474" spans="3:14" x14ac:dyDescent="0.3">
      <c r="C10474" s="54"/>
      <c r="N10474" s="33"/>
    </row>
    <row r="10475" spans="3:14" x14ac:dyDescent="0.3">
      <c r="C10475" s="54"/>
      <c r="N10475" s="33"/>
    </row>
    <row r="10476" spans="3:14" x14ac:dyDescent="0.3">
      <c r="C10476" s="54"/>
      <c r="N10476" s="33"/>
    </row>
    <row r="10477" spans="3:14" x14ac:dyDescent="0.3">
      <c r="C10477" s="54"/>
      <c r="N10477" s="33"/>
    </row>
    <row r="10478" spans="3:14" x14ac:dyDescent="0.3">
      <c r="C10478" s="54"/>
      <c r="N10478" s="33"/>
    </row>
    <row r="10479" spans="3:14" x14ac:dyDescent="0.3">
      <c r="C10479" s="54"/>
      <c r="N10479" s="33"/>
    </row>
    <row r="10480" spans="3:14" x14ac:dyDescent="0.3">
      <c r="C10480" s="54"/>
      <c r="N10480" s="33"/>
    </row>
    <row r="10481" spans="3:14" x14ac:dyDescent="0.3">
      <c r="C10481" s="54"/>
      <c r="N10481" s="33"/>
    </row>
    <row r="10482" spans="3:14" x14ac:dyDescent="0.3">
      <c r="C10482" s="54"/>
      <c r="N10482" s="33"/>
    </row>
    <row r="10483" spans="3:14" x14ac:dyDescent="0.3">
      <c r="C10483" s="54"/>
      <c r="N10483" s="33"/>
    </row>
    <row r="10484" spans="3:14" x14ac:dyDescent="0.3">
      <c r="C10484" s="54"/>
      <c r="N10484" s="33"/>
    </row>
    <row r="10485" spans="3:14" x14ac:dyDescent="0.3">
      <c r="C10485" s="54"/>
      <c r="N10485" s="33"/>
    </row>
    <row r="10486" spans="3:14" x14ac:dyDescent="0.3">
      <c r="C10486" s="54"/>
      <c r="N10486" s="33"/>
    </row>
    <row r="10487" spans="3:14" x14ac:dyDescent="0.3">
      <c r="C10487" s="54"/>
      <c r="N10487" s="33"/>
    </row>
    <row r="10488" spans="3:14" x14ac:dyDescent="0.3">
      <c r="C10488" s="54"/>
      <c r="N10488" s="33"/>
    </row>
    <row r="10489" spans="3:14" x14ac:dyDescent="0.3">
      <c r="C10489" s="54"/>
      <c r="N10489" s="33"/>
    </row>
    <row r="10490" spans="3:14" x14ac:dyDescent="0.3">
      <c r="C10490" s="54"/>
      <c r="N10490" s="33"/>
    </row>
    <row r="10491" spans="3:14" x14ac:dyDescent="0.3">
      <c r="C10491" s="54"/>
      <c r="N10491" s="33"/>
    </row>
    <row r="10492" spans="3:14" x14ac:dyDescent="0.3">
      <c r="C10492" s="54"/>
      <c r="N10492" s="33"/>
    </row>
    <row r="10493" spans="3:14" x14ac:dyDescent="0.3">
      <c r="C10493" s="54"/>
      <c r="N10493" s="33"/>
    </row>
    <row r="10494" spans="3:14" x14ac:dyDescent="0.3">
      <c r="C10494" s="54"/>
      <c r="N10494" s="33"/>
    </row>
    <row r="10495" spans="3:14" x14ac:dyDescent="0.3">
      <c r="C10495" s="54"/>
      <c r="N10495" s="33"/>
    </row>
    <row r="10496" spans="3:14" x14ac:dyDescent="0.3">
      <c r="C10496" s="54"/>
      <c r="N10496" s="33"/>
    </row>
    <row r="10497" spans="3:14" x14ac:dyDescent="0.3">
      <c r="C10497" s="54"/>
      <c r="N10497" s="33"/>
    </row>
    <row r="10498" spans="3:14" x14ac:dyDescent="0.3">
      <c r="C10498" s="54"/>
      <c r="N10498" s="33"/>
    </row>
    <row r="10499" spans="3:14" x14ac:dyDescent="0.3">
      <c r="C10499" s="54"/>
      <c r="N10499" s="33"/>
    </row>
    <row r="10500" spans="3:14" x14ac:dyDescent="0.3">
      <c r="C10500" s="54"/>
      <c r="N10500" s="33"/>
    </row>
    <row r="10501" spans="3:14" x14ac:dyDescent="0.3">
      <c r="C10501" s="54"/>
      <c r="N10501" s="33"/>
    </row>
    <row r="10502" spans="3:14" x14ac:dyDescent="0.3">
      <c r="C10502" s="54"/>
      <c r="N10502" s="33"/>
    </row>
    <row r="10503" spans="3:14" x14ac:dyDescent="0.3">
      <c r="C10503" s="54"/>
      <c r="N10503" s="33"/>
    </row>
    <row r="10504" spans="3:14" x14ac:dyDescent="0.3">
      <c r="C10504" s="54"/>
      <c r="N10504" s="33"/>
    </row>
    <row r="10505" spans="3:14" x14ac:dyDescent="0.3">
      <c r="C10505" s="54"/>
      <c r="N10505" s="33"/>
    </row>
    <row r="10506" spans="3:14" x14ac:dyDescent="0.3">
      <c r="C10506" s="54"/>
      <c r="N10506" s="33"/>
    </row>
    <row r="10507" spans="3:14" x14ac:dyDescent="0.3">
      <c r="C10507" s="54"/>
      <c r="N10507" s="33"/>
    </row>
    <row r="10508" spans="3:14" x14ac:dyDescent="0.3">
      <c r="C10508" s="54"/>
      <c r="N10508" s="33"/>
    </row>
    <row r="10509" spans="3:14" x14ac:dyDescent="0.3">
      <c r="C10509" s="54"/>
      <c r="N10509" s="33"/>
    </row>
    <row r="10510" spans="3:14" x14ac:dyDescent="0.3">
      <c r="C10510" s="54"/>
      <c r="N10510" s="33"/>
    </row>
    <row r="10511" spans="3:14" x14ac:dyDescent="0.3">
      <c r="C10511" s="54"/>
      <c r="N10511" s="33"/>
    </row>
    <row r="10512" spans="3:14" x14ac:dyDescent="0.3">
      <c r="C10512" s="54"/>
      <c r="N10512" s="33"/>
    </row>
    <row r="10513" spans="3:14" x14ac:dyDescent="0.3">
      <c r="C10513" s="54"/>
      <c r="N10513" s="33"/>
    </row>
    <row r="10514" spans="3:14" x14ac:dyDescent="0.3">
      <c r="C10514" s="54"/>
      <c r="N10514" s="33"/>
    </row>
    <row r="10515" spans="3:14" x14ac:dyDescent="0.3">
      <c r="C10515" s="54"/>
      <c r="N10515" s="33"/>
    </row>
    <row r="10516" spans="3:14" x14ac:dyDescent="0.3">
      <c r="C10516" s="54"/>
      <c r="N10516" s="33"/>
    </row>
    <row r="10517" spans="3:14" x14ac:dyDescent="0.3">
      <c r="C10517" s="54"/>
      <c r="N10517" s="33"/>
    </row>
    <row r="10518" spans="3:14" x14ac:dyDescent="0.3">
      <c r="C10518" s="54"/>
      <c r="N10518" s="33"/>
    </row>
    <row r="10519" spans="3:14" x14ac:dyDescent="0.3">
      <c r="C10519" s="54"/>
      <c r="N10519" s="33"/>
    </row>
    <row r="10520" spans="3:14" x14ac:dyDescent="0.3">
      <c r="C10520" s="54"/>
      <c r="N10520" s="33"/>
    </row>
    <row r="10521" spans="3:14" x14ac:dyDescent="0.3">
      <c r="C10521" s="54"/>
      <c r="N10521" s="33"/>
    </row>
    <row r="10522" spans="3:14" x14ac:dyDescent="0.3">
      <c r="C10522" s="54"/>
      <c r="N10522" s="33"/>
    </row>
    <row r="10523" spans="3:14" x14ac:dyDescent="0.3">
      <c r="C10523" s="54"/>
      <c r="N10523" s="33"/>
    </row>
    <row r="10524" spans="3:14" x14ac:dyDescent="0.3">
      <c r="C10524" s="54"/>
      <c r="N10524" s="33"/>
    </row>
    <row r="10525" spans="3:14" x14ac:dyDescent="0.3">
      <c r="C10525" s="54"/>
      <c r="N10525" s="33"/>
    </row>
    <row r="10526" spans="3:14" x14ac:dyDescent="0.3">
      <c r="C10526" s="54"/>
      <c r="N10526" s="33"/>
    </row>
    <row r="10527" spans="3:14" x14ac:dyDescent="0.3">
      <c r="C10527" s="54"/>
      <c r="N10527" s="33"/>
    </row>
    <row r="10528" spans="3:14" x14ac:dyDescent="0.3">
      <c r="C10528" s="54"/>
      <c r="N10528" s="33"/>
    </row>
    <row r="10529" spans="3:14" x14ac:dyDescent="0.3">
      <c r="C10529" s="54"/>
      <c r="N10529" s="33"/>
    </row>
    <row r="10530" spans="3:14" x14ac:dyDescent="0.3">
      <c r="C10530" s="54"/>
      <c r="N10530" s="33"/>
    </row>
    <row r="10531" spans="3:14" x14ac:dyDescent="0.3">
      <c r="C10531" s="54"/>
      <c r="N10531" s="33"/>
    </row>
    <row r="10532" spans="3:14" x14ac:dyDescent="0.3">
      <c r="C10532" s="54"/>
      <c r="N10532" s="33"/>
    </row>
    <row r="10533" spans="3:14" x14ac:dyDescent="0.3">
      <c r="C10533" s="54"/>
      <c r="N10533" s="33"/>
    </row>
    <row r="10534" spans="3:14" x14ac:dyDescent="0.3">
      <c r="C10534" s="54"/>
      <c r="N10534" s="33"/>
    </row>
    <row r="10535" spans="3:14" x14ac:dyDescent="0.3">
      <c r="C10535" s="54"/>
      <c r="N10535" s="33"/>
    </row>
    <row r="10536" spans="3:14" x14ac:dyDescent="0.3">
      <c r="C10536" s="54"/>
      <c r="N10536" s="33"/>
    </row>
    <row r="10537" spans="3:14" x14ac:dyDescent="0.3">
      <c r="C10537" s="54"/>
      <c r="N10537" s="33"/>
    </row>
    <row r="10538" spans="3:14" x14ac:dyDescent="0.3">
      <c r="C10538" s="54"/>
      <c r="N10538" s="33"/>
    </row>
    <row r="10539" spans="3:14" x14ac:dyDescent="0.3">
      <c r="C10539" s="54"/>
      <c r="N10539" s="33"/>
    </row>
    <row r="10540" spans="3:14" x14ac:dyDescent="0.3">
      <c r="C10540" s="54"/>
      <c r="N10540" s="33"/>
    </row>
    <row r="10541" spans="3:14" x14ac:dyDescent="0.3">
      <c r="C10541" s="54"/>
      <c r="N10541" s="33"/>
    </row>
    <row r="10542" spans="3:14" x14ac:dyDescent="0.3">
      <c r="C10542" s="54"/>
      <c r="N10542" s="33"/>
    </row>
    <row r="10543" spans="3:14" x14ac:dyDescent="0.3">
      <c r="C10543" s="54"/>
      <c r="N10543" s="33"/>
    </row>
    <row r="10544" spans="3:14" x14ac:dyDescent="0.3">
      <c r="C10544" s="54"/>
      <c r="N10544" s="33"/>
    </row>
    <row r="10545" spans="3:14" x14ac:dyDescent="0.3">
      <c r="C10545" s="54"/>
      <c r="N10545" s="33"/>
    </row>
    <row r="10546" spans="3:14" x14ac:dyDescent="0.3">
      <c r="C10546" s="54"/>
      <c r="N10546" s="33"/>
    </row>
    <row r="10547" spans="3:14" x14ac:dyDescent="0.3">
      <c r="C10547" s="54"/>
      <c r="N10547" s="33"/>
    </row>
    <row r="10548" spans="3:14" x14ac:dyDescent="0.3">
      <c r="C10548" s="54"/>
      <c r="N10548" s="33"/>
    </row>
    <row r="10549" spans="3:14" x14ac:dyDescent="0.3">
      <c r="C10549" s="54"/>
      <c r="N10549" s="33"/>
    </row>
    <row r="10550" spans="3:14" x14ac:dyDescent="0.3">
      <c r="C10550" s="54"/>
      <c r="N10550" s="33"/>
    </row>
    <row r="10551" spans="3:14" x14ac:dyDescent="0.3">
      <c r="C10551" s="54"/>
      <c r="N10551" s="33"/>
    </row>
    <row r="10552" spans="3:14" x14ac:dyDescent="0.3">
      <c r="C10552" s="54"/>
      <c r="N10552" s="33"/>
    </row>
    <row r="10553" spans="3:14" x14ac:dyDescent="0.3">
      <c r="C10553" s="54"/>
      <c r="N10553" s="33"/>
    </row>
    <row r="10554" spans="3:14" x14ac:dyDescent="0.3">
      <c r="C10554" s="54"/>
      <c r="N10554" s="33"/>
    </row>
    <row r="10555" spans="3:14" x14ac:dyDescent="0.3">
      <c r="C10555" s="54"/>
      <c r="N10555" s="33"/>
    </row>
    <row r="10556" spans="3:14" x14ac:dyDescent="0.3">
      <c r="C10556" s="54"/>
      <c r="N10556" s="33"/>
    </row>
    <row r="10557" spans="3:14" x14ac:dyDescent="0.3">
      <c r="C10557" s="54"/>
      <c r="N10557" s="33"/>
    </row>
    <row r="10558" spans="3:14" x14ac:dyDescent="0.3">
      <c r="C10558" s="54"/>
      <c r="N10558" s="33"/>
    </row>
    <row r="10559" spans="3:14" x14ac:dyDescent="0.3">
      <c r="C10559" s="54"/>
      <c r="N10559" s="33"/>
    </row>
    <row r="10560" spans="3:14" x14ac:dyDescent="0.3">
      <c r="C10560" s="54"/>
      <c r="N10560" s="33"/>
    </row>
    <row r="10561" spans="3:14" x14ac:dyDescent="0.3">
      <c r="C10561" s="54"/>
      <c r="N10561" s="33"/>
    </row>
    <row r="10562" spans="3:14" x14ac:dyDescent="0.3">
      <c r="C10562" s="54"/>
      <c r="N10562" s="33"/>
    </row>
    <row r="10563" spans="3:14" x14ac:dyDescent="0.3">
      <c r="C10563" s="54"/>
      <c r="N10563" s="33"/>
    </row>
    <row r="10564" spans="3:14" x14ac:dyDescent="0.3">
      <c r="C10564" s="54"/>
      <c r="N10564" s="33"/>
    </row>
    <row r="10565" spans="3:14" x14ac:dyDescent="0.3">
      <c r="C10565" s="54"/>
      <c r="N10565" s="33"/>
    </row>
    <row r="10566" spans="3:14" x14ac:dyDescent="0.3">
      <c r="C10566" s="54"/>
      <c r="N10566" s="33"/>
    </row>
    <row r="10567" spans="3:14" x14ac:dyDescent="0.3">
      <c r="C10567" s="54"/>
      <c r="N10567" s="33"/>
    </row>
    <row r="10568" spans="3:14" x14ac:dyDescent="0.3">
      <c r="C10568" s="54"/>
      <c r="N10568" s="33"/>
    </row>
    <row r="10569" spans="3:14" x14ac:dyDescent="0.3">
      <c r="C10569" s="54"/>
      <c r="N10569" s="33"/>
    </row>
    <row r="10570" spans="3:14" x14ac:dyDescent="0.3">
      <c r="C10570" s="54"/>
      <c r="N10570" s="33"/>
    </row>
    <row r="10571" spans="3:14" x14ac:dyDescent="0.3">
      <c r="C10571" s="54"/>
      <c r="N10571" s="33"/>
    </row>
    <row r="10572" spans="3:14" x14ac:dyDescent="0.3">
      <c r="C10572" s="54"/>
      <c r="N10572" s="33"/>
    </row>
    <row r="10573" spans="3:14" x14ac:dyDescent="0.3">
      <c r="C10573" s="54"/>
      <c r="N10573" s="33"/>
    </row>
    <row r="10574" spans="3:14" x14ac:dyDescent="0.3">
      <c r="C10574" s="54"/>
      <c r="N10574" s="33"/>
    </row>
    <row r="10575" spans="3:14" x14ac:dyDescent="0.3">
      <c r="C10575" s="54"/>
      <c r="N10575" s="33"/>
    </row>
    <row r="10576" spans="3:14" x14ac:dyDescent="0.3">
      <c r="C10576" s="54"/>
      <c r="N10576" s="33"/>
    </row>
    <row r="10577" spans="3:14" x14ac:dyDescent="0.3">
      <c r="C10577" s="54"/>
      <c r="N10577" s="33"/>
    </row>
    <row r="10578" spans="3:14" x14ac:dyDescent="0.3">
      <c r="C10578" s="54"/>
      <c r="N10578" s="33"/>
    </row>
    <row r="10579" spans="3:14" x14ac:dyDescent="0.3">
      <c r="C10579" s="54"/>
      <c r="N10579" s="33"/>
    </row>
    <row r="10580" spans="3:14" x14ac:dyDescent="0.3">
      <c r="C10580" s="54"/>
      <c r="N10580" s="33"/>
    </row>
    <row r="10581" spans="3:14" x14ac:dyDescent="0.3">
      <c r="C10581" s="54"/>
      <c r="N10581" s="33"/>
    </row>
    <row r="10582" spans="3:14" x14ac:dyDescent="0.3">
      <c r="C10582" s="54"/>
      <c r="N10582" s="33"/>
    </row>
    <row r="10583" spans="3:14" x14ac:dyDescent="0.3">
      <c r="C10583" s="54"/>
      <c r="N10583" s="33"/>
    </row>
    <row r="10584" spans="3:14" x14ac:dyDescent="0.3">
      <c r="C10584" s="54"/>
      <c r="N10584" s="33"/>
    </row>
    <row r="10585" spans="3:14" x14ac:dyDescent="0.3">
      <c r="C10585" s="54"/>
      <c r="N10585" s="33"/>
    </row>
    <row r="10586" spans="3:14" x14ac:dyDescent="0.3">
      <c r="C10586" s="54"/>
      <c r="N10586" s="33"/>
    </row>
    <row r="10587" spans="3:14" x14ac:dyDescent="0.3">
      <c r="C10587" s="54"/>
      <c r="N10587" s="33"/>
    </row>
    <row r="10588" spans="3:14" x14ac:dyDescent="0.3">
      <c r="C10588" s="54"/>
      <c r="N10588" s="33"/>
    </row>
    <row r="10589" spans="3:14" x14ac:dyDescent="0.3">
      <c r="C10589" s="54"/>
      <c r="N10589" s="33"/>
    </row>
    <row r="10590" spans="3:14" x14ac:dyDescent="0.3">
      <c r="C10590" s="54"/>
      <c r="N10590" s="33"/>
    </row>
    <row r="10591" spans="3:14" x14ac:dyDescent="0.3">
      <c r="C10591" s="54"/>
      <c r="N10591" s="33"/>
    </row>
    <row r="10592" spans="3:14" x14ac:dyDescent="0.3">
      <c r="C10592" s="54"/>
      <c r="N10592" s="33"/>
    </row>
    <row r="10593" spans="3:14" x14ac:dyDescent="0.3">
      <c r="C10593" s="54"/>
      <c r="N10593" s="33"/>
    </row>
    <row r="10594" spans="3:14" x14ac:dyDescent="0.3">
      <c r="C10594" s="54"/>
      <c r="N10594" s="33"/>
    </row>
    <row r="10595" spans="3:14" x14ac:dyDescent="0.3">
      <c r="C10595" s="54"/>
      <c r="N10595" s="33"/>
    </row>
    <row r="10596" spans="3:14" x14ac:dyDescent="0.3">
      <c r="C10596" s="54"/>
      <c r="N10596" s="33"/>
    </row>
    <row r="10597" spans="3:14" x14ac:dyDescent="0.3">
      <c r="C10597" s="54"/>
      <c r="N10597" s="33"/>
    </row>
    <row r="10598" spans="3:14" x14ac:dyDescent="0.3">
      <c r="C10598" s="54"/>
      <c r="N10598" s="33"/>
    </row>
    <row r="10599" spans="3:14" x14ac:dyDescent="0.3">
      <c r="C10599" s="54"/>
      <c r="N10599" s="33"/>
    </row>
    <row r="10600" spans="3:14" x14ac:dyDescent="0.3">
      <c r="C10600" s="54"/>
      <c r="N10600" s="33"/>
    </row>
    <row r="10601" spans="3:14" x14ac:dyDescent="0.3">
      <c r="C10601" s="54"/>
      <c r="N10601" s="33"/>
    </row>
    <row r="10602" spans="3:14" x14ac:dyDescent="0.3">
      <c r="C10602" s="54"/>
      <c r="N10602" s="33"/>
    </row>
    <row r="10603" spans="3:14" x14ac:dyDescent="0.3">
      <c r="C10603" s="54"/>
      <c r="N10603" s="33"/>
    </row>
    <row r="10604" spans="3:14" x14ac:dyDescent="0.3">
      <c r="C10604" s="54"/>
      <c r="N10604" s="33"/>
    </row>
    <row r="10605" spans="3:14" x14ac:dyDescent="0.3">
      <c r="C10605" s="54"/>
      <c r="N10605" s="33"/>
    </row>
    <row r="10606" spans="3:14" x14ac:dyDescent="0.3">
      <c r="C10606" s="54"/>
      <c r="N10606" s="33"/>
    </row>
    <row r="10607" spans="3:14" x14ac:dyDescent="0.3">
      <c r="C10607" s="54"/>
      <c r="N10607" s="33"/>
    </row>
    <row r="10608" spans="3:14" x14ac:dyDescent="0.3">
      <c r="C10608" s="54"/>
      <c r="N10608" s="33"/>
    </row>
    <row r="10609" spans="3:14" x14ac:dyDescent="0.3">
      <c r="C10609" s="54"/>
      <c r="N10609" s="33"/>
    </row>
    <row r="10610" spans="3:14" x14ac:dyDescent="0.3">
      <c r="C10610" s="54"/>
      <c r="N10610" s="33"/>
    </row>
    <row r="10611" spans="3:14" x14ac:dyDescent="0.3">
      <c r="C10611" s="54"/>
      <c r="N10611" s="33"/>
    </row>
    <row r="10612" spans="3:14" x14ac:dyDescent="0.3">
      <c r="C10612" s="54"/>
      <c r="N10612" s="33"/>
    </row>
    <row r="10613" spans="3:14" x14ac:dyDescent="0.3">
      <c r="C10613" s="54"/>
      <c r="N10613" s="33"/>
    </row>
    <row r="10614" spans="3:14" x14ac:dyDescent="0.3">
      <c r="C10614" s="54"/>
      <c r="N10614" s="33"/>
    </row>
    <row r="10615" spans="3:14" x14ac:dyDescent="0.3">
      <c r="C10615" s="54"/>
      <c r="N10615" s="33"/>
    </row>
    <row r="10616" spans="3:14" x14ac:dyDescent="0.3">
      <c r="C10616" s="54"/>
      <c r="N10616" s="33"/>
    </row>
    <row r="10617" spans="3:14" x14ac:dyDescent="0.3">
      <c r="C10617" s="54"/>
      <c r="N10617" s="33"/>
    </row>
    <row r="10618" spans="3:14" x14ac:dyDescent="0.3">
      <c r="C10618" s="54"/>
      <c r="N10618" s="33"/>
    </row>
    <row r="10619" spans="3:14" x14ac:dyDescent="0.3">
      <c r="C10619" s="54"/>
      <c r="N10619" s="33"/>
    </row>
    <row r="10620" spans="3:14" x14ac:dyDescent="0.3">
      <c r="C10620" s="54"/>
      <c r="N10620" s="33"/>
    </row>
    <row r="10621" spans="3:14" x14ac:dyDescent="0.3">
      <c r="C10621" s="54"/>
      <c r="N10621" s="33"/>
    </row>
    <row r="10622" spans="3:14" x14ac:dyDescent="0.3">
      <c r="C10622" s="54"/>
      <c r="N10622" s="33"/>
    </row>
    <row r="10623" spans="3:14" x14ac:dyDescent="0.3">
      <c r="C10623" s="54"/>
      <c r="N10623" s="33"/>
    </row>
    <row r="10624" spans="3:14" x14ac:dyDescent="0.3">
      <c r="C10624" s="54"/>
      <c r="N10624" s="33"/>
    </row>
    <row r="10625" spans="3:14" x14ac:dyDescent="0.3">
      <c r="C10625" s="54"/>
      <c r="N10625" s="33"/>
    </row>
    <row r="10626" spans="3:14" x14ac:dyDescent="0.3">
      <c r="C10626" s="54"/>
      <c r="N10626" s="33"/>
    </row>
    <row r="10627" spans="3:14" x14ac:dyDescent="0.3">
      <c r="C10627" s="54"/>
      <c r="N10627" s="33"/>
    </row>
    <row r="10628" spans="3:14" x14ac:dyDescent="0.3">
      <c r="C10628" s="54"/>
      <c r="N10628" s="33"/>
    </row>
    <row r="10629" spans="3:14" x14ac:dyDescent="0.3">
      <c r="C10629" s="54"/>
      <c r="N10629" s="33"/>
    </row>
    <row r="10630" spans="3:14" x14ac:dyDescent="0.3">
      <c r="C10630" s="54"/>
      <c r="N10630" s="33"/>
    </row>
    <row r="10631" spans="3:14" x14ac:dyDescent="0.3">
      <c r="C10631" s="54"/>
      <c r="N10631" s="33"/>
    </row>
    <row r="10632" spans="3:14" x14ac:dyDescent="0.3">
      <c r="C10632" s="54"/>
      <c r="N10632" s="33"/>
    </row>
    <row r="10633" spans="3:14" x14ac:dyDescent="0.3">
      <c r="C10633" s="54"/>
      <c r="N10633" s="33"/>
    </row>
    <row r="10634" spans="3:14" x14ac:dyDescent="0.3">
      <c r="C10634" s="54"/>
      <c r="N10634" s="33"/>
    </row>
    <row r="10635" spans="3:14" x14ac:dyDescent="0.3">
      <c r="C10635" s="54"/>
      <c r="N10635" s="33"/>
    </row>
    <row r="10636" spans="3:14" x14ac:dyDescent="0.3">
      <c r="C10636" s="54"/>
      <c r="N10636" s="33"/>
    </row>
    <row r="10637" spans="3:14" x14ac:dyDescent="0.3">
      <c r="C10637" s="54"/>
      <c r="N10637" s="33"/>
    </row>
    <row r="10638" spans="3:14" x14ac:dyDescent="0.3">
      <c r="C10638" s="54"/>
      <c r="N10638" s="33"/>
    </row>
    <row r="10639" spans="3:14" x14ac:dyDescent="0.3">
      <c r="C10639" s="54"/>
      <c r="N10639" s="33"/>
    </row>
    <row r="10640" spans="3:14" x14ac:dyDescent="0.3">
      <c r="C10640" s="54"/>
      <c r="N10640" s="33"/>
    </row>
    <row r="10641" spans="3:14" x14ac:dyDescent="0.3">
      <c r="C10641" s="54"/>
      <c r="N10641" s="33"/>
    </row>
    <row r="10642" spans="3:14" x14ac:dyDescent="0.3">
      <c r="C10642" s="54"/>
      <c r="N10642" s="33"/>
    </row>
    <row r="10643" spans="3:14" x14ac:dyDescent="0.3">
      <c r="C10643" s="54"/>
      <c r="N10643" s="33"/>
    </row>
    <row r="10644" spans="3:14" x14ac:dyDescent="0.3">
      <c r="C10644" s="54"/>
      <c r="N10644" s="33"/>
    </row>
    <row r="10645" spans="3:14" x14ac:dyDescent="0.3">
      <c r="C10645" s="54"/>
      <c r="N10645" s="33"/>
    </row>
    <row r="10646" spans="3:14" x14ac:dyDescent="0.3">
      <c r="C10646" s="54"/>
      <c r="N10646" s="33"/>
    </row>
    <row r="10647" spans="3:14" x14ac:dyDescent="0.3">
      <c r="C10647" s="54"/>
      <c r="N10647" s="33"/>
    </row>
    <row r="10648" spans="3:14" x14ac:dyDescent="0.3">
      <c r="C10648" s="54"/>
      <c r="N10648" s="33"/>
    </row>
    <row r="10649" spans="3:14" x14ac:dyDescent="0.3">
      <c r="C10649" s="54"/>
      <c r="N10649" s="33"/>
    </row>
    <row r="10650" spans="3:14" x14ac:dyDescent="0.3">
      <c r="C10650" s="54"/>
      <c r="N10650" s="33"/>
    </row>
    <row r="10651" spans="3:14" x14ac:dyDescent="0.3">
      <c r="C10651" s="54"/>
      <c r="N10651" s="33"/>
    </row>
    <row r="10652" spans="3:14" x14ac:dyDescent="0.3">
      <c r="C10652" s="54"/>
      <c r="N10652" s="33"/>
    </row>
    <row r="10653" spans="3:14" x14ac:dyDescent="0.3">
      <c r="C10653" s="54"/>
      <c r="N10653" s="33"/>
    </row>
    <row r="10654" spans="3:14" x14ac:dyDescent="0.3">
      <c r="C10654" s="54"/>
      <c r="N10654" s="33"/>
    </row>
    <row r="10655" spans="3:14" x14ac:dyDescent="0.3">
      <c r="C10655" s="54"/>
      <c r="N10655" s="33"/>
    </row>
    <row r="10656" spans="3:14" x14ac:dyDescent="0.3">
      <c r="C10656" s="54"/>
      <c r="N10656" s="33"/>
    </row>
    <row r="10657" spans="3:14" x14ac:dyDescent="0.3">
      <c r="C10657" s="54"/>
      <c r="N10657" s="33"/>
    </row>
    <row r="10658" spans="3:14" x14ac:dyDescent="0.3">
      <c r="C10658" s="54"/>
      <c r="N10658" s="33"/>
    </row>
    <row r="10659" spans="3:14" x14ac:dyDescent="0.3">
      <c r="C10659" s="54"/>
      <c r="N10659" s="33"/>
    </row>
    <row r="10660" spans="3:14" x14ac:dyDescent="0.3">
      <c r="C10660" s="54"/>
      <c r="N10660" s="33"/>
    </row>
    <row r="10661" spans="3:14" x14ac:dyDescent="0.3">
      <c r="C10661" s="54"/>
      <c r="N10661" s="33"/>
    </row>
    <row r="10662" spans="3:14" x14ac:dyDescent="0.3">
      <c r="C10662" s="54"/>
      <c r="N10662" s="33"/>
    </row>
    <row r="10663" spans="3:14" x14ac:dyDescent="0.3">
      <c r="C10663" s="54"/>
      <c r="N10663" s="33"/>
    </row>
    <row r="10664" spans="3:14" x14ac:dyDescent="0.3">
      <c r="C10664" s="54"/>
      <c r="N10664" s="33"/>
    </row>
    <row r="10665" spans="3:14" x14ac:dyDescent="0.3">
      <c r="C10665" s="54"/>
      <c r="N10665" s="33"/>
    </row>
    <row r="10666" spans="3:14" x14ac:dyDescent="0.3">
      <c r="C10666" s="54"/>
      <c r="N10666" s="33"/>
    </row>
    <row r="10667" spans="3:14" x14ac:dyDescent="0.3">
      <c r="C10667" s="54"/>
      <c r="N10667" s="33"/>
    </row>
    <row r="10668" spans="3:14" x14ac:dyDescent="0.3">
      <c r="C10668" s="54"/>
      <c r="N10668" s="33"/>
    </row>
    <row r="10669" spans="3:14" x14ac:dyDescent="0.3">
      <c r="C10669" s="54"/>
      <c r="N10669" s="33"/>
    </row>
    <row r="10670" spans="3:14" x14ac:dyDescent="0.3">
      <c r="C10670" s="54"/>
      <c r="N10670" s="33"/>
    </row>
    <row r="10671" spans="3:14" x14ac:dyDescent="0.3">
      <c r="C10671" s="54"/>
      <c r="N10671" s="33"/>
    </row>
    <row r="10672" spans="3:14" x14ac:dyDescent="0.3">
      <c r="C10672" s="54"/>
      <c r="N10672" s="33"/>
    </row>
    <row r="10673" spans="3:14" x14ac:dyDescent="0.3">
      <c r="C10673" s="54"/>
      <c r="N10673" s="33"/>
    </row>
    <row r="10674" spans="3:14" x14ac:dyDescent="0.3">
      <c r="C10674" s="54"/>
      <c r="N10674" s="33"/>
    </row>
    <row r="10675" spans="3:14" x14ac:dyDescent="0.3">
      <c r="C10675" s="54"/>
      <c r="N10675" s="33"/>
    </row>
    <row r="10676" spans="3:14" x14ac:dyDescent="0.3">
      <c r="C10676" s="54"/>
      <c r="N10676" s="33"/>
    </row>
    <row r="10677" spans="3:14" x14ac:dyDescent="0.3">
      <c r="C10677" s="54"/>
      <c r="N10677" s="33"/>
    </row>
    <row r="10678" spans="3:14" x14ac:dyDescent="0.3">
      <c r="C10678" s="54"/>
      <c r="N10678" s="33"/>
    </row>
    <row r="10679" spans="3:14" x14ac:dyDescent="0.3">
      <c r="C10679" s="54"/>
      <c r="N10679" s="33"/>
    </row>
    <row r="10680" spans="3:14" x14ac:dyDescent="0.3">
      <c r="C10680" s="54"/>
      <c r="N10680" s="33"/>
    </row>
    <row r="10681" spans="3:14" x14ac:dyDescent="0.3">
      <c r="C10681" s="54"/>
      <c r="N10681" s="33"/>
    </row>
    <row r="10682" spans="3:14" x14ac:dyDescent="0.3">
      <c r="C10682" s="54"/>
      <c r="N10682" s="33"/>
    </row>
    <row r="10683" spans="3:14" x14ac:dyDescent="0.3">
      <c r="C10683" s="54"/>
      <c r="N10683" s="33"/>
    </row>
    <row r="10684" spans="3:14" x14ac:dyDescent="0.3">
      <c r="C10684" s="54"/>
      <c r="N10684" s="33"/>
    </row>
    <row r="10685" spans="3:14" x14ac:dyDescent="0.3">
      <c r="C10685" s="54"/>
      <c r="N10685" s="33"/>
    </row>
    <row r="10686" spans="3:14" x14ac:dyDescent="0.3">
      <c r="C10686" s="54"/>
      <c r="N10686" s="33"/>
    </row>
    <row r="10687" spans="3:14" x14ac:dyDescent="0.3">
      <c r="C10687" s="54"/>
      <c r="N10687" s="33"/>
    </row>
    <row r="10688" spans="3:14" x14ac:dyDescent="0.3">
      <c r="C10688" s="54"/>
      <c r="N10688" s="33"/>
    </row>
    <row r="10689" spans="3:14" x14ac:dyDescent="0.3">
      <c r="C10689" s="54"/>
      <c r="N10689" s="33"/>
    </row>
    <row r="10690" spans="3:14" x14ac:dyDescent="0.3">
      <c r="C10690" s="54"/>
      <c r="N10690" s="33"/>
    </row>
    <row r="10691" spans="3:14" x14ac:dyDescent="0.3">
      <c r="C10691" s="54"/>
      <c r="N10691" s="33"/>
    </row>
    <row r="10692" spans="3:14" x14ac:dyDescent="0.3">
      <c r="C10692" s="54"/>
      <c r="N10692" s="33"/>
    </row>
    <row r="10693" spans="3:14" x14ac:dyDescent="0.3">
      <c r="C10693" s="54"/>
      <c r="N10693" s="33"/>
    </row>
    <row r="10694" spans="3:14" x14ac:dyDescent="0.3">
      <c r="C10694" s="54"/>
      <c r="N10694" s="33"/>
    </row>
    <row r="10695" spans="3:14" x14ac:dyDescent="0.3">
      <c r="C10695" s="54"/>
      <c r="N10695" s="33"/>
    </row>
    <row r="10696" spans="3:14" x14ac:dyDescent="0.3">
      <c r="C10696" s="54"/>
      <c r="N10696" s="33"/>
    </row>
    <row r="10697" spans="3:14" x14ac:dyDescent="0.3">
      <c r="C10697" s="54"/>
      <c r="N10697" s="33"/>
    </row>
    <row r="10698" spans="3:14" x14ac:dyDescent="0.3">
      <c r="C10698" s="54"/>
      <c r="N10698" s="33"/>
    </row>
    <row r="10699" spans="3:14" x14ac:dyDescent="0.3">
      <c r="C10699" s="54"/>
      <c r="N10699" s="33"/>
    </row>
    <row r="10700" spans="3:14" x14ac:dyDescent="0.3">
      <c r="C10700" s="54"/>
      <c r="N10700" s="33"/>
    </row>
    <row r="10701" spans="3:14" x14ac:dyDescent="0.3">
      <c r="C10701" s="54"/>
      <c r="N10701" s="33"/>
    </row>
    <row r="10702" spans="3:14" x14ac:dyDescent="0.3">
      <c r="C10702" s="54"/>
      <c r="N10702" s="33"/>
    </row>
    <row r="10703" spans="3:14" x14ac:dyDescent="0.3">
      <c r="C10703" s="54"/>
      <c r="N10703" s="33"/>
    </row>
    <row r="10704" spans="3:14" x14ac:dyDescent="0.3">
      <c r="C10704" s="54"/>
      <c r="N10704" s="33"/>
    </row>
    <row r="10705" spans="3:14" x14ac:dyDescent="0.3">
      <c r="C10705" s="54"/>
      <c r="N10705" s="33"/>
    </row>
    <row r="10706" spans="3:14" x14ac:dyDescent="0.3">
      <c r="C10706" s="54"/>
      <c r="N10706" s="33"/>
    </row>
    <row r="10707" spans="3:14" x14ac:dyDescent="0.3">
      <c r="C10707" s="54"/>
      <c r="N10707" s="33"/>
    </row>
    <row r="10708" spans="3:14" x14ac:dyDescent="0.3">
      <c r="C10708" s="54"/>
      <c r="N10708" s="33"/>
    </row>
    <row r="10709" spans="3:14" x14ac:dyDescent="0.3">
      <c r="C10709" s="54"/>
      <c r="N10709" s="33"/>
    </row>
    <row r="10710" spans="3:14" x14ac:dyDescent="0.3">
      <c r="C10710" s="54"/>
      <c r="N10710" s="33"/>
    </row>
    <row r="10711" spans="3:14" x14ac:dyDescent="0.3">
      <c r="C10711" s="54"/>
      <c r="N10711" s="33"/>
    </row>
    <row r="10712" spans="3:14" x14ac:dyDescent="0.3">
      <c r="C10712" s="54"/>
      <c r="N10712" s="33"/>
    </row>
    <row r="10713" spans="3:14" x14ac:dyDescent="0.3">
      <c r="C10713" s="54"/>
      <c r="N10713" s="33"/>
    </row>
    <row r="10714" spans="3:14" x14ac:dyDescent="0.3">
      <c r="C10714" s="54"/>
      <c r="N10714" s="33"/>
    </row>
    <row r="10715" spans="3:14" x14ac:dyDescent="0.3">
      <c r="C10715" s="54"/>
      <c r="N10715" s="33"/>
    </row>
    <row r="10716" spans="3:14" x14ac:dyDescent="0.3">
      <c r="C10716" s="54"/>
      <c r="N10716" s="33"/>
    </row>
    <row r="10717" spans="3:14" x14ac:dyDescent="0.3">
      <c r="C10717" s="54"/>
      <c r="N10717" s="33"/>
    </row>
    <row r="10718" spans="3:14" x14ac:dyDescent="0.3">
      <c r="C10718" s="54"/>
      <c r="N10718" s="33"/>
    </row>
    <row r="10719" spans="3:14" x14ac:dyDescent="0.3">
      <c r="C10719" s="54"/>
      <c r="N10719" s="33"/>
    </row>
    <row r="10720" spans="3:14" x14ac:dyDescent="0.3">
      <c r="C10720" s="54"/>
      <c r="N10720" s="33"/>
    </row>
    <row r="10721" spans="3:14" x14ac:dyDescent="0.3">
      <c r="C10721" s="54"/>
      <c r="N10721" s="33"/>
    </row>
    <row r="10722" spans="3:14" x14ac:dyDescent="0.3">
      <c r="C10722" s="54"/>
      <c r="N10722" s="33"/>
    </row>
    <row r="10723" spans="3:14" x14ac:dyDescent="0.3">
      <c r="C10723" s="54"/>
      <c r="N10723" s="33"/>
    </row>
    <row r="10724" spans="3:14" x14ac:dyDescent="0.3">
      <c r="C10724" s="54"/>
      <c r="N10724" s="33"/>
    </row>
    <row r="10725" spans="3:14" x14ac:dyDescent="0.3">
      <c r="C10725" s="54"/>
      <c r="N10725" s="33"/>
    </row>
    <row r="10726" spans="3:14" x14ac:dyDescent="0.3">
      <c r="C10726" s="54"/>
      <c r="N10726" s="33"/>
    </row>
    <row r="10727" spans="3:14" x14ac:dyDescent="0.3">
      <c r="C10727" s="54"/>
      <c r="N10727" s="33"/>
    </row>
    <row r="10728" spans="3:14" x14ac:dyDescent="0.3">
      <c r="C10728" s="54"/>
      <c r="N10728" s="33"/>
    </row>
    <row r="10729" spans="3:14" x14ac:dyDescent="0.3">
      <c r="C10729" s="54"/>
      <c r="N10729" s="33"/>
    </row>
    <row r="10730" spans="3:14" x14ac:dyDescent="0.3">
      <c r="C10730" s="54"/>
      <c r="N10730" s="33"/>
    </row>
    <row r="10731" spans="3:14" x14ac:dyDescent="0.3">
      <c r="C10731" s="54"/>
      <c r="N10731" s="33"/>
    </row>
    <row r="10732" spans="3:14" x14ac:dyDescent="0.3">
      <c r="C10732" s="54"/>
      <c r="N10732" s="33"/>
    </row>
    <row r="10733" spans="3:14" x14ac:dyDescent="0.3">
      <c r="C10733" s="54"/>
      <c r="N10733" s="33"/>
    </row>
    <row r="10734" spans="3:14" x14ac:dyDescent="0.3">
      <c r="C10734" s="54"/>
      <c r="N10734" s="33"/>
    </row>
    <row r="10735" spans="3:14" x14ac:dyDescent="0.3">
      <c r="C10735" s="54"/>
      <c r="N10735" s="33"/>
    </row>
    <row r="10736" spans="3:14" x14ac:dyDescent="0.3">
      <c r="C10736" s="54"/>
      <c r="N10736" s="33"/>
    </row>
    <row r="10737" spans="3:14" x14ac:dyDescent="0.3">
      <c r="C10737" s="54"/>
      <c r="N10737" s="33"/>
    </row>
    <row r="10738" spans="3:14" x14ac:dyDescent="0.3">
      <c r="C10738" s="54"/>
      <c r="N10738" s="33"/>
    </row>
    <row r="10739" spans="3:14" x14ac:dyDescent="0.3">
      <c r="C10739" s="54"/>
      <c r="N10739" s="33"/>
    </row>
    <row r="10740" spans="3:14" x14ac:dyDescent="0.3">
      <c r="C10740" s="54"/>
      <c r="N10740" s="33"/>
    </row>
    <row r="10741" spans="3:14" x14ac:dyDescent="0.3">
      <c r="C10741" s="54"/>
      <c r="N10741" s="33"/>
    </row>
    <row r="10742" spans="3:14" x14ac:dyDescent="0.3">
      <c r="C10742" s="54"/>
      <c r="N10742" s="33"/>
    </row>
    <row r="10743" spans="3:14" x14ac:dyDescent="0.3">
      <c r="C10743" s="54"/>
      <c r="N10743" s="33"/>
    </row>
    <row r="10744" spans="3:14" x14ac:dyDescent="0.3">
      <c r="C10744" s="54"/>
      <c r="N10744" s="33"/>
    </row>
    <row r="10745" spans="3:14" x14ac:dyDescent="0.3">
      <c r="C10745" s="54"/>
      <c r="N10745" s="33"/>
    </row>
    <row r="10746" spans="3:14" x14ac:dyDescent="0.3">
      <c r="C10746" s="54"/>
      <c r="N10746" s="33"/>
    </row>
    <row r="10747" spans="3:14" x14ac:dyDescent="0.3">
      <c r="C10747" s="54"/>
      <c r="N10747" s="33"/>
    </row>
    <row r="10748" spans="3:14" x14ac:dyDescent="0.3">
      <c r="C10748" s="54"/>
      <c r="N10748" s="33"/>
    </row>
    <row r="10749" spans="3:14" x14ac:dyDescent="0.3">
      <c r="C10749" s="54"/>
      <c r="N10749" s="33"/>
    </row>
    <row r="10750" spans="3:14" x14ac:dyDescent="0.3">
      <c r="C10750" s="54"/>
      <c r="N10750" s="33"/>
    </row>
    <row r="10751" spans="3:14" x14ac:dyDescent="0.3">
      <c r="C10751" s="54"/>
      <c r="N10751" s="33"/>
    </row>
    <row r="10752" spans="3:14" x14ac:dyDescent="0.3">
      <c r="C10752" s="54"/>
      <c r="N10752" s="33"/>
    </row>
    <row r="10753" spans="3:14" x14ac:dyDescent="0.3">
      <c r="C10753" s="54"/>
      <c r="N10753" s="33"/>
    </row>
    <row r="10754" spans="3:14" x14ac:dyDescent="0.3">
      <c r="C10754" s="54"/>
      <c r="N10754" s="33"/>
    </row>
    <row r="10755" spans="3:14" x14ac:dyDescent="0.3">
      <c r="C10755" s="54"/>
      <c r="N10755" s="33"/>
    </row>
    <row r="10756" spans="3:14" x14ac:dyDescent="0.3">
      <c r="C10756" s="54"/>
      <c r="N10756" s="33"/>
    </row>
    <row r="10757" spans="3:14" x14ac:dyDescent="0.3">
      <c r="C10757" s="54"/>
      <c r="N10757" s="33"/>
    </row>
    <row r="10758" spans="3:14" x14ac:dyDescent="0.3">
      <c r="C10758" s="54"/>
      <c r="N10758" s="33"/>
    </row>
    <row r="10759" spans="3:14" x14ac:dyDescent="0.3">
      <c r="C10759" s="54"/>
      <c r="N10759" s="33"/>
    </row>
    <row r="10760" spans="3:14" x14ac:dyDescent="0.3">
      <c r="C10760" s="54"/>
      <c r="N10760" s="33"/>
    </row>
    <row r="10761" spans="3:14" x14ac:dyDescent="0.3">
      <c r="C10761" s="54"/>
      <c r="N10761" s="33"/>
    </row>
    <row r="10762" spans="3:14" x14ac:dyDescent="0.3">
      <c r="C10762" s="54"/>
      <c r="N10762" s="33"/>
    </row>
    <row r="10763" spans="3:14" x14ac:dyDescent="0.3">
      <c r="C10763" s="54"/>
      <c r="N10763" s="33"/>
    </row>
    <row r="10764" spans="3:14" x14ac:dyDescent="0.3">
      <c r="C10764" s="54"/>
      <c r="N10764" s="33"/>
    </row>
    <row r="10765" spans="3:14" x14ac:dyDescent="0.3">
      <c r="C10765" s="54"/>
      <c r="N10765" s="33"/>
    </row>
    <row r="10766" spans="3:14" x14ac:dyDescent="0.3">
      <c r="C10766" s="54"/>
      <c r="N10766" s="33"/>
    </row>
    <row r="10767" spans="3:14" x14ac:dyDescent="0.3">
      <c r="C10767" s="54"/>
      <c r="N10767" s="33"/>
    </row>
    <row r="10768" spans="3:14" x14ac:dyDescent="0.3">
      <c r="C10768" s="54"/>
      <c r="N10768" s="33"/>
    </row>
    <row r="10769" spans="3:14" x14ac:dyDescent="0.3">
      <c r="C10769" s="54"/>
      <c r="N10769" s="33"/>
    </row>
    <row r="10770" spans="3:14" x14ac:dyDescent="0.3">
      <c r="C10770" s="54"/>
      <c r="N10770" s="33"/>
    </row>
    <row r="10771" spans="3:14" x14ac:dyDescent="0.3">
      <c r="C10771" s="54"/>
      <c r="N10771" s="33"/>
    </row>
    <row r="10772" spans="3:14" x14ac:dyDescent="0.3">
      <c r="C10772" s="54"/>
      <c r="N10772" s="33"/>
    </row>
    <row r="10773" spans="3:14" x14ac:dyDescent="0.3">
      <c r="C10773" s="54"/>
      <c r="N10773" s="33"/>
    </row>
    <row r="10774" spans="3:14" x14ac:dyDescent="0.3">
      <c r="C10774" s="54"/>
      <c r="N10774" s="33"/>
    </row>
    <row r="10775" spans="3:14" x14ac:dyDescent="0.3">
      <c r="C10775" s="54"/>
      <c r="N10775" s="33"/>
    </row>
    <row r="10776" spans="3:14" x14ac:dyDescent="0.3">
      <c r="C10776" s="54"/>
      <c r="N10776" s="33"/>
    </row>
    <row r="10777" spans="3:14" x14ac:dyDescent="0.3">
      <c r="C10777" s="54"/>
      <c r="N10777" s="33"/>
    </row>
    <row r="10778" spans="3:14" x14ac:dyDescent="0.3">
      <c r="C10778" s="54"/>
      <c r="N10778" s="33"/>
    </row>
    <row r="10779" spans="3:14" x14ac:dyDescent="0.3">
      <c r="C10779" s="54"/>
      <c r="N10779" s="33"/>
    </row>
    <row r="10780" spans="3:14" x14ac:dyDescent="0.3">
      <c r="C10780" s="54"/>
      <c r="N10780" s="33"/>
    </row>
    <row r="10781" spans="3:14" x14ac:dyDescent="0.3">
      <c r="C10781" s="54"/>
      <c r="N10781" s="33"/>
    </row>
    <row r="10782" spans="3:14" x14ac:dyDescent="0.3">
      <c r="C10782" s="54"/>
      <c r="N10782" s="33"/>
    </row>
    <row r="10783" spans="3:14" x14ac:dyDescent="0.3">
      <c r="C10783" s="54"/>
      <c r="N10783" s="33"/>
    </row>
    <row r="10784" spans="3:14" x14ac:dyDescent="0.3">
      <c r="C10784" s="54"/>
      <c r="N10784" s="33"/>
    </row>
    <row r="10785" spans="3:14" x14ac:dyDescent="0.3">
      <c r="C10785" s="54"/>
      <c r="N10785" s="33"/>
    </row>
    <row r="10786" spans="3:14" x14ac:dyDescent="0.3">
      <c r="C10786" s="54"/>
      <c r="N10786" s="33"/>
    </row>
    <row r="10787" spans="3:14" x14ac:dyDescent="0.3">
      <c r="C10787" s="54"/>
      <c r="N10787" s="33"/>
    </row>
    <row r="10788" spans="3:14" x14ac:dyDescent="0.3">
      <c r="C10788" s="54"/>
      <c r="N10788" s="33"/>
    </row>
    <row r="10789" spans="3:14" x14ac:dyDescent="0.3">
      <c r="C10789" s="54"/>
      <c r="N10789" s="33"/>
    </row>
    <row r="10790" spans="3:14" x14ac:dyDescent="0.3">
      <c r="C10790" s="54"/>
      <c r="N10790" s="33"/>
    </row>
    <row r="10791" spans="3:14" x14ac:dyDescent="0.3">
      <c r="C10791" s="54"/>
      <c r="N10791" s="33"/>
    </row>
    <row r="10792" spans="3:14" x14ac:dyDescent="0.3">
      <c r="C10792" s="54"/>
      <c r="N10792" s="33"/>
    </row>
    <row r="10793" spans="3:14" x14ac:dyDescent="0.3">
      <c r="C10793" s="54"/>
      <c r="N10793" s="33"/>
    </row>
    <row r="10794" spans="3:14" x14ac:dyDescent="0.3">
      <c r="C10794" s="54"/>
      <c r="N10794" s="33"/>
    </row>
    <row r="10795" spans="3:14" x14ac:dyDescent="0.3">
      <c r="C10795" s="54"/>
      <c r="N10795" s="33"/>
    </row>
    <row r="10796" spans="3:14" x14ac:dyDescent="0.3">
      <c r="C10796" s="54"/>
      <c r="N10796" s="33"/>
    </row>
    <row r="10797" spans="3:14" x14ac:dyDescent="0.3">
      <c r="C10797" s="54"/>
      <c r="N10797" s="33"/>
    </row>
    <row r="10798" spans="3:14" x14ac:dyDescent="0.3">
      <c r="C10798" s="54"/>
      <c r="N10798" s="33"/>
    </row>
    <row r="10799" spans="3:14" x14ac:dyDescent="0.3">
      <c r="C10799" s="54"/>
      <c r="N10799" s="33"/>
    </row>
    <row r="10800" spans="3:14" x14ac:dyDescent="0.3">
      <c r="C10800" s="54"/>
      <c r="N10800" s="33"/>
    </row>
    <row r="10801" spans="3:14" x14ac:dyDescent="0.3">
      <c r="C10801" s="54"/>
      <c r="N10801" s="33"/>
    </row>
    <row r="10802" spans="3:14" x14ac:dyDescent="0.3">
      <c r="C10802" s="54"/>
      <c r="N10802" s="33"/>
    </row>
    <row r="10803" spans="3:14" x14ac:dyDescent="0.3">
      <c r="C10803" s="54"/>
      <c r="N10803" s="33"/>
    </row>
    <row r="10804" spans="3:14" x14ac:dyDescent="0.3">
      <c r="C10804" s="54"/>
      <c r="N10804" s="33"/>
    </row>
    <row r="10805" spans="3:14" x14ac:dyDescent="0.3">
      <c r="C10805" s="54"/>
      <c r="N10805" s="33"/>
    </row>
    <row r="10806" spans="3:14" x14ac:dyDescent="0.3">
      <c r="C10806" s="54"/>
      <c r="N10806" s="33"/>
    </row>
    <row r="10807" spans="3:14" x14ac:dyDescent="0.3">
      <c r="C10807" s="54"/>
      <c r="N10807" s="33"/>
    </row>
    <row r="10808" spans="3:14" x14ac:dyDescent="0.3">
      <c r="C10808" s="54"/>
      <c r="N10808" s="33"/>
    </row>
    <row r="10809" spans="3:14" x14ac:dyDescent="0.3">
      <c r="C10809" s="54"/>
      <c r="N10809" s="33"/>
    </row>
    <row r="10810" spans="3:14" x14ac:dyDescent="0.3">
      <c r="C10810" s="54"/>
      <c r="N10810" s="33"/>
    </row>
    <row r="10811" spans="3:14" x14ac:dyDescent="0.3">
      <c r="C10811" s="54"/>
      <c r="N10811" s="33"/>
    </row>
    <row r="10812" spans="3:14" x14ac:dyDescent="0.3">
      <c r="C10812" s="54"/>
      <c r="N10812" s="33"/>
    </row>
    <row r="10813" spans="3:14" x14ac:dyDescent="0.3">
      <c r="C10813" s="54"/>
      <c r="N10813" s="33"/>
    </row>
    <row r="10814" spans="3:14" x14ac:dyDescent="0.3">
      <c r="C10814" s="54"/>
      <c r="N10814" s="33"/>
    </row>
    <row r="10815" spans="3:14" x14ac:dyDescent="0.3">
      <c r="C10815" s="54"/>
      <c r="N10815" s="33"/>
    </row>
    <row r="10816" spans="3:14" x14ac:dyDescent="0.3">
      <c r="C10816" s="54"/>
      <c r="N10816" s="33"/>
    </row>
    <row r="10817" spans="3:14" x14ac:dyDescent="0.3">
      <c r="C10817" s="54"/>
      <c r="N10817" s="33"/>
    </row>
    <row r="10818" spans="3:14" x14ac:dyDescent="0.3">
      <c r="C10818" s="54"/>
      <c r="N10818" s="33"/>
    </row>
    <row r="10819" spans="3:14" x14ac:dyDescent="0.3">
      <c r="C10819" s="54"/>
      <c r="N10819" s="33"/>
    </row>
    <row r="10820" spans="3:14" x14ac:dyDescent="0.3">
      <c r="C10820" s="54"/>
      <c r="N10820" s="33"/>
    </row>
    <row r="10821" spans="3:14" x14ac:dyDescent="0.3">
      <c r="C10821" s="54"/>
      <c r="N10821" s="33"/>
    </row>
    <row r="10822" spans="3:14" x14ac:dyDescent="0.3">
      <c r="C10822" s="54"/>
      <c r="N10822" s="33"/>
    </row>
    <row r="10823" spans="3:14" x14ac:dyDescent="0.3">
      <c r="C10823" s="54"/>
      <c r="N10823" s="33"/>
    </row>
    <row r="10824" spans="3:14" x14ac:dyDescent="0.3">
      <c r="C10824" s="54"/>
      <c r="N10824" s="33"/>
    </row>
    <row r="10825" spans="3:14" x14ac:dyDescent="0.3">
      <c r="C10825" s="54"/>
      <c r="N10825" s="33"/>
    </row>
    <row r="10826" spans="3:14" x14ac:dyDescent="0.3">
      <c r="C10826" s="54"/>
      <c r="N10826" s="33"/>
    </row>
    <row r="10827" spans="3:14" x14ac:dyDescent="0.3">
      <c r="C10827" s="54"/>
      <c r="N10827" s="33"/>
    </row>
    <row r="10828" spans="3:14" x14ac:dyDescent="0.3">
      <c r="C10828" s="54"/>
      <c r="N10828" s="33"/>
    </row>
    <row r="10829" spans="3:14" x14ac:dyDescent="0.3">
      <c r="C10829" s="54"/>
      <c r="N10829" s="33"/>
    </row>
    <row r="10830" spans="3:14" x14ac:dyDescent="0.3">
      <c r="C10830" s="54"/>
      <c r="N10830" s="33"/>
    </row>
    <row r="10831" spans="3:14" x14ac:dyDescent="0.3">
      <c r="C10831" s="54"/>
      <c r="N10831" s="33"/>
    </row>
    <row r="10832" spans="3:14" x14ac:dyDescent="0.3">
      <c r="C10832" s="54"/>
      <c r="N10832" s="33"/>
    </row>
    <row r="10833" spans="3:14" x14ac:dyDescent="0.3">
      <c r="C10833" s="54"/>
      <c r="N10833" s="33"/>
    </row>
    <row r="10834" spans="3:14" x14ac:dyDescent="0.3">
      <c r="C10834" s="54"/>
      <c r="N10834" s="33"/>
    </row>
    <row r="10835" spans="3:14" x14ac:dyDescent="0.3">
      <c r="C10835" s="54"/>
      <c r="N10835" s="33"/>
    </row>
    <row r="10836" spans="3:14" x14ac:dyDescent="0.3">
      <c r="C10836" s="54"/>
      <c r="N10836" s="33"/>
    </row>
    <row r="10837" spans="3:14" x14ac:dyDescent="0.3">
      <c r="C10837" s="54"/>
      <c r="N10837" s="33"/>
    </row>
    <row r="10838" spans="3:14" x14ac:dyDescent="0.3">
      <c r="C10838" s="54"/>
      <c r="N10838" s="33"/>
    </row>
    <row r="10839" spans="3:14" x14ac:dyDescent="0.3">
      <c r="C10839" s="54"/>
      <c r="N10839" s="33"/>
    </row>
    <row r="10840" spans="3:14" x14ac:dyDescent="0.3">
      <c r="C10840" s="54"/>
      <c r="N10840" s="33"/>
    </row>
    <row r="10841" spans="3:14" x14ac:dyDescent="0.3">
      <c r="C10841" s="54"/>
      <c r="N10841" s="33"/>
    </row>
    <row r="10842" spans="3:14" x14ac:dyDescent="0.3">
      <c r="C10842" s="54"/>
      <c r="N10842" s="33"/>
    </row>
    <row r="10843" spans="3:14" x14ac:dyDescent="0.3">
      <c r="C10843" s="54"/>
      <c r="N10843" s="33"/>
    </row>
    <row r="10844" spans="3:14" x14ac:dyDescent="0.3">
      <c r="C10844" s="54"/>
      <c r="N10844" s="33"/>
    </row>
    <row r="10845" spans="3:14" x14ac:dyDescent="0.3">
      <c r="C10845" s="54"/>
      <c r="N10845" s="33"/>
    </row>
    <row r="10846" spans="3:14" x14ac:dyDescent="0.3">
      <c r="C10846" s="54"/>
      <c r="N10846" s="33"/>
    </row>
    <row r="10847" spans="3:14" x14ac:dyDescent="0.3">
      <c r="C10847" s="54"/>
      <c r="N10847" s="33"/>
    </row>
    <row r="10848" spans="3:14" x14ac:dyDescent="0.3">
      <c r="C10848" s="54"/>
      <c r="N10848" s="33"/>
    </row>
    <row r="10849" spans="3:14" x14ac:dyDescent="0.3">
      <c r="C10849" s="54"/>
      <c r="N10849" s="33"/>
    </row>
    <row r="10850" spans="3:14" x14ac:dyDescent="0.3">
      <c r="C10850" s="54"/>
      <c r="N10850" s="33"/>
    </row>
    <row r="10851" spans="3:14" x14ac:dyDescent="0.3">
      <c r="C10851" s="54"/>
      <c r="N10851" s="33"/>
    </row>
    <row r="10852" spans="3:14" x14ac:dyDescent="0.3">
      <c r="C10852" s="54"/>
      <c r="N10852" s="33"/>
    </row>
    <row r="10853" spans="3:14" x14ac:dyDescent="0.3">
      <c r="C10853" s="54"/>
      <c r="N10853" s="33"/>
    </row>
    <row r="10854" spans="3:14" x14ac:dyDescent="0.3">
      <c r="C10854" s="54"/>
      <c r="N10854" s="33"/>
    </row>
    <row r="10855" spans="3:14" x14ac:dyDescent="0.3">
      <c r="C10855" s="54"/>
      <c r="N10855" s="33"/>
    </row>
    <row r="10856" spans="3:14" x14ac:dyDescent="0.3">
      <c r="C10856" s="54"/>
      <c r="N10856" s="33"/>
    </row>
    <row r="10857" spans="3:14" x14ac:dyDescent="0.3">
      <c r="C10857" s="54"/>
      <c r="N10857" s="33"/>
    </row>
    <row r="10858" spans="3:14" x14ac:dyDescent="0.3">
      <c r="C10858" s="54"/>
      <c r="N10858" s="33"/>
    </row>
    <row r="10859" spans="3:14" x14ac:dyDescent="0.3">
      <c r="C10859" s="54"/>
      <c r="N10859" s="33"/>
    </row>
    <row r="10860" spans="3:14" x14ac:dyDescent="0.3">
      <c r="C10860" s="54"/>
      <c r="N10860" s="33"/>
    </row>
    <row r="10861" spans="3:14" x14ac:dyDescent="0.3">
      <c r="C10861" s="54"/>
      <c r="N10861" s="33"/>
    </row>
    <row r="10862" spans="3:14" x14ac:dyDescent="0.3">
      <c r="C10862" s="54"/>
      <c r="N10862" s="33"/>
    </row>
    <row r="10863" spans="3:14" x14ac:dyDescent="0.3">
      <c r="C10863" s="54"/>
      <c r="N10863" s="33"/>
    </row>
    <row r="10864" spans="3:14" x14ac:dyDescent="0.3">
      <c r="C10864" s="54"/>
      <c r="N10864" s="33"/>
    </row>
    <row r="10865" spans="3:14" x14ac:dyDescent="0.3">
      <c r="C10865" s="54"/>
      <c r="N10865" s="33"/>
    </row>
    <row r="10866" spans="3:14" x14ac:dyDescent="0.3">
      <c r="C10866" s="54"/>
      <c r="N10866" s="33"/>
    </row>
    <row r="10867" spans="3:14" x14ac:dyDescent="0.3">
      <c r="C10867" s="54"/>
      <c r="N10867" s="33"/>
    </row>
    <row r="10868" spans="3:14" x14ac:dyDescent="0.3">
      <c r="C10868" s="54"/>
      <c r="N10868" s="33"/>
    </row>
    <row r="10869" spans="3:14" x14ac:dyDescent="0.3">
      <c r="C10869" s="54"/>
      <c r="N10869" s="33"/>
    </row>
    <row r="10870" spans="3:14" x14ac:dyDescent="0.3">
      <c r="C10870" s="54"/>
      <c r="N10870" s="33"/>
    </row>
    <row r="10871" spans="3:14" x14ac:dyDescent="0.3">
      <c r="C10871" s="54"/>
      <c r="N10871" s="33"/>
    </row>
    <row r="10872" spans="3:14" x14ac:dyDescent="0.3">
      <c r="C10872" s="54"/>
      <c r="N10872" s="33"/>
    </row>
    <row r="10873" spans="3:14" x14ac:dyDescent="0.3">
      <c r="C10873" s="54"/>
      <c r="N10873" s="33"/>
    </row>
    <row r="10874" spans="3:14" x14ac:dyDescent="0.3">
      <c r="C10874" s="54"/>
      <c r="N10874" s="33"/>
    </row>
    <row r="10875" spans="3:14" x14ac:dyDescent="0.3">
      <c r="C10875" s="54"/>
      <c r="N10875" s="33"/>
    </row>
    <row r="10876" spans="3:14" x14ac:dyDescent="0.3">
      <c r="C10876" s="54"/>
      <c r="N10876" s="33"/>
    </row>
    <row r="10877" spans="3:14" x14ac:dyDescent="0.3">
      <c r="C10877" s="54"/>
      <c r="N10877" s="33"/>
    </row>
    <row r="10878" spans="3:14" x14ac:dyDescent="0.3">
      <c r="C10878" s="54"/>
      <c r="N10878" s="33"/>
    </row>
    <row r="10879" spans="3:14" x14ac:dyDescent="0.3">
      <c r="C10879" s="54"/>
      <c r="N10879" s="33"/>
    </row>
    <row r="10880" spans="3:14" x14ac:dyDescent="0.3">
      <c r="C10880" s="54"/>
      <c r="N10880" s="33"/>
    </row>
    <row r="10881" spans="3:14" x14ac:dyDescent="0.3">
      <c r="C10881" s="54"/>
      <c r="N10881" s="33"/>
    </row>
    <row r="10882" spans="3:14" x14ac:dyDescent="0.3">
      <c r="C10882" s="54"/>
      <c r="N10882" s="33"/>
    </row>
    <row r="10883" spans="3:14" x14ac:dyDescent="0.3">
      <c r="C10883" s="54"/>
      <c r="N10883" s="33"/>
    </row>
    <row r="10884" spans="3:14" x14ac:dyDescent="0.3">
      <c r="C10884" s="54"/>
      <c r="N10884" s="33"/>
    </row>
    <row r="10885" spans="3:14" x14ac:dyDescent="0.3">
      <c r="C10885" s="54"/>
      <c r="N10885" s="33"/>
    </row>
    <row r="10886" spans="3:14" x14ac:dyDescent="0.3">
      <c r="C10886" s="54"/>
      <c r="N10886" s="33"/>
    </row>
    <row r="10887" spans="3:14" x14ac:dyDescent="0.3">
      <c r="C10887" s="54"/>
      <c r="N10887" s="33"/>
    </row>
    <row r="10888" spans="3:14" x14ac:dyDescent="0.3">
      <c r="C10888" s="54"/>
      <c r="N10888" s="33"/>
    </row>
    <row r="10889" spans="3:14" x14ac:dyDescent="0.3">
      <c r="C10889" s="54"/>
      <c r="N10889" s="33"/>
    </row>
    <row r="10890" spans="3:14" x14ac:dyDescent="0.3">
      <c r="C10890" s="54"/>
      <c r="N10890" s="33"/>
    </row>
    <row r="10891" spans="3:14" x14ac:dyDescent="0.3">
      <c r="C10891" s="54"/>
      <c r="N10891" s="33"/>
    </row>
    <row r="10892" spans="3:14" x14ac:dyDescent="0.3">
      <c r="C10892" s="54"/>
      <c r="N10892" s="33"/>
    </row>
    <row r="10893" spans="3:14" x14ac:dyDescent="0.3">
      <c r="C10893" s="54"/>
      <c r="N10893" s="33"/>
    </row>
    <row r="10894" spans="3:14" x14ac:dyDescent="0.3">
      <c r="C10894" s="54"/>
      <c r="N10894" s="33"/>
    </row>
    <row r="10895" spans="3:14" x14ac:dyDescent="0.3">
      <c r="C10895" s="54"/>
      <c r="N10895" s="33"/>
    </row>
    <row r="10896" spans="3:14" x14ac:dyDescent="0.3">
      <c r="C10896" s="54"/>
      <c r="N10896" s="33"/>
    </row>
    <row r="10897" spans="3:14" x14ac:dyDescent="0.3">
      <c r="C10897" s="54"/>
      <c r="N10897" s="33"/>
    </row>
    <row r="10898" spans="3:14" x14ac:dyDescent="0.3">
      <c r="C10898" s="54"/>
      <c r="N10898" s="33"/>
    </row>
    <row r="10899" spans="3:14" x14ac:dyDescent="0.3">
      <c r="C10899" s="54"/>
      <c r="N10899" s="33"/>
    </row>
    <row r="10900" spans="3:14" x14ac:dyDescent="0.3">
      <c r="C10900" s="54"/>
      <c r="N10900" s="33"/>
    </row>
    <row r="10901" spans="3:14" x14ac:dyDescent="0.3">
      <c r="C10901" s="54"/>
      <c r="N10901" s="33"/>
    </row>
    <row r="10902" spans="3:14" x14ac:dyDescent="0.3">
      <c r="C10902" s="54"/>
      <c r="N10902" s="33"/>
    </row>
    <row r="10903" spans="3:14" x14ac:dyDescent="0.3">
      <c r="C10903" s="54"/>
      <c r="N10903" s="33"/>
    </row>
    <row r="10904" spans="3:14" x14ac:dyDescent="0.3">
      <c r="C10904" s="54"/>
      <c r="N10904" s="33"/>
    </row>
    <row r="10905" spans="3:14" x14ac:dyDescent="0.3">
      <c r="C10905" s="54"/>
      <c r="N10905" s="33"/>
    </row>
    <row r="10906" spans="3:14" x14ac:dyDescent="0.3">
      <c r="C10906" s="54"/>
      <c r="N10906" s="33"/>
    </row>
    <row r="10907" spans="3:14" x14ac:dyDescent="0.3">
      <c r="C10907" s="54"/>
      <c r="N10907" s="33"/>
    </row>
    <row r="10908" spans="3:14" x14ac:dyDescent="0.3">
      <c r="C10908" s="54"/>
      <c r="N10908" s="33"/>
    </row>
    <row r="10909" spans="3:14" x14ac:dyDescent="0.3">
      <c r="C10909" s="54"/>
      <c r="N10909" s="33"/>
    </row>
    <row r="10910" spans="3:14" x14ac:dyDescent="0.3">
      <c r="C10910" s="54"/>
      <c r="N10910" s="33"/>
    </row>
    <row r="10911" spans="3:14" x14ac:dyDescent="0.3">
      <c r="C10911" s="54"/>
      <c r="N10911" s="33"/>
    </row>
    <row r="10912" spans="3:14" x14ac:dyDescent="0.3">
      <c r="C10912" s="54"/>
      <c r="N10912" s="33"/>
    </row>
    <row r="10913" spans="3:14" x14ac:dyDescent="0.3">
      <c r="C10913" s="54"/>
      <c r="N10913" s="33"/>
    </row>
    <row r="10914" spans="3:14" x14ac:dyDescent="0.3">
      <c r="C10914" s="54"/>
      <c r="N10914" s="33"/>
    </row>
    <row r="10915" spans="3:14" x14ac:dyDescent="0.3">
      <c r="C10915" s="54"/>
      <c r="N10915" s="33"/>
    </row>
    <row r="10916" spans="3:14" x14ac:dyDescent="0.3">
      <c r="C10916" s="54"/>
      <c r="N10916" s="33"/>
    </row>
    <row r="10917" spans="3:14" x14ac:dyDescent="0.3">
      <c r="C10917" s="54"/>
      <c r="N10917" s="33"/>
    </row>
    <row r="10918" spans="3:14" x14ac:dyDescent="0.3">
      <c r="C10918" s="54"/>
      <c r="N10918" s="33"/>
    </row>
    <row r="10919" spans="3:14" x14ac:dyDescent="0.3">
      <c r="C10919" s="54"/>
      <c r="N10919" s="33"/>
    </row>
    <row r="10920" spans="3:14" x14ac:dyDescent="0.3">
      <c r="C10920" s="54"/>
      <c r="N10920" s="33"/>
    </row>
    <row r="10921" spans="3:14" x14ac:dyDescent="0.3">
      <c r="C10921" s="54"/>
      <c r="N10921" s="33"/>
    </row>
    <row r="10922" spans="3:14" x14ac:dyDescent="0.3">
      <c r="C10922" s="54"/>
      <c r="N10922" s="33"/>
    </row>
    <row r="10923" spans="3:14" x14ac:dyDescent="0.3">
      <c r="C10923" s="54"/>
      <c r="N10923" s="33"/>
    </row>
    <row r="10924" spans="3:14" x14ac:dyDescent="0.3">
      <c r="C10924" s="54"/>
      <c r="N10924" s="33"/>
    </row>
    <row r="10925" spans="3:14" x14ac:dyDescent="0.3">
      <c r="C10925" s="54"/>
      <c r="N10925" s="33"/>
    </row>
    <row r="10926" spans="3:14" x14ac:dyDescent="0.3">
      <c r="C10926" s="54"/>
      <c r="N10926" s="33"/>
    </row>
    <row r="10927" spans="3:14" x14ac:dyDescent="0.3">
      <c r="C10927" s="54"/>
      <c r="N10927" s="33"/>
    </row>
    <row r="10928" spans="3:14" x14ac:dyDescent="0.3">
      <c r="C10928" s="54"/>
      <c r="N10928" s="33"/>
    </row>
    <row r="10929" spans="3:14" x14ac:dyDescent="0.3">
      <c r="C10929" s="54"/>
      <c r="N10929" s="33"/>
    </row>
    <row r="10930" spans="3:14" x14ac:dyDescent="0.3">
      <c r="C10930" s="54"/>
      <c r="N10930" s="33"/>
    </row>
    <row r="10931" spans="3:14" x14ac:dyDescent="0.3">
      <c r="C10931" s="54"/>
      <c r="N10931" s="33"/>
    </row>
    <row r="10932" spans="3:14" x14ac:dyDescent="0.3">
      <c r="C10932" s="54"/>
      <c r="N10932" s="33"/>
    </row>
    <row r="10933" spans="3:14" x14ac:dyDescent="0.3">
      <c r="C10933" s="54"/>
      <c r="N10933" s="33"/>
    </row>
    <row r="10934" spans="3:14" x14ac:dyDescent="0.3">
      <c r="C10934" s="54"/>
      <c r="N10934" s="33"/>
    </row>
    <row r="10935" spans="3:14" x14ac:dyDescent="0.3">
      <c r="C10935" s="54"/>
      <c r="N10935" s="33"/>
    </row>
    <row r="10936" spans="3:14" x14ac:dyDescent="0.3">
      <c r="C10936" s="54"/>
      <c r="N10936" s="33"/>
    </row>
    <row r="10937" spans="3:14" x14ac:dyDescent="0.3">
      <c r="C10937" s="54"/>
      <c r="N10937" s="33"/>
    </row>
    <row r="10938" spans="3:14" x14ac:dyDescent="0.3">
      <c r="C10938" s="54"/>
      <c r="N10938" s="33"/>
    </row>
    <row r="10939" spans="3:14" x14ac:dyDescent="0.3">
      <c r="C10939" s="54"/>
      <c r="N10939" s="33"/>
    </row>
    <row r="10940" spans="3:14" x14ac:dyDescent="0.3">
      <c r="C10940" s="54"/>
      <c r="N10940" s="33"/>
    </row>
    <row r="10941" spans="3:14" x14ac:dyDescent="0.3">
      <c r="C10941" s="54"/>
      <c r="N10941" s="33"/>
    </row>
    <row r="10942" spans="3:14" x14ac:dyDescent="0.3">
      <c r="C10942" s="54"/>
      <c r="N10942" s="33"/>
    </row>
    <row r="10943" spans="3:14" x14ac:dyDescent="0.3">
      <c r="C10943" s="54"/>
      <c r="N10943" s="33"/>
    </row>
    <row r="10944" spans="3:14" x14ac:dyDescent="0.3">
      <c r="C10944" s="54"/>
      <c r="N10944" s="33"/>
    </row>
    <row r="10945" spans="3:14" x14ac:dyDescent="0.3">
      <c r="C10945" s="54"/>
      <c r="N10945" s="33"/>
    </row>
    <row r="10946" spans="3:14" x14ac:dyDescent="0.3">
      <c r="C10946" s="54"/>
      <c r="N10946" s="33"/>
    </row>
    <row r="10947" spans="3:14" x14ac:dyDescent="0.3">
      <c r="C10947" s="54"/>
      <c r="N10947" s="33"/>
    </row>
    <row r="10948" spans="3:14" x14ac:dyDescent="0.3">
      <c r="C10948" s="54"/>
      <c r="N10948" s="33"/>
    </row>
    <row r="10949" spans="3:14" x14ac:dyDescent="0.3">
      <c r="C10949" s="54"/>
      <c r="N10949" s="33"/>
    </row>
    <row r="10950" spans="3:14" x14ac:dyDescent="0.3">
      <c r="C10950" s="54"/>
      <c r="N10950" s="33"/>
    </row>
    <row r="10951" spans="3:14" x14ac:dyDescent="0.3">
      <c r="C10951" s="54"/>
      <c r="N10951" s="33"/>
    </row>
    <row r="10952" spans="3:14" x14ac:dyDescent="0.3">
      <c r="C10952" s="54"/>
      <c r="N10952" s="33"/>
    </row>
    <row r="10953" spans="3:14" x14ac:dyDescent="0.3">
      <c r="C10953" s="54"/>
      <c r="N10953" s="33"/>
    </row>
    <row r="10954" spans="3:14" x14ac:dyDescent="0.3">
      <c r="C10954" s="54"/>
      <c r="N10954" s="33"/>
    </row>
    <row r="10955" spans="3:14" x14ac:dyDescent="0.3">
      <c r="C10955" s="54"/>
      <c r="N10955" s="33"/>
    </row>
    <row r="10956" spans="3:14" x14ac:dyDescent="0.3">
      <c r="C10956" s="54"/>
      <c r="N10956" s="33"/>
    </row>
    <row r="10957" spans="3:14" x14ac:dyDescent="0.3">
      <c r="C10957" s="54"/>
      <c r="N10957" s="33"/>
    </row>
    <row r="10958" spans="3:14" x14ac:dyDescent="0.3">
      <c r="C10958" s="54"/>
      <c r="N10958" s="33"/>
    </row>
    <row r="10959" spans="3:14" x14ac:dyDescent="0.3">
      <c r="C10959" s="54"/>
      <c r="N10959" s="33"/>
    </row>
    <row r="10960" spans="3:14" x14ac:dyDescent="0.3">
      <c r="C10960" s="54"/>
      <c r="N10960" s="33"/>
    </row>
    <row r="10961" spans="3:14" x14ac:dyDescent="0.3">
      <c r="C10961" s="54"/>
      <c r="N10961" s="33"/>
    </row>
    <row r="10962" spans="3:14" x14ac:dyDescent="0.3">
      <c r="C10962" s="54"/>
      <c r="N10962" s="33"/>
    </row>
    <row r="10963" spans="3:14" x14ac:dyDescent="0.3">
      <c r="C10963" s="54"/>
      <c r="N10963" s="33"/>
    </row>
    <row r="10964" spans="3:14" x14ac:dyDescent="0.3">
      <c r="C10964" s="54"/>
      <c r="N10964" s="33"/>
    </row>
    <row r="10965" spans="3:14" x14ac:dyDescent="0.3">
      <c r="C10965" s="54"/>
      <c r="N10965" s="33"/>
    </row>
    <row r="10966" spans="3:14" x14ac:dyDescent="0.3">
      <c r="C10966" s="54"/>
      <c r="N10966" s="33"/>
    </row>
    <row r="10967" spans="3:14" x14ac:dyDescent="0.3">
      <c r="C10967" s="54"/>
      <c r="N10967" s="33"/>
    </row>
    <row r="10968" spans="3:14" x14ac:dyDescent="0.3">
      <c r="C10968" s="54"/>
      <c r="N10968" s="33"/>
    </row>
    <row r="10969" spans="3:14" x14ac:dyDescent="0.3">
      <c r="C10969" s="54"/>
      <c r="N10969" s="33"/>
    </row>
    <row r="10970" spans="3:14" x14ac:dyDescent="0.3">
      <c r="C10970" s="54"/>
      <c r="N10970" s="33"/>
    </row>
    <row r="10971" spans="3:14" x14ac:dyDescent="0.3">
      <c r="C10971" s="54"/>
      <c r="N10971" s="33"/>
    </row>
    <row r="10972" spans="3:14" x14ac:dyDescent="0.3">
      <c r="C10972" s="54"/>
      <c r="N10972" s="33"/>
    </row>
    <row r="10973" spans="3:14" x14ac:dyDescent="0.3">
      <c r="C10973" s="54"/>
      <c r="N10973" s="33"/>
    </row>
    <row r="10974" spans="3:14" x14ac:dyDescent="0.3">
      <c r="C10974" s="54"/>
      <c r="N10974" s="33"/>
    </row>
    <row r="10975" spans="3:14" x14ac:dyDescent="0.3">
      <c r="C10975" s="54"/>
      <c r="N10975" s="33"/>
    </row>
    <row r="10976" spans="3:14" x14ac:dyDescent="0.3">
      <c r="C10976" s="54"/>
      <c r="N10976" s="33"/>
    </row>
    <row r="10977" spans="3:14" x14ac:dyDescent="0.3">
      <c r="C10977" s="54"/>
      <c r="N10977" s="33"/>
    </row>
    <row r="10978" spans="3:14" x14ac:dyDescent="0.3">
      <c r="C10978" s="54"/>
      <c r="N10978" s="33"/>
    </row>
    <row r="10979" spans="3:14" x14ac:dyDescent="0.3">
      <c r="C10979" s="54"/>
      <c r="N10979" s="33"/>
    </row>
    <row r="10980" spans="3:14" x14ac:dyDescent="0.3">
      <c r="C10980" s="54"/>
      <c r="N10980" s="33"/>
    </row>
    <row r="10981" spans="3:14" x14ac:dyDescent="0.3">
      <c r="C10981" s="54"/>
      <c r="N10981" s="33"/>
    </row>
    <row r="10982" spans="3:14" x14ac:dyDescent="0.3">
      <c r="C10982" s="54"/>
      <c r="N10982" s="33"/>
    </row>
    <row r="10983" spans="3:14" x14ac:dyDescent="0.3">
      <c r="C10983" s="54"/>
      <c r="N10983" s="33"/>
    </row>
    <row r="10984" spans="3:14" x14ac:dyDescent="0.3">
      <c r="C10984" s="54"/>
      <c r="N10984" s="33"/>
    </row>
    <row r="10985" spans="3:14" x14ac:dyDescent="0.3">
      <c r="C10985" s="54"/>
      <c r="N10985" s="33"/>
    </row>
    <row r="10986" spans="3:14" x14ac:dyDescent="0.3">
      <c r="C10986" s="54"/>
      <c r="N10986" s="33"/>
    </row>
    <row r="10987" spans="3:14" x14ac:dyDescent="0.3">
      <c r="C10987" s="54"/>
      <c r="N10987" s="33"/>
    </row>
    <row r="10988" spans="3:14" x14ac:dyDescent="0.3">
      <c r="C10988" s="54"/>
      <c r="N10988" s="33"/>
    </row>
    <row r="10989" spans="3:14" x14ac:dyDescent="0.3">
      <c r="C10989" s="54"/>
      <c r="N10989" s="33"/>
    </row>
    <row r="10990" spans="3:14" x14ac:dyDescent="0.3">
      <c r="C10990" s="54"/>
      <c r="N10990" s="33"/>
    </row>
    <row r="10991" spans="3:14" x14ac:dyDescent="0.3">
      <c r="C10991" s="54"/>
      <c r="N10991" s="33"/>
    </row>
    <row r="10992" spans="3:14" x14ac:dyDescent="0.3">
      <c r="C10992" s="54"/>
      <c r="N10992" s="33"/>
    </row>
    <row r="10993" spans="3:14" x14ac:dyDescent="0.3">
      <c r="C10993" s="54"/>
      <c r="N10993" s="33"/>
    </row>
    <row r="10994" spans="3:14" x14ac:dyDescent="0.3">
      <c r="C10994" s="54"/>
      <c r="N10994" s="33"/>
    </row>
    <row r="10995" spans="3:14" x14ac:dyDescent="0.3">
      <c r="C10995" s="54"/>
      <c r="N10995" s="33"/>
    </row>
    <row r="10996" spans="3:14" x14ac:dyDescent="0.3">
      <c r="C10996" s="54"/>
      <c r="N10996" s="33"/>
    </row>
    <row r="10997" spans="3:14" x14ac:dyDescent="0.3">
      <c r="C10997" s="54"/>
      <c r="N10997" s="33"/>
    </row>
    <row r="10998" spans="3:14" x14ac:dyDescent="0.3">
      <c r="C10998" s="54"/>
      <c r="N10998" s="33"/>
    </row>
    <row r="10999" spans="3:14" x14ac:dyDescent="0.3">
      <c r="C10999" s="54"/>
      <c r="N10999" s="33"/>
    </row>
    <row r="11000" spans="3:14" x14ac:dyDescent="0.3">
      <c r="C11000" s="54"/>
      <c r="N11000" s="33"/>
    </row>
    <row r="11001" spans="3:14" x14ac:dyDescent="0.3">
      <c r="C11001" s="54"/>
      <c r="N11001" s="33"/>
    </row>
    <row r="11002" spans="3:14" x14ac:dyDescent="0.3">
      <c r="C11002" s="54"/>
      <c r="N11002" s="33"/>
    </row>
    <row r="11003" spans="3:14" x14ac:dyDescent="0.3">
      <c r="C11003" s="54"/>
      <c r="N11003" s="33"/>
    </row>
    <row r="11004" spans="3:14" x14ac:dyDescent="0.3">
      <c r="C11004" s="54"/>
      <c r="N11004" s="33"/>
    </row>
    <row r="11005" spans="3:14" x14ac:dyDescent="0.3">
      <c r="C11005" s="54"/>
      <c r="N11005" s="33"/>
    </row>
    <row r="11006" spans="3:14" x14ac:dyDescent="0.3">
      <c r="C11006" s="54"/>
      <c r="N11006" s="33"/>
    </row>
    <row r="11007" spans="3:14" x14ac:dyDescent="0.3">
      <c r="C11007" s="54"/>
      <c r="N11007" s="33"/>
    </row>
    <row r="11008" spans="3:14" x14ac:dyDescent="0.3">
      <c r="C11008" s="54"/>
      <c r="N11008" s="33"/>
    </row>
    <row r="11009" spans="3:14" x14ac:dyDescent="0.3">
      <c r="C11009" s="54"/>
      <c r="N11009" s="33"/>
    </row>
    <row r="11010" spans="3:14" x14ac:dyDescent="0.3">
      <c r="C11010" s="54"/>
      <c r="N11010" s="33"/>
    </row>
    <row r="11011" spans="3:14" x14ac:dyDescent="0.3">
      <c r="C11011" s="54"/>
      <c r="N11011" s="33"/>
    </row>
    <row r="11012" spans="3:14" x14ac:dyDescent="0.3">
      <c r="C11012" s="54"/>
      <c r="N11012" s="33"/>
    </row>
    <row r="11013" spans="3:14" x14ac:dyDescent="0.3">
      <c r="C11013" s="54"/>
      <c r="N11013" s="33"/>
    </row>
    <row r="11014" spans="3:14" x14ac:dyDescent="0.3">
      <c r="C11014" s="54"/>
      <c r="N11014" s="33"/>
    </row>
    <row r="11015" spans="3:14" x14ac:dyDescent="0.3">
      <c r="C11015" s="54"/>
      <c r="N11015" s="33"/>
    </row>
    <row r="11016" spans="3:14" x14ac:dyDescent="0.3">
      <c r="C11016" s="54"/>
      <c r="N11016" s="33"/>
    </row>
    <row r="11017" spans="3:14" x14ac:dyDescent="0.3">
      <c r="C11017" s="54"/>
      <c r="N11017" s="33"/>
    </row>
    <row r="11018" spans="3:14" x14ac:dyDescent="0.3">
      <c r="C11018" s="54"/>
      <c r="N11018" s="33"/>
    </row>
    <row r="11019" spans="3:14" x14ac:dyDescent="0.3">
      <c r="C11019" s="54"/>
      <c r="N11019" s="33"/>
    </row>
    <row r="11020" spans="3:14" x14ac:dyDescent="0.3">
      <c r="C11020" s="54"/>
      <c r="N11020" s="33"/>
    </row>
    <row r="11021" spans="3:14" x14ac:dyDescent="0.3">
      <c r="C11021" s="54"/>
      <c r="N11021" s="33"/>
    </row>
    <row r="11022" spans="3:14" x14ac:dyDescent="0.3">
      <c r="C11022" s="54"/>
      <c r="N11022" s="33"/>
    </row>
    <row r="11023" spans="3:14" x14ac:dyDescent="0.3">
      <c r="C11023" s="54"/>
      <c r="N11023" s="33"/>
    </row>
    <row r="11024" spans="3:14" x14ac:dyDescent="0.3">
      <c r="C11024" s="54"/>
      <c r="N11024" s="33"/>
    </row>
    <row r="11025" spans="3:14" x14ac:dyDescent="0.3">
      <c r="C11025" s="54"/>
      <c r="N11025" s="33"/>
    </row>
    <row r="11026" spans="3:14" x14ac:dyDescent="0.3">
      <c r="C11026" s="54"/>
      <c r="N11026" s="33"/>
    </row>
    <row r="11027" spans="3:14" x14ac:dyDescent="0.3">
      <c r="C11027" s="54"/>
      <c r="N11027" s="33"/>
    </row>
    <row r="11028" spans="3:14" x14ac:dyDescent="0.3">
      <c r="C11028" s="54"/>
      <c r="N11028" s="33"/>
    </row>
    <row r="11029" spans="3:14" x14ac:dyDescent="0.3">
      <c r="C11029" s="54"/>
      <c r="N11029" s="33"/>
    </row>
    <row r="11030" spans="3:14" x14ac:dyDescent="0.3">
      <c r="C11030" s="54"/>
      <c r="N11030" s="33"/>
    </row>
    <row r="11031" spans="3:14" x14ac:dyDescent="0.3">
      <c r="C11031" s="54"/>
      <c r="N11031" s="33"/>
    </row>
    <row r="11032" spans="3:14" x14ac:dyDescent="0.3">
      <c r="C11032" s="54"/>
      <c r="N11032" s="33"/>
    </row>
    <row r="11033" spans="3:14" x14ac:dyDescent="0.3">
      <c r="C11033" s="54"/>
      <c r="N11033" s="33"/>
    </row>
    <row r="11034" spans="3:14" x14ac:dyDescent="0.3">
      <c r="C11034" s="54"/>
      <c r="N11034" s="33"/>
    </row>
    <row r="11035" spans="3:14" x14ac:dyDescent="0.3">
      <c r="C11035" s="54"/>
      <c r="N11035" s="33"/>
    </row>
    <row r="11036" spans="3:14" x14ac:dyDescent="0.3">
      <c r="C11036" s="54"/>
      <c r="N11036" s="33"/>
    </row>
    <row r="11037" spans="3:14" x14ac:dyDescent="0.3">
      <c r="C11037" s="54"/>
      <c r="N11037" s="33"/>
    </row>
    <row r="11038" spans="3:14" x14ac:dyDescent="0.3">
      <c r="C11038" s="54"/>
      <c r="N11038" s="33"/>
    </row>
    <row r="11039" spans="3:14" x14ac:dyDescent="0.3">
      <c r="C11039" s="54"/>
      <c r="N11039" s="33"/>
    </row>
    <row r="11040" spans="3:14" x14ac:dyDescent="0.3">
      <c r="C11040" s="54"/>
      <c r="N11040" s="33"/>
    </row>
    <row r="11041" spans="3:14" x14ac:dyDescent="0.3">
      <c r="C11041" s="54"/>
      <c r="N11041" s="33"/>
    </row>
    <row r="11042" spans="3:14" x14ac:dyDescent="0.3">
      <c r="C11042" s="54"/>
      <c r="N11042" s="33"/>
    </row>
    <row r="11043" spans="3:14" x14ac:dyDescent="0.3">
      <c r="C11043" s="54"/>
      <c r="N11043" s="33"/>
    </row>
    <row r="11044" spans="3:14" x14ac:dyDescent="0.3">
      <c r="C11044" s="54"/>
      <c r="N11044" s="33"/>
    </row>
    <row r="11045" spans="3:14" x14ac:dyDescent="0.3">
      <c r="C11045" s="54"/>
      <c r="N11045" s="33"/>
    </row>
    <row r="11046" spans="3:14" x14ac:dyDescent="0.3">
      <c r="C11046" s="54"/>
      <c r="N11046" s="33"/>
    </row>
    <row r="11047" spans="3:14" x14ac:dyDescent="0.3">
      <c r="C11047" s="54"/>
      <c r="N11047" s="33"/>
    </row>
    <row r="11048" spans="3:14" x14ac:dyDescent="0.3">
      <c r="C11048" s="54"/>
      <c r="N11048" s="33"/>
    </row>
    <row r="11049" spans="3:14" x14ac:dyDescent="0.3">
      <c r="C11049" s="54"/>
      <c r="N11049" s="33"/>
    </row>
    <row r="11050" spans="3:14" x14ac:dyDescent="0.3">
      <c r="C11050" s="54"/>
      <c r="N11050" s="33"/>
    </row>
    <row r="11051" spans="3:14" x14ac:dyDescent="0.3">
      <c r="C11051" s="54"/>
      <c r="N11051" s="33"/>
    </row>
    <row r="11052" spans="3:14" x14ac:dyDescent="0.3">
      <c r="C11052" s="54"/>
      <c r="N11052" s="33"/>
    </row>
    <row r="11053" spans="3:14" x14ac:dyDescent="0.3">
      <c r="C11053" s="54"/>
      <c r="N11053" s="33"/>
    </row>
    <row r="11054" spans="3:14" x14ac:dyDescent="0.3">
      <c r="C11054" s="54"/>
      <c r="N11054" s="33"/>
    </row>
    <row r="11055" spans="3:14" x14ac:dyDescent="0.3">
      <c r="C11055" s="54"/>
      <c r="N11055" s="33"/>
    </row>
    <row r="11056" spans="3:14" x14ac:dyDescent="0.3">
      <c r="C11056" s="54"/>
      <c r="N11056" s="33"/>
    </row>
    <row r="11057" spans="3:14" x14ac:dyDescent="0.3">
      <c r="C11057" s="54"/>
      <c r="N11057" s="33"/>
    </row>
    <row r="11058" spans="3:14" x14ac:dyDescent="0.3">
      <c r="C11058" s="54"/>
      <c r="N11058" s="33"/>
    </row>
    <row r="11059" spans="3:14" x14ac:dyDescent="0.3">
      <c r="C11059" s="54"/>
      <c r="N11059" s="33"/>
    </row>
    <row r="11060" spans="3:14" x14ac:dyDescent="0.3">
      <c r="C11060" s="54"/>
      <c r="N11060" s="33"/>
    </row>
    <row r="11061" spans="3:14" x14ac:dyDescent="0.3">
      <c r="C11061" s="54"/>
      <c r="N11061" s="33"/>
    </row>
    <row r="11062" spans="3:14" x14ac:dyDescent="0.3">
      <c r="C11062" s="54"/>
      <c r="N11062" s="33"/>
    </row>
    <row r="11063" spans="3:14" x14ac:dyDescent="0.3">
      <c r="C11063" s="54"/>
      <c r="N11063" s="33"/>
    </row>
    <row r="11064" spans="3:14" x14ac:dyDescent="0.3">
      <c r="C11064" s="54"/>
      <c r="N11064" s="33"/>
    </row>
    <row r="11065" spans="3:14" x14ac:dyDescent="0.3">
      <c r="C11065" s="54"/>
      <c r="N11065" s="33"/>
    </row>
    <row r="11066" spans="3:14" x14ac:dyDescent="0.3">
      <c r="C11066" s="54"/>
      <c r="N11066" s="33"/>
    </row>
    <row r="11067" spans="3:14" x14ac:dyDescent="0.3">
      <c r="C11067" s="54"/>
      <c r="N11067" s="33"/>
    </row>
    <row r="11068" spans="3:14" x14ac:dyDescent="0.3">
      <c r="C11068" s="54"/>
      <c r="N11068" s="33"/>
    </row>
    <row r="11069" spans="3:14" x14ac:dyDescent="0.3">
      <c r="C11069" s="54"/>
      <c r="N11069" s="33"/>
    </row>
    <row r="11070" spans="3:14" x14ac:dyDescent="0.3">
      <c r="C11070" s="54"/>
      <c r="N11070" s="33"/>
    </row>
    <row r="11071" spans="3:14" x14ac:dyDescent="0.3">
      <c r="C11071" s="54"/>
      <c r="N11071" s="33"/>
    </row>
    <row r="11072" spans="3:14" x14ac:dyDescent="0.3">
      <c r="C11072" s="54"/>
      <c r="N11072" s="33"/>
    </row>
    <row r="11073" spans="3:14" x14ac:dyDescent="0.3">
      <c r="C11073" s="54"/>
      <c r="N11073" s="33"/>
    </row>
    <row r="11074" spans="3:14" x14ac:dyDescent="0.3">
      <c r="C11074" s="54"/>
      <c r="N11074" s="33"/>
    </row>
    <row r="11075" spans="3:14" x14ac:dyDescent="0.3">
      <c r="C11075" s="54"/>
      <c r="N11075" s="33"/>
    </row>
    <row r="11076" spans="3:14" x14ac:dyDescent="0.3">
      <c r="C11076" s="54"/>
      <c r="N11076" s="33"/>
    </row>
    <row r="11077" spans="3:14" x14ac:dyDescent="0.3">
      <c r="C11077" s="54"/>
      <c r="N11077" s="33"/>
    </row>
    <row r="11078" spans="3:14" x14ac:dyDescent="0.3">
      <c r="C11078" s="54"/>
      <c r="N11078" s="33"/>
    </row>
    <row r="11079" spans="3:14" x14ac:dyDescent="0.3">
      <c r="C11079" s="54"/>
      <c r="N11079" s="33"/>
    </row>
    <row r="11080" spans="3:14" x14ac:dyDescent="0.3">
      <c r="C11080" s="54"/>
      <c r="N11080" s="33"/>
    </row>
    <row r="11081" spans="3:14" x14ac:dyDescent="0.3">
      <c r="C11081" s="54"/>
      <c r="N11081" s="33"/>
    </row>
    <row r="11082" spans="3:14" x14ac:dyDescent="0.3">
      <c r="C11082" s="54"/>
      <c r="N11082" s="33"/>
    </row>
    <row r="11083" spans="3:14" x14ac:dyDescent="0.3">
      <c r="C11083" s="54"/>
      <c r="N11083" s="33"/>
    </row>
    <row r="11084" spans="3:14" x14ac:dyDescent="0.3">
      <c r="C11084" s="54"/>
      <c r="N11084" s="33"/>
    </row>
    <row r="11085" spans="3:14" x14ac:dyDescent="0.3">
      <c r="C11085" s="54"/>
      <c r="N11085" s="33"/>
    </row>
    <row r="11086" spans="3:14" x14ac:dyDescent="0.3">
      <c r="C11086" s="54"/>
      <c r="N11086" s="33"/>
    </row>
    <row r="11087" spans="3:14" x14ac:dyDescent="0.3">
      <c r="C11087" s="54"/>
      <c r="N11087" s="33"/>
    </row>
    <row r="11088" spans="3:14" x14ac:dyDescent="0.3">
      <c r="C11088" s="54"/>
      <c r="N11088" s="33"/>
    </row>
    <row r="11089" spans="3:14" x14ac:dyDescent="0.3">
      <c r="C11089" s="54"/>
      <c r="N11089" s="33"/>
    </row>
    <row r="11090" spans="3:14" x14ac:dyDescent="0.3">
      <c r="C11090" s="54"/>
      <c r="N11090" s="33"/>
    </row>
    <row r="11091" spans="3:14" x14ac:dyDescent="0.3">
      <c r="C11091" s="54"/>
      <c r="N11091" s="33"/>
    </row>
    <row r="11092" spans="3:14" x14ac:dyDescent="0.3">
      <c r="C11092" s="54"/>
      <c r="N11092" s="33"/>
    </row>
    <row r="11093" spans="3:14" x14ac:dyDescent="0.3">
      <c r="C11093" s="54"/>
      <c r="N11093" s="33"/>
    </row>
    <row r="11094" spans="3:14" x14ac:dyDescent="0.3">
      <c r="C11094" s="54"/>
      <c r="N11094" s="33"/>
    </row>
    <row r="11095" spans="3:14" x14ac:dyDescent="0.3">
      <c r="C11095" s="54"/>
      <c r="N11095" s="33"/>
    </row>
    <row r="11096" spans="3:14" x14ac:dyDescent="0.3">
      <c r="C11096" s="54"/>
      <c r="N11096" s="33"/>
    </row>
    <row r="11097" spans="3:14" x14ac:dyDescent="0.3">
      <c r="C11097" s="54"/>
      <c r="N11097" s="33"/>
    </row>
    <row r="11098" spans="3:14" x14ac:dyDescent="0.3">
      <c r="C11098" s="54"/>
      <c r="N11098" s="33"/>
    </row>
    <row r="11099" spans="3:14" x14ac:dyDescent="0.3">
      <c r="C11099" s="54"/>
      <c r="N11099" s="33"/>
    </row>
    <row r="11100" spans="3:14" x14ac:dyDescent="0.3">
      <c r="C11100" s="54"/>
      <c r="N11100" s="33"/>
    </row>
    <row r="11101" spans="3:14" x14ac:dyDescent="0.3">
      <c r="C11101" s="54"/>
      <c r="N11101" s="33"/>
    </row>
    <row r="11102" spans="3:14" x14ac:dyDescent="0.3">
      <c r="C11102" s="54"/>
      <c r="N11102" s="33"/>
    </row>
    <row r="11103" spans="3:14" x14ac:dyDescent="0.3">
      <c r="C11103" s="54"/>
      <c r="N11103" s="33"/>
    </row>
    <row r="11104" spans="3:14" x14ac:dyDescent="0.3">
      <c r="C11104" s="54"/>
      <c r="N11104" s="33"/>
    </row>
    <row r="11105" spans="3:14" x14ac:dyDescent="0.3">
      <c r="C11105" s="54"/>
      <c r="N11105" s="33"/>
    </row>
    <row r="11106" spans="3:14" x14ac:dyDescent="0.3">
      <c r="C11106" s="54"/>
      <c r="N11106" s="33"/>
    </row>
    <row r="11107" spans="3:14" x14ac:dyDescent="0.3">
      <c r="C11107" s="54"/>
      <c r="N11107" s="33"/>
    </row>
    <row r="11108" spans="3:14" x14ac:dyDescent="0.3">
      <c r="C11108" s="54"/>
      <c r="N11108" s="33"/>
    </row>
    <row r="11109" spans="3:14" x14ac:dyDescent="0.3">
      <c r="C11109" s="54"/>
      <c r="N11109" s="33"/>
    </row>
    <row r="11110" spans="3:14" x14ac:dyDescent="0.3">
      <c r="C11110" s="54"/>
      <c r="N11110" s="33"/>
    </row>
    <row r="11111" spans="3:14" x14ac:dyDescent="0.3">
      <c r="C11111" s="54"/>
      <c r="N11111" s="33"/>
    </row>
    <row r="11112" spans="3:14" x14ac:dyDescent="0.3">
      <c r="C11112" s="54"/>
      <c r="N11112" s="33"/>
    </row>
    <row r="11113" spans="3:14" x14ac:dyDescent="0.3">
      <c r="C11113" s="54"/>
      <c r="N11113" s="33"/>
    </row>
    <row r="11114" spans="3:14" x14ac:dyDescent="0.3">
      <c r="C11114" s="54"/>
      <c r="N11114" s="33"/>
    </row>
    <row r="11115" spans="3:14" x14ac:dyDescent="0.3">
      <c r="C11115" s="54"/>
      <c r="N11115" s="33"/>
    </row>
    <row r="11116" spans="3:14" x14ac:dyDescent="0.3">
      <c r="C11116" s="54"/>
      <c r="N11116" s="33"/>
    </row>
    <row r="11117" spans="3:14" x14ac:dyDescent="0.3">
      <c r="C11117" s="54"/>
      <c r="N11117" s="33"/>
    </row>
    <row r="11118" spans="3:14" x14ac:dyDescent="0.3">
      <c r="C11118" s="54"/>
      <c r="N11118" s="33"/>
    </row>
    <row r="11119" spans="3:14" x14ac:dyDescent="0.3">
      <c r="C11119" s="54"/>
      <c r="N11119" s="33"/>
    </row>
    <row r="11120" spans="3:14" x14ac:dyDescent="0.3">
      <c r="C11120" s="54"/>
      <c r="N11120" s="33"/>
    </row>
    <row r="11121" spans="3:14" x14ac:dyDescent="0.3">
      <c r="C11121" s="54"/>
      <c r="N11121" s="33"/>
    </row>
    <row r="11122" spans="3:14" x14ac:dyDescent="0.3">
      <c r="C11122" s="54"/>
      <c r="N11122" s="33"/>
    </row>
    <row r="11123" spans="3:14" x14ac:dyDescent="0.3">
      <c r="C11123" s="54"/>
      <c r="N11123" s="33"/>
    </row>
    <row r="11124" spans="3:14" x14ac:dyDescent="0.3">
      <c r="C11124" s="54"/>
      <c r="N11124" s="33"/>
    </row>
    <row r="11125" spans="3:14" x14ac:dyDescent="0.3">
      <c r="C11125" s="54"/>
      <c r="N11125" s="33"/>
    </row>
    <row r="11126" spans="3:14" x14ac:dyDescent="0.3">
      <c r="C11126" s="54"/>
      <c r="N11126" s="33"/>
    </row>
    <row r="11127" spans="3:14" x14ac:dyDescent="0.3">
      <c r="C11127" s="54"/>
      <c r="N11127" s="33"/>
    </row>
    <row r="11128" spans="3:14" x14ac:dyDescent="0.3">
      <c r="C11128" s="54"/>
      <c r="N11128" s="33"/>
    </row>
    <row r="11129" spans="3:14" x14ac:dyDescent="0.3">
      <c r="C11129" s="54"/>
      <c r="N11129" s="33"/>
    </row>
    <row r="11130" spans="3:14" x14ac:dyDescent="0.3">
      <c r="C11130" s="54"/>
      <c r="N11130" s="33"/>
    </row>
    <row r="11131" spans="3:14" x14ac:dyDescent="0.3">
      <c r="C11131" s="54"/>
      <c r="N11131" s="33"/>
    </row>
    <row r="11132" spans="3:14" x14ac:dyDescent="0.3">
      <c r="C11132" s="54"/>
      <c r="N11132" s="33"/>
    </row>
    <row r="11133" spans="3:14" x14ac:dyDescent="0.3">
      <c r="C11133" s="54"/>
      <c r="N11133" s="33"/>
    </row>
    <row r="11134" spans="3:14" x14ac:dyDescent="0.3">
      <c r="C11134" s="54"/>
      <c r="N11134" s="33"/>
    </row>
    <row r="11135" spans="3:14" x14ac:dyDescent="0.3">
      <c r="C11135" s="54"/>
      <c r="N11135" s="33"/>
    </row>
    <row r="11136" spans="3:14" x14ac:dyDescent="0.3">
      <c r="C11136" s="54"/>
      <c r="N11136" s="33"/>
    </row>
    <row r="11137" spans="3:14" x14ac:dyDescent="0.3">
      <c r="C11137" s="54"/>
      <c r="N11137" s="33"/>
    </row>
    <row r="11138" spans="3:14" x14ac:dyDescent="0.3">
      <c r="C11138" s="54"/>
      <c r="N11138" s="33"/>
    </row>
    <row r="11139" spans="3:14" x14ac:dyDescent="0.3">
      <c r="C11139" s="54"/>
      <c r="N11139" s="33"/>
    </row>
    <row r="11140" spans="3:14" x14ac:dyDescent="0.3">
      <c r="C11140" s="54"/>
      <c r="N11140" s="33"/>
    </row>
    <row r="11141" spans="3:14" x14ac:dyDescent="0.3">
      <c r="C11141" s="54"/>
      <c r="N11141" s="33"/>
    </row>
    <row r="11142" spans="3:14" x14ac:dyDescent="0.3">
      <c r="C11142" s="54"/>
      <c r="N11142" s="33"/>
    </row>
    <row r="11143" spans="3:14" x14ac:dyDescent="0.3">
      <c r="C11143" s="54"/>
      <c r="N11143" s="33"/>
    </row>
    <row r="11144" spans="3:14" x14ac:dyDescent="0.3">
      <c r="C11144" s="54"/>
      <c r="N11144" s="33"/>
    </row>
    <row r="11145" spans="3:14" x14ac:dyDescent="0.3">
      <c r="C11145" s="54"/>
      <c r="N11145" s="33"/>
    </row>
    <row r="11146" spans="3:14" x14ac:dyDescent="0.3">
      <c r="C11146" s="54"/>
      <c r="N11146" s="33"/>
    </row>
    <row r="11147" spans="3:14" x14ac:dyDescent="0.3">
      <c r="C11147" s="54"/>
      <c r="N11147" s="33"/>
    </row>
    <row r="11148" spans="3:14" x14ac:dyDescent="0.3">
      <c r="C11148" s="54"/>
      <c r="N11148" s="33"/>
    </row>
    <row r="11149" spans="3:14" x14ac:dyDescent="0.3">
      <c r="C11149" s="54"/>
      <c r="N11149" s="33"/>
    </row>
    <row r="11150" spans="3:14" x14ac:dyDescent="0.3">
      <c r="C11150" s="54"/>
      <c r="N11150" s="33"/>
    </row>
    <row r="11151" spans="3:14" x14ac:dyDescent="0.3">
      <c r="C11151" s="54"/>
      <c r="N11151" s="33"/>
    </row>
    <row r="11152" spans="3:14" x14ac:dyDescent="0.3">
      <c r="C11152" s="54"/>
      <c r="N11152" s="33"/>
    </row>
    <row r="11153" spans="3:14" x14ac:dyDescent="0.3">
      <c r="C11153" s="54"/>
      <c r="N11153" s="33"/>
    </row>
    <row r="11154" spans="3:14" x14ac:dyDescent="0.3">
      <c r="C11154" s="54"/>
      <c r="N11154" s="33"/>
    </row>
    <row r="11155" spans="3:14" x14ac:dyDescent="0.3">
      <c r="C11155" s="54"/>
      <c r="N11155" s="33"/>
    </row>
    <row r="11156" spans="3:14" x14ac:dyDescent="0.3">
      <c r="C11156" s="54"/>
      <c r="N11156" s="33"/>
    </row>
    <row r="11157" spans="3:14" x14ac:dyDescent="0.3">
      <c r="C11157" s="54"/>
      <c r="N11157" s="33"/>
    </row>
    <row r="11158" spans="3:14" x14ac:dyDescent="0.3">
      <c r="C11158" s="54"/>
      <c r="N11158" s="33"/>
    </row>
    <row r="11159" spans="3:14" x14ac:dyDescent="0.3">
      <c r="C11159" s="54"/>
      <c r="N11159" s="33"/>
    </row>
    <row r="11160" spans="3:14" x14ac:dyDescent="0.3">
      <c r="C11160" s="54"/>
      <c r="N11160" s="33"/>
    </row>
    <row r="11161" spans="3:14" x14ac:dyDescent="0.3">
      <c r="C11161" s="54"/>
      <c r="N11161" s="33"/>
    </row>
    <row r="11162" spans="3:14" x14ac:dyDescent="0.3">
      <c r="C11162" s="54"/>
      <c r="N11162" s="33"/>
    </row>
    <row r="11163" spans="3:14" x14ac:dyDescent="0.3">
      <c r="C11163" s="54"/>
      <c r="N11163" s="33"/>
    </row>
    <row r="11164" spans="3:14" x14ac:dyDescent="0.3">
      <c r="C11164" s="54"/>
      <c r="N11164" s="33"/>
    </row>
    <row r="11165" spans="3:14" x14ac:dyDescent="0.3">
      <c r="C11165" s="54"/>
      <c r="N11165" s="33"/>
    </row>
    <row r="11166" spans="3:14" x14ac:dyDescent="0.3">
      <c r="C11166" s="54"/>
      <c r="N11166" s="33"/>
    </row>
    <row r="11167" spans="3:14" x14ac:dyDescent="0.3">
      <c r="C11167" s="54"/>
      <c r="N11167" s="33"/>
    </row>
    <row r="11168" spans="3:14" x14ac:dyDescent="0.3">
      <c r="C11168" s="54"/>
      <c r="N11168" s="33"/>
    </row>
    <row r="11169" spans="3:14" x14ac:dyDescent="0.3">
      <c r="C11169" s="54"/>
      <c r="N11169" s="33"/>
    </row>
    <row r="11170" spans="3:14" x14ac:dyDescent="0.3">
      <c r="C11170" s="54"/>
      <c r="N11170" s="33"/>
    </row>
    <row r="11171" spans="3:14" x14ac:dyDescent="0.3">
      <c r="C11171" s="54"/>
      <c r="N11171" s="33"/>
    </row>
    <row r="11172" spans="3:14" x14ac:dyDescent="0.3">
      <c r="C11172" s="54"/>
      <c r="N11172" s="33"/>
    </row>
    <row r="11173" spans="3:14" x14ac:dyDescent="0.3">
      <c r="C11173" s="54"/>
      <c r="N11173" s="33"/>
    </row>
    <row r="11174" spans="3:14" x14ac:dyDescent="0.3">
      <c r="C11174" s="54"/>
      <c r="N11174" s="33"/>
    </row>
    <row r="11175" spans="3:14" x14ac:dyDescent="0.3">
      <c r="C11175" s="54"/>
      <c r="N11175" s="33"/>
    </row>
    <row r="11176" spans="3:14" x14ac:dyDescent="0.3">
      <c r="C11176" s="54"/>
      <c r="N11176" s="33"/>
    </row>
    <row r="11177" spans="3:14" x14ac:dyDescent="0.3">
      <c r="C11177" s="54"/>
      <c r="N11177" s="33"/>
    </row>
    <row r="11178" spans="3:14" x14ac:dyDescent="0.3">
      <c r="C11178" s="54"/>
      <c r="N11178" s="33"/>
    </row>
    <row r="11179" spans="3:14" x14ac:dyDescent="0.3">
      <c r="C11179" s="54"/>
      <c r="N11179" s="33"/>
    </row>
    <row r="11180" spans="3:14" x14ac:dyDescent="0.3">
      <c r="C11180" s="54"/>
      <c r="N11180" s="33"/>
    </row>
    <row r="11181" spans="3:14" x14ac:dyDescent="0.3">
      <c r="C11181" s="54"/>
      <c r="N11181" s="33"/>
    </row>
    <row r="11182" spans="3:14" x14ac:dyDescent="0.3">
      <c r="C11182" s="54"/>
      <c r="N11182" s="33"/>
    </row>
    <row r="11183" spans="3:14" x14ac:dyDescent="0.3">
      <c r="C11183" s="54"/>
      <c r="N11183" s="33"/>
    </row>
    <row r="11184" spans="3:14" x14ac:dyDescent="0.3">
      <c r="C11184" s="54"/>
      <c r="N11184" s="33"/>
    </row>
    <row r="11185" spans="3:14" x14ac:dyDescent="0.3">
      <c r="C11185" s="54"/>
      <c r="N11185" s="33"/>
    </row>
    <row r="11186" spans="3:14" x14ac:dyDescent="0.3">
      <c r="C11186" s="54"/>
      <c r="N11186" s="33"/>
    </row>
    <row r="11187" spans="3:14" x14ac:dyDescent="0.3">
      <c r="C11187" s="54"/>
      <c r="N11187" s="33"/>
    </row>
    <row r="11188" spans="3:14" x14ac:dyDescent="0.3">
      <c r="C11188" s="54"/>
      <c r="N11188" s="33"/>
    </row>
    <row r="11189" spans="3:14" x14ac:dyDescent="0.3">
      <c r="C11189" s="54"/>
      <c r="N11189" s="33"/>
    </row>
    <row r="11190" spans="3:14" x14ac:dyDescent="0.3">
      <c r="C11190" s="54"/>
      <c r="N11190" s="33"/>
    </row>
    <row r="11191" spans="3:14" x14ac:dyDescent="0.3">
      <c r="C11191" s="54"/>
      <c r="N11191" s="33"/>
    </row>
    <row r="11192" spans="3:14" x14ac:dyDescent="0.3">
      <c r="C11192" s="54"/>
      <c r="N11192" s="33"/>
    </row>
    <row r="11193" spans="3:14" x14ac:dyDescent="0.3">
      <c r="C11193" s="54"/>
      <c r="N11193" s="33"/>
    </row>
    <row r="11194" spans="3:14" x14ac:dyDescent="0.3">
      <c r="C11194" s="54"/>
      <c r="N11194" s="33"/>
    </row>
    <row r="11195" spans="3:14" x14ac:dyDescent="0.3">
      <c r="C11195" s="54"/>
      <c r="N11195" s="33"/>
    </row>
    <row r="11196" spans="3:14" x14ac:dyDescent="0.3">
      <c r="C11196" s="54"/>
      <c r="N11196" s="33"/>
    </row>
    <row r="11197" spans="3:14" x14ac:dyDescent="0.3">
      <c r="C11197" s="54"/>
      <c r="N11197" s="33"/>
    </row>
    <row r="11198" spans="3:14" x14ac:dyDescent="0.3">
      <c r="C11198" s="54"/>
      <c r="N11198" s="33"/>
    </row>
    <row r="11199" spans="3:14" x14ac:dyDescent="0.3">
      <c r="C11199" s="54"/>
      <c r="N11199" s="33"/>
    </row>
    <row r="11200" spans="3:14" x14ac:dyDescent="0.3">
      <c r="C11200" s="54"/>
      <c r="N11200" s="33"/>
    </row>
    <row r="11201" spans="3:14" x14ac:dyDescent="0.3">
      <c r="C11201" s="54"/>
      <c r="N11201" s="33"/>
    </row>
    <row r="11202" spans="3:14" x14ac:dyDescent="0.3">
      <c r="C11202" s="54"/>
      <c r="N11202" s="33"/>
    </row>
    <row r="11203" spans="3:14" x14ac:dyDescent="0.3">
      <c r="C11203" s="54"/>
      <c r="N11203" s="33"/>
    </row>
    <row r="11204" spans="3:14" x14ac:dyDescent="0.3">
      <c r="C11204" s="54"/>
      <c r="N11204" s="33"/>
    </row>
    <row r="11205" spans="3:14" x14ac:dyDescent="0.3">
      <c r="C11205" s="54"/>
      <c r="N11205" s="33"/>
    </row>
    <row r="11206" spans="3:14" x14ac:dyDescent="0.3">
      <c r="C11206" s="54"/>
      <c r="N11206" s="33"/>
    </row>
    <row r="11207" spans="3:14" x14ac:dyDescent="0.3">
      <c r="C11207" s="54"/>
      <c r="N11207" s="33"/>
    </row>
    <row r="11208" spans="3:14" x14ac:dyDescent="0.3">
      <c r="C11208" s="54"/>
      <c r="N11208" s="33"/>
    </row>
    <row r="11209" spans="3:14" x14ac:dyDescent="0.3">
      <c r="C11209" s="54"/>
      <c r="N11209" s="33"/>
    </row>
    <row r="11210" spans="3:14" x14ac:dyDescent="0.3">
      <c r="C11210" s="54"/>
      <c r="N11210" s="33"/>
    </row>
    <row r="11211" spans="3:14" x14ac:dyDescent="0.3">
      <c r="C11211" s="54"/>
      <c r="N11211" s="33"/>
    </row>
    <row r="11212" spans="3:14" x14ac:dyDescent="0.3">
      <c r="C11212" s="54"/>
      <c r="N11212" s="33"/>
    </row>
    <row r="11213" spans="3:14" x14ac:dyDescent="0.3">
      <c r="C11213" s="54"/>
      <c r="N11213" s="33"/>
    </row>
    <row r="11214" spans="3:14" x14ac:dyDescent="0.3">
      <c r="C11214" s="54"/>
      <c r="N11214" s="33"/>
    </row>
    <row r="11215" spans="3:14" x14ac:dyDescent="0.3">
      <c r="C11215" s="54"/>
      <c r="N11215" s="33"/>
    </row>
    <row r="11216" spans="3:14" x14ac:dyDescent="0.3">
      <c r="C11216" s="54"/>
      <c r="N11216" s="33"/>
    </row>
    <row r="11217" spans="3:14" x14ac:dyDescent="0.3">
      <c r="C11217" s="54"/>
      <c r="N11217" s="33"/>
    </row>
    <row r="11218" spans="3:14" x14ac:dyDescent="0.3">
      <c r="C11218" s="54"/>
      <c r="N11218" s="33"/>
    </row>
    <row r="11219" spans="3:14" x14ac:dyDescent="0.3">
      <c r="C11219" s="54"/>
      <c r="N11219" s="33"/>
    </row>
    <row r="11220" spans="3:14" x14ac:dyDescent="0.3">
      <c r="C11220" s="54"/>
      <c r="N11220" s="33"/>
    </row>
    <row r="11221" spans="3:14" x14ac:dyDescent="0.3">
      <c r="C11221" s="54"/>
      <c r="N11221" s="33"/>
    </row>
    <row r="11222" spans="3:14" x14ac:dyDescent="0.3">
      <c r="C11222" s="54"/>
      <c r="N11222" s="33"/>
    </row>
    <row r="11223" spans="3:14" x14ac:dyDescent="0.3">
      <c r="C11223" s="54"/>
      <c r="N11223" s="33"/>
    </row>
    <row r="11224" spans="3:14" x14ac:dyDescent="0.3">
      <c r="C11224" s="54"/>
      <c r="N11224" s="33"/>
    </row>
    <row r="11225" spans="3:14" x14ac:dyDescent="0.3">
      <c r="C11225" s="54"/>
      <c r="N11225" s="33"/>
    </row>
    <row r="11226" spans="3:14" x14ac:dyDescent="0.3">
      <c r="C11226" s="54"/>
      <c r="N11226" s="33"/>
    </row>
    <row r="11227" spans="3:14" x14ac:dyDescent="0.3">
      <c r="C11227" s="54"/>
      <c r="N11227" s="33"/>
    </row>
    <row r="11228" spans="3:14" x14ac:dyDescent="0.3">
      <c r="C11228" s="54"/>
      <c r="N11228" s="33"/>
    </row>
    <row r="11229" spans="3:14" x14ac:dyDescent="0.3">
      <c r="C11229" s="54"/>
      <c r="N11229" s="33"/>
    </row>
    <row r="11230" spans="3:14" x14ac:dyDescent="0.3">
      <c r="C11230" s="54"/>
      <c r="N11230" s="33"/>
    </row>
    <row r="11231" spans="3:14" x14ac:dyDescent="0.3">
      <c r="C11231" s="54"/>
      <c r="N11231" s="33"/>
    </row>
    <row r="11232" spans="3:14" x14ac:dyDescent="0.3">
      <c r="C11232" s="54"/>
      <c r="N11232" s="33"/>
    </row>
    <row r="11233" spans="3:14" x14ac:dyDescent="0.3">
      <c r="C11233" s="54"/>
      <c r="N11233" s="33"/>
    </row>
    <row r="11234" spans="3:14" x14ac:dyDescent="0.3">
      <c r="C11234" s="54"/>
      <c r="N11234" s="33"/>
    </row>
    <row r="11235" spans="3:14" x14ac:dyDescent="0.3">
      <c r="C11235" s="54"/>
      <c r="N11235" s="33"/>
    </row>
    <row r="11236" spans="3:14" x14ac:dyDescent="0.3">
      <c r="C11236" s="54"/>
      <c r="N11236" s="33"/>
    </row>
    <row r="11237" spans="3:14" x14ac:dyDescent="0.3">
      <c r="C11237" s="54"/>
      <c r="N11237" s="33"/>
    </row>
    <row r="11238" spans="3:14" x14ac:dyDescent="0.3">
      <c r="C11238" s="54"/>
      <c r="N11238" s="33"/>
    </row>
    <row r="11239" spans="3:14" x14ac:dyDescent="0.3">
      <c r="C11239" s="54"/>
      <c r="N11239" s="33"/>
    </row>
    <row r="11240" spans="3:14" x14ac:dyDescent="0.3">
      <c r="C11240" s="54"/>
      <c r="N11240" s="33"/>
    </row>
    <row r="11241" spans="3:14" x14ac:dyDescent="0.3">
      <c r="C11241" s="54"/>
      <c r="N11241" s="33"/>
    </row>
    <row r="11242" spans="3:14" x14ac:dyDescent="0.3">
      <c r="C11242" s="54"/>
      <c r="N11242" s="33"/>
    </row>
    <row r="11243" spans="3:14" x14ac:dyDescent="0.3">
      <c r="C11243" s="54"/>
      <c r="N11243" s="33"/>
    </row>
    <row r="11244" spans="3:14" x14ac:dyDescent="0.3">
      <c r="C11244" s="54"/>
      <c r="N11244" s="33"/>
    </row>
    <row r="11245" spans="3:14" x14ac:dyDescent="0.3">
      <c r="C11245" s="54"/>
      <c r="N11245" s="33"/>
    </row>
    <row r="11246" spans="3:14" x14ac:dyDescent="0.3">
      <c r="C11246" s="54"/>
      <c r="N11246" s="33"/>
    </row>
    <row r="11247" spans="3:14" x14ac:dyDescent="0.3">
      <c r="C11247" s="54"/>
      <c r="N11247" s="33"/>
    </row>
    <row r="11248" spans="3:14" x14ac:dyDescent="0.3">
      <c r="C11248" s="54"/>
      <c r="N11248" s="33"/>
    </row>
    <row r="11249" spans="3:14" x14ac:dyDescent="0.3">
      <c r="C11249" s="54"/>
      <c r="N11249" s="33"/>
    </row>
    <row r="11250" spans="3:14" x14ac:dyDescent="0.3">
      <c r="C11250" s="54"/>
      <c r="N11250" s="33"/>
    </row>
    <row r="11251" spans="3:14" x14ac:dyDescent="0.3">
      <c r="C11251" s="54"/>
      <c r="N11251" s="33"/>
    </row>
    <row r="11252" spans="3:14" x14ac:dyDescent="0.3">
      <c r="C11252" s="54"/>
      <c r="N11252" s="33"/>
    </row>
    <row r="11253" spans="3:14" x14ac:dyDescent="0.3">
      <c r="C11253" s="54"/>
      <c r="N11253" s="33"/>
    </row>
    <row r="11254" spans="3:14" x14ac:dyDescent="0.3">
      <c r="C11254" s="54"/>
      <c r="N11254" s="33"/>
    </row>
    <row r="11255" spans="3:14" x14ac:dyDescent="0.3">
      <c r="C11255" s="54"/>
      <c r="N11255" s="33"/>
    </row>
    <row r="11256" spans="3:14" x14ac:dyDescent="0.3">
      <c r="C11256" s="54"/>
      <c r="N11256" s="33"/>
    </row>
    <row r="11257" spans="3:14" x14ac:dyDescent="0.3">
      <c r="C11257" s="54"/>
      <c r="N11257" s="33"/>
    </row>
    <row r="11258" spans="3:14" x14ac:dyDescent="0.3">
      <c r="C11258" s="54"/>
      <c r="N11258" s="33"/>
    </row>
    <row r="11259" spans="3:14" x14ac:dyDescent="0.3">
      <c r="C11259" s="54"/>
      <c r="N11259" s="33"/>
    </row>
    <row r="11260" spans="3:14" x14ac:dyDescent="0.3">
      <c r="C11260" s="54"/>
      <c r="N11260" s="33"/>
    </row>
    <row r="11261" spans="3:14" x14ac:dyDescent="0.3">
      <c r="C11261" s="54"/>
      <c r="N11261" s="33"/>
    </row>
    <row r="11262" spans="3:14" x14ac:dyDescent="0.3">
      <c r="C11262" s="54"/>
      <c r="N11262" s="33"/>
    </row>
    <row r="11263" spans="3:14" x14ac:dyDescent="0.3">
      <c r="C11263" s="54"/>
      <c r="N11263" s="33"/>
    </row>
    <row r="11264" spans="3:14" x14ac:dyDescent="0.3">
      <c r="C11264" s="54"/>
      <c r="N11264" s="33"/>
    </row>
    <row r="11265" spans="3:14" x14ac:dyDescent="0.3">
      <c r="C11265" s="54"/>
      <c r="N11265" s="33"/>
    </row>
    <row r="11266" spans="3:14" x14ac:dyDescent="0.3">
      <c r="C11266" s="54"/>
      <c r="N11266" s="33"/>
    </row>
    <row r="11267" spans="3:14" x14ac:dyDescent="0.3">
      <c r="C11267" s="54"/>
      <c r="N11267" s="33"/>
    </row>
    <row r="11268" spans="3:14" x14ac:dyDescent="0.3">
      <c r="C11268" s="54"/>
      <c r="N11268" s="33"/>
    </row>
    <row r="11269" spans="3:14" x14ac:dyDescent="0.3">
      <c r="C11269" s="54"/>
      <c r="N11269" s="33"/>
    </row>
    <row r="11270" spans="3:14" x14ac:dyDescent="0.3">
      <c r="C11270" s="54"/>
      <c r="N11270" s="33"/>
    </row>
    <row r="11271" spans="3:14" x14ac:dyDescent="0.3">
      <c r="C11271" s="54"/>
      <c r="N11271" s="33"/>
    </row>
    <row r="11272" spans="3:14" x14ac:dyDescent="0.3">
      <c r="C11272" s="54"/>
      <c r="N11272" s="33"/>
    </row>
    <row r="11273" spans="3:14" x14ac:dyDescent="0.3">
      <c r="C11273" s="54"/>
      <c r="N11273" s="33"/>
    </row>
    <row r="11274" spans="3:14" x14ac:dyDescent="0.3">
      <c r="C11274" s="54"/>
      <c r="N11274" s="33"/>
    </row>
    <row r="11275" spans="3:14" x14ac:dyDescent="0.3">
      <c r="C11275" s="54"/>
      <c r="N11275" s="33"/>
    </row>
    <row r="11276" spans="3:14" x14ac:dyDescent="0.3">
      <c r="C11276" s="54"/>
      <c r="N11276" s="33"/>
    </row>
    <row r="11277" spans="3:14" x14ac:dyDescent="0.3">
      <c r="C11277" s="54"/>
      <c r="N11277" s="33"/>
    </row>
    <row r="11278" spans="3:14" x14ac:dyDescent="0.3">
      <c r="C11278" s="54"/>
      <c r="N11278" s="33"/>
    </row>
    <row r="11279" spans="3:14" x14ac:dyDescent="0.3">
      <c r="C11279" s="54"/>
      <c r="N11279" s="33"/>
    </row>
    <row r="11280" spans="3:14" x14ac:dyDescent="0.3">
      <c r="C11280" s="54"/>
      <c r="N11280" s="33"/>
    </row>
    <row r="11281" spans="3:14" x14ac:dyDescent="0.3">
      <c r="C11281" s="54"/>
      <c r="N11281" s="33"/>
    </row>
    <row r="11282" spans="3:14" x14ac:dyDescent="0.3">
      <c r="C11282" s="54"/>
      <c r="N11282" s="33"/>
    </row>
    <row r="11283" spans="3:14" x14ac:dyDescent="0.3">
      <c r="C11283" s="54"/>
      <c r="N11283" s="33"/>
    </row>
    <row r="11284" spans="3:14" x14ac:dyDescent="0.3">
      <c r="C11284" s="54"/>
      <c r="N11284" s="33"/>
    </row>
    <row r="11285" spans="3:14" x14ac:dyDescent="0.3">
      <c r="C11285" s="54"/>
      <c r="N11285" s="33"/>
    </row>
    <row r="11286" spans="3:14" x14ac:dyDescent="0.3">
      <c r="C11286" s="54"/>
      <c r="N11286" s="33"/>
    </row>
    <row r="11287" spans="3:14" x14ac:dyDescent="0.3">
      <c r="C11287" s="54"/>
      <c r="N11287" s="33"/>
    </row>
    <row r="11288" spans="3:14" x14ac:dyDescent="0.3">
      <c r="C11288" s="54"/>
      <c r="N11288" s="33"/>
    </row>
    <row r="11289" spans="3:14" x14ac:dyDescent="0.3">
      <c r="C11289" s="54"/>
      <c r="N11289" s="33"/>
    </row>
    <row r="11290" spans="3:14" x14ac:dyDescent="0.3">
      <c r="C11290" s="54"/>
      <c r="N11290" s="33"/>
    </row>
    <row r="11291" spans="3:14" x14ac:dyDescent="0.3">
      <c r="C11291" s="54"/>
      <c r="N11291" s="33"/>
    </row>
    <row r="11292" spans="3:14" x14ac:dyDescent="0.3">
      <c r="C11292" s="54"/>
      <c r="N11292" s="33"/>
    </row>
    <row r="11293" spans="3:14" x14ac:dyDescent="0.3">
      <c r="C11293" s="54"/>
      <c r="N11293" s="33"/>
    </row>
    <row r="11294" spans="3:14" x14ac:dyDescent="0.3">
      <c r="C11294" s="54"/>
      <c r="N11294" s="33"/>
    </row>
    <row r="11295" spans="3:14" x14ac:dyDescent="0.3">
      <c r="C11295" s="54"/>
      <c r="N11295" s="33"/>
    </row>
    <row r="11296" spans="3:14" x14ac:dyDescent="0.3">
      <c r="C11296" s="54"/>
      <c r="N11296" s="33"/>
    </row>
    <row r="11297" spans="3:14" x14ac:dyDescent="0.3">
      <c r="C11297" s="54"/>
      <c r="N11297" s="33"/>
    </row>
    <row r="11298" spans="3:14" x14ac:dyDescent="0.3">
      <c r="C11298" s="54"/>
      <c r="N11298" s="33"/>
    </row>
    <row r="11299" spans="3:14" x14ac:dyDescent="0.3">
      <c r="C11299" s="54"/>
      <c r="N11299" s="33"/>
    </row>
    <row r="11300" spans="3:14" x14ac:dyDescent="0.3">
      <c r="C11300" s="54"/>
      <c r="N11300" s="33"/>
    </row>
    <row r="11301" spans="3:14" x14ac:dyDescent="0.3">
      <c r="C11301" s="54"/>
      <c r="N11301" s="33"/>
    </row>
    <row r="11302" spans="3:14" x14ac:dyDescent="0.3">
      <c r="C11302" s="54"/>
      <c r="N11302" s="33"/>
    </row>
    <row r="11303" spans="3:14" x14ac:dyDescent="0.3">
      <c r="C11303" s="54"/>
      <c r="N11303" s="33"/>
    </row>
    <row r="11304" spans="3:14" x14ac:dyDescent="0.3">
      <c r="C11304" s="54"/>
      <c r="N11304" s="33"/>
    </row>
    <row r="11305" spans="3:14" x14ac:dyDescent="0.3">
      <c r="C11305" s="54"/>
      <c r="N11305" s="33"/>
    </row>
    <row r="11306" spans="3:14" x14ac:dyDescent="0.3">
      <c r="C11306" s="54"/>
      <c r="N11306" s="33"/>
    </row>
    <row r="11307" spans="3:14" x14ac:dyDescent="0.3">
      <c r="C11307" s="54"/>
      <c r="N11307" s="33"/>
    </row>
    <row r="11308" spans="3:14" x14ac:dyDescent="0.3">
      <c r="C11308" s="54"/>
      <c r="N11308" s="33"/>
    </row>
    <row r="11309" spans="3:14" x14ac:dyDescent="0.3">
      <c r="C11309" s="54"/>
      <c r="N11309" s="33"/>
    </row>
    <row r="11310" spans="3:14" x14ac:dyDescent="0.3">
      <c r="C11310" s="54"/>
      <c r="N11310" s="33"/>
    </row>
    <row r="11311" spans="3:14" x14ac:dyDescent="0.3">
      <c r="C11311" s="54"/>
      <c r="N11311" s="33"/>
    </row>
    <row r="11312" spans="3:14" x14ac:dyDescent="0.3">
      <c r="C11312" s="54"/>
      <c r="N11312" s="33"/>
    </row>
    <row r="11313" spans="3:14" x14ac:dyDescent="0.3">
      <c r="C11313" s="54"/>
      <c r="N11313" s="33"/>
    </row>
    <row r="11314" spans="3:14" x14ac:dyDescent="0.3">
      <c r="C11314" s="54"/>
      <c r="N11314" s="33"/>
    </row>
    <row r="11315" spans="3:14" x14ac:dyDescent="0.3">
      <c r="C11315" s="54"/>
      <c r="N11315" s="33"/>
    </row>
    <row r="11316" spans="3:14" x14ac:dyDescent="0.3">
      <c r="C11316" s="54"/>
      <c r="N11316" s="33"/>
    </row>
    <row r="11317" spans="3:14" x14ac:dyDescent="0.3">
      <c r="C11317" s="54"/>
      <c r="N11317" s="33"/>
    </row>
    <row r="11318" spans="3:14" x14ac:dyDescent="0.3">
      <c r="C11318" s="54"/>
      <c r="N11318" s="33"/>
    </row>
    <row r="11319" spans="3:14" x14ac:dyDescent="0.3">
      <c r="C11319" s="54"/>
      <c r="N11319" s="33"/>
    </row>
    <row r="11320" spans="3:14" x14ac:dyDescent="0.3">
      <c r="C11320" s="54"/>
      <c r="N11320" s="33"/>
    </row>
    <row r="11321" spans="3:14" x14ac:dyDescent="0.3">
      <c r="C11321" s="54"/>
      <c r="N11321" s="33"/>
    </row>
    <row r="11322" spans="3:14" x14ac:dyDescent="0.3">
      <c r="C11322" s="54"/>
      <c r="N11322" s="33"/>
    </row>
    <row r="11323" spans="3:14" x14ac:dyDescent="0.3">
      <c r="C11323" s="54"/>
      <c r="N11323" s="33"/>
    </row>
    <row r="11324" spans="3:14" x14ac:dyDescent="0.3">
      <c r="C11324" s="54"/>
      <c r="N11324" s="33"/>
    </row>
    <row r="11325" spans="3:14" x14ac:dyDescent="0.3">
      <c r="C11325" s="54"/>
      <c r="N11325" s="33"/>
    </row>
    <row r="11326" spans="3:14" x14ac:dyDescent="0.3">
      <c r="C11326" s="54"/>
      <c r="N11326" s="33"/>
    </row>
    <row r="11327" spans="3:14" x14ac:dyDescent="0.3">
      <c r="C11327" s="54"/>
      <c r="N11327" s="33"/>
    </row>
    <row r="11328" spans="3:14" x14ac:dyDescent="0.3">
      <c r="C11328" s="54"/>
      <c r="N11328" s="33"/>
    </row>
    <row r="11329" spans="3:14" x14ac:dyDescent="0.3">
      <c r="C11329" s="54"/>
      <c r="N11329" s="33"/>
    </row>
    <row r="11330" spans="3:14" x14ac:dyDescent="0.3">
      <c r="C11330" s="54"/>
      <c r="N11330" s="33"/>
    </row>
    <row r="11331" spans="3:14" x14ac:dyDescent="0.3">
      <c r="C11331" s="54"/>
      <c r="N11331" s="33"/>
    </row>
    <row r="11332" spans="3:14" x14ac:dyDescent="0.3">
      <c r="C11332" s="54"/>
      <c r="N11332" s="33"/>
    </row>
    <row r="11333" spans="3:14" x14ac:dyDescent="0.3">
      <c r="C11333" s="54"/>
      <c r="N11333" s="33"/>
    </row>
    <row r="11334" spans="3:14" x14ac:dyDescent="0.3">
      <c r="C11334" s="54"/>
      <c r="N11334" s="33"/>
    </row>
    <row r="11335" spans="3:14" x14ac:dyDescent="0.3">
      <c r="C11335" s="54"/>
      <c r="N11335" s="33"/>
    </row>
    <row r="11336" spans="3:14" x14ac:dyDescent="0.3">
      <c r="C11336" s="54"/>
      <c r="N11336" s="33"/>
    </row>
    <row r="11337" spans="3:14" x14ac:dyDescent="0.3">
      <c r="C11337" s="54"/>
      <c r="N11337" s="33"/>
    </row>
    <row r="11338" spans="3:14" x14ac:dyDescent="0.3">
      <c r="C11338" s="54"/>
      <c r="N11338" s="33"/>
    </row>
    <row r="11339" spans="3:14" x14ac:dyDescent="0.3">
      <c r="C11339" s="54"/>
      <c r="N11339" s="33"/>
    </row>
    <row r="11340" spans="3:14" x14ac:dyDescent="0.3">
      <c r="C11340" s="54"/>
      <c r="N11340" s="33"/>
    </row>
    <row r="11341" spans="3:14" x14ac:dyDescent="0.3">
      <c r="C11341" s="54"/>
      <c r="N11341" s="33"/>
    </row>
    <row r="11342" spans="3:14" x14ac:dyDescent="0.3">
      <c r="C11342" s="54"/>
      <c r="N11342" s="33"/>
    </row>
    <row r="11343" spans="3:14" x14ac:dyDescent="0.3">
      <c r="C11343" s="54"/>
      <c r="N11343" s="33"/>
    </row>
    <row r="11344" spans="3:14" x14ac:dyDescent="0.3">
      <c r="C11344" s="54"/>
      <c r="N11344" s="33"/>
    </row>
    <row r="11345" spans="3:14" x14ac:dyDescent="0.3">
      <c r="C11345" s="54"/>
      <c r="N11345" s="33"/>
    </row>
    <row r="11346" spans="3:14" x14ac:dyDescent="0.3">
      <c r="C11346" s="54"/>
      <c r="N11346" s="33"/>
    </row>
    <row r="11347" spans="3:14" x14ac:dyDescent="0.3">
      <c r="C11347" s="54"/>
      <c r="N11347" s="33"/>
    </row>
    <row r="11348" spans="3:14" x14ac:dyDescent="0.3">
      <c r="C11348" s="54"/>
      <c r="N11348" s="33"/>
    </row>
    <row r="11349" spans="3:14" x14ac:dyDescent="0.3">
      <c r="C11349" s="54"/>
      <c r="N11349" s="33"/>
    </row>
    <row r="11350" spans="3:14" x14ac:dyDescent="0.3">
      <c r="C11350" s="54"/>
      <c r="N11350" s="33"/>
    </row>
    <row r="11351" spans="3:14" x14ac:dyDescent="0.3">
      <c r="C11351" s="54"/>
      <c r="N11351" s="33"/>
    </row>
    <row r="11352" spans="3:14" x14ac:dyDescent="0.3">
      <c r="C11352" s="54"/>
      <c r="N11352" s="33"/>
    </row>
    <row r="11353" spans="3:14" x14ac:dyDescent="0.3">
      <c r="C11353" s="54"/>
      <c r="N11353" s="33"/>
    </row>
    <row r="11354" spans="3:14" x14ac:dyDescent="0.3">
      <c r="C11354" s="54"/>
      <c r="N11354" s="33"/>
    </row>
    <row r="11355" spans="3:14" x14ac:dyDescent="0.3">
      <c r="C11355" s="54"/>
      <c r="N11355" s="33"/>
    </row>
    <row r="11356" spans="3:14" x14ac:dyDescent="0.3">
      <c r="C11356" s="54"/>
      <c r="N11356" s="33"/>
    </row>
    <row r="11357" spans="3:14" x14ac:dyDescent="0.3">
      <c r="C11357" s="54"/>
      <c r="N11357" s="33"/>
    </row>
    <row r="11358" spans="3:14" x14ac:dyDescent="0.3">
      <c r="C11358" s="54"/>
      <c r="N11358" s="33"/>
    </row>
    <row r="11359" spans="3:14" x14ac:dyDescent="0.3">
      <c r="C11359" s="54"/>
      <c r="N11359" s="33"/>
    </row>
    <row r="11360" spans="3:14" x14ac:dyDescent="0.3">
      <c r="C11360" s="54"/>
      <c r="N11360" s="33"/>
    </row>
    <row r="11361" spans="3:14" x14ac:dyDescent="0.3">
      <c r="C11361" s="54"/>
      <c r="N11361" s="33"/>
    </row>
    <row r="11362" spans="3:14" x14ac:dyDescent="0.3">
      <c r="C11362" s="54"/>
      <c r="N11362" s="33"/>
    </row>
    <row r="11363" spans="3:14" x14ac:dyDescent="0.3">
      <c r="C11363" s="54"/>
      <c r="N11363" s="33"/>
    </row>
    <row r="11364" spans="3:14" x14ac:dyDescent="0.3">
      <c r="C11364" s="54"/>
      <c r="N11364" s="33"/>
    </row>
    <row r="11365" spans="3:14" x14ac:dyDescent="0.3">
      <c r="C11365" s="54"/>
      <c r="N11365" s="33"/>
    </row>
    <row r="11366" spans="3:14" x14ac:dyDescent="0.3">
      <c r="C11366" s="54"/>
      <c r="N11366" s="33"/>
    </row>
    <row r="11367" spans="3:14" x14ac:dyDescent="0.3">
      <c r="C11367" s="54"/>
      <c r="N11367" s="33"/>
    </row>
    <row r="11368" spans="3:14" x14ac:dyDescent="0.3">
      <c r="C11368" s="54"/>
      <c r="N11368" s="33"/>
    </row>
    <row r="11369" spans="3:14" x14ac:dyDescent="0.3">
      <c r="C11369" s="54"/>
      <c r="N11369" s="33"/>
    </row>
    <row r="11370" spans="3:14" x14ac:dyDescent="0.3">
      <c r="C11370" s="54"/>
      <c r="N11370" s="33"/>
    </row>
    <row r="11371" spans="3:14" x14ac:dyDescent="0.3">
      <c r="C11371" s="54"/>
      <c r="N11371" s="33"/>
    </row>
    <row r="11372" spans="3:14" x14ac:dyDescent="0.3">
      <c r="C11372" s="54"/>
      <c r="N11372" s="33"/>
    </row>
    <row r="11373" spans="3:14" x14ac:dyDescent="0.3">
      <c r="C11373" s="54"/>
      <c r="N11373" s="33"/>
    </row>
    <row r="11374" spans="3:14" x14ac:dyDescent="0.3">
      <c r="C11374" s="54"/>
      <c r="N11374" s="33"/>
    </row>
    <row r="11375" spans="3:14" x14ac:dyDescent="0.3">
      <c r="C11375" s="54"/>
      <c r="N11375" s="33"/>
    </row>
    <row r="11376" spans="3:14" x14ac:dyDescent="0.3">
      <c r="C11376" s="54"/>
      <c r="N11376" s="33"/>
    </row>
    <row r="11377" spans="3:14" x14ac:dyDescent="0.3">
      <c r="C11377" s="54"/>
      <c r="N11377" s="33"/>
    </row>
    <row r="11378" spans="3:14" x14ac:dyDescent="0.3">
      <c r="C11378" s="54"/>
      <c r="N11378" s="33"/>
    </row>
    <row r="11379" spans="3:14" x14ac:dyDescent="0.3">
      <c r="C11379" s="54"/>
      <c r="N11379" s="33"/>
    </row>
    <row r="11380" spans="3:14" x14ac:dyDescent="0.3">
      <c r="C11380" s="54"/>
      <c r="N11380" s="33"/>
    </row>
    <row r="11381" spans="3:14" x14ac:dyDescent="0.3">
      <c r="C11381" s="54"/>
      <c r="N11381" s="33"/>
    </row>
    <row r="11382" spans="3:14" x14ac:dyDescent="0.3">
      <c r="C11382" s="54"/>
      <c r="N11382" s="33"/>
    </row>
    <row r="11383" spans="3:14" x14ac:dyDescent="0.3">
      <c r="C11383" s="54"/>
      <c r="N11383" s="33"/>
    </row>
    <row r="11384" spans="3:14" x14ac:dyDescent="0.3">
      <c r="C11384" s="54"/>
      <c r="N11384" s="33"/>
    </row>
    <row r="11385" spans="3:14" x14ac:dyDescent="0.3">
      <c r="C11385" s="54"/>
      <c r="N11385" s="33"/>
    </row>
    <row r="11386" spans="3:14" x14ac:dyDescent="0.3">
      <c r="C11386" s="54"/>
      <c r="N11386" s="33"/>
    </row>
    <row r="11387" spans="3:14" x14ac:dyDescent="0.3">
      <c r="C11387" s="54"/>
      <c r="N11387" s="33"/>
    </row>
    <row r="11388" spans="3:14" x14ac:dyDescent="0.3">
      <c r="C11388" s="54"/>
      <c r="N11388" s="33"/>
    </row>
    <row r="11389" spans="3:14" x14ac:dyDescent="0.3">
      <c r="C11389" s="54"/>
      <c r="N11389" s="33"/>
    </row>
    <row r="11390" spans="3:14" x14ac:dyDescent="0.3">
      <c r="C11390" s="54"/>
      <c r="N11390" s="33"/>
    </row>
    <row r="11391" spans="3:14" x14ac:dyDescent="0.3">
      <c r="C11391" s="54"/>
      <c r="N11391" s="33"/>
    </row>
    <row r="11392" spans="3:14" x14ac:dyDescent="0.3">
      <c r="C11392" s="54"/>
      <c r="N11392" s="33"/>
    </row>
    <row r="11393" spans="3:14" x14ac:dyDescent="0.3">
      <c r="C11393" s="54"/>
      <c r="N11393" s="33"/>
    </row>
    <row r="11394" spans="3:14" x14ac:dyDescent="0.3">
      <c r="C11394" s="54"/>
      <c r="N11394" s="33"/>
    </row>
    <row r="11395" spans="3:14" x14ac:dyDescent="0.3">
      <c r="C11395" s="54"/>
      <c r="N11395" s="33"/>
    </row>
    <row r="11396" spans="3:14" x14ac:dyDescent="0.3">
      <c r="C11396" s="54"/>
      <c r="N11396" s="33"/>
    </row>
    <row r="11397" spans="3:14" x14ac:dyDescent="0.3">
      <c r="C11397" s="54"/>
      <c r="N11397" s="33"/>
    </row>
    <row r="11398" spans="3:14" x14ac:dyDescent="0.3">
      <c r="C11398" s="54"/>
      <c r="N11398" s="33"/>
    </row>
    <row r="11399" spans="3:14" x14ac:dyDescent="0.3">
      <c r="C11399" s="54"/>
      <c r="N11399" s="33"/>
    </row>
    <row r="11400" spans="3:14" x14ac:dyDescent="0.3">
      <c r="C11400" s="54"/>
      <c r="N11400" s="33"/>
    </row>
    <row r="11401" spans="3:14" x14ac:dyDescent="0.3">
      <c r="C11401" s="54"/>
      <c r="N11401" s="33"/>
    </row>
    <row r="11402" spans="3:14" x14ac:dyDescent="0.3">
      <c r="C11402" s="54"/>
      <c r="N11402" s="33"/>
    </row>
    <row r="11403" spans="3:14" x14ac:dyDescent="0.3">
      <c r="C11403" s="54"/>
      <c r="N11403" s="33"/>
    </row>
    <row r="11404" spans="3:14" x14ac:dyDescent="0.3">
      <c r="C11404" s="54"/>
      <c r="N11404" s="33"/>
    </row>
    <row r="11405" spans="3:14" x14ac:dyDescent="0.3">
      <c r="C11405" s="54"/>
      <c r="N11405" s="33"/>
    </row>
    <row r="11406" spans="3:14" x14ac:dyDescent="0.3">
      <c r="C11406" s="54"/>
      <c r="N11406" s="33"/>
    </row>
    <row r="11407" spans="3:14" x14ac:dyDescent="0.3">
      <c r="C11407" s="54"/>
      <c r="N11407" s="33"/>
    </row>
    <row r="11408" spans="3:14" x14ac:dyDescent="0.3">
      <c r="C11408" s="54"/>
      <c r="N11408" s="33"/>
    </row>
    <row r="11409" spans="3:14" x14ac:dyDescent="0.3">
      <c r="C11409" s="54"/>
      <c r="N11409" s="33"/>
    </row>
    <row r="11410" spans="3:14" x14ac:dyDescent="0.3">
      <c r="C11410" s="54"/>
      <c r="N11410" s="33"/>
    </row>
    <row r="11411" spans="3:14" x14ac:dyDescent="0.3">
      <c r="C11411" s="54"/>
      <c r="N11411" s="33"/>
    </row>
    <row r="11412" spans="3:14" x14ac:dyDescent="0.3">
      <c r="C11412" s="54"/>
      <c r="N11412" s="33"/>
    </row>
    <row r="11413" spans="3:14" x14ac:dyDescent="0.3">
      <c r="C11413" s="54"/>
      <c r="N11413" s="33"/>
    </row>
    <row r="11414" spans="3:14" x14ac:dyDescent="0.3">
      <c r="C11414" s="54"/>
      <c r="N11414" s="33"/>
    </row>
    <row r="11415" spans="3:14" x14ac:dyDescent="0.3">
      <c r="C11415" s="54"/>
      <c r="N11415" s="33"/>
    </row>
    <row r="11416" spans="3:14" x14ac:dyDescent="0.3">
      <c r="C11416" s="54"/>
      <c r="N11416" s="33"/>
    </row>
    <row r="11417" spans="3:14" x14ac:dyDescent="0.3">
      <c r="C11417" s="54"/>
      <c r="N11417" s="33"/>
    </row>
    <row r="11418" spans="3:14" x14ac:dyDescent="0.3">
      <c r="C11418" s="54"/>
      <c r="N11418" s="33"/>
    </row>
    <row r="11419" spans="3:14" x14ac:dyDescent="0.3">
      <c r="C11419" s="54"/>
      <c r="N11419" s="33"/>
    </row>
    <row r="11420" spans="3:14" x14ac:dyDescent="0.3">
      <c r="C11420" s="54"/>
      <c r="N11420" s="33"/>
    </row>
    <row r="11421" spans="3:14" x14ac:dyDescent="0.3">
      <c r="C11421" s="54"/>
      <c r="N11421" s="33"/>
    </row>
    <row r="11422" spans="3:14" x14ac:dyDescent="0.3">
      <c r="C11422" s="54"/>
      <c r="N11422" s="33"/>
    </row>
    <row r="11423" spans="3:14" x14ac:dyDescent="0.3">
      <c r="C11423" s="54"/>
      <c r="N11423" s="33"/>
    </row>
    <row r="11424" spans="3:14" x14ac:dyDescent="0.3">
      <c r="C11424" s="54"/>
      <c r="N11424" s="33"/>
    </row>
    <row r="11425" spans="3:14" x14ac:dyDescent="0.3">
      <c r="C11425" s="54"/>
      <c r="N11425" s="33"/>
    </row>
    <row r="11426" spans="3:14" x14ac:dyDescent="0.3">
      <c r="C11426" s="54"/>
      <c r="N11426" s="33"/>
    </row>
    <row r="11427" spans="3:14" x14ac:dyDescent="0.3">
      <c r="C11427" s="54"/>
      <c r="N11427" s="33"/>
    </row>
    <row r="11428" spans="3:14" x14ac:dyDescent="0.3">
      <c r="C11428" s="54"/>
      <c r="N11428" s="33"/>
    </row>
    <row r="11429" spans="3:14" x14ac:dyDescent="0.3">
      <c r="C11429" s="54"/>
      <c r="N11429" s="33"/>
    </row>
    <row r="11430" spans="3:14" x14ac:dyDescent="0.3">
      <c r="C11430" s="54"/>
      <c r="N11430" s="33"/>
    </row>
    <row r="11431" spans="3:14" x14ac:dyDescent="0.3">
      <c r="C11431" s="54"/>
      <c r="N11431" s="33"/>
    </row>
    <row r="11432" spans="3:14" x14ac:dyDescent="0.3">
      <c r="C11432" s="54"/>
      <c r="N11432" s="33"/>
    </row>
    <row r="11433" spans="3:14" x14ac:dyDescent="0.3">
      <c r="C11433" s="54"/>
      <c r="N11433" s="33"/>
    </row>
    <row r="11434" spans="3:14" x14ac:dyDescent="0.3">
      <c r="C11434" s="54"/>
      <c r="N11434" s="33"/>
    </row>
    <row r="11435" spans="3:14" x14ac:dyDescent="0.3">
      <c r="C11435" s="54"/>
      <c r="N11435" s="33"/>
    </row>
    <row r="11436" spans="3:14" x14ac:dyDescent="0.3">
      <c r="C11436" s="54"/>
      <c r="N11436" s="33"/>
    </row>
    <row r="11437" spans="3:14" x14ac:dyDescent="0.3">
      <c r="C11437" s="54"/>
      <c r="N11437" s="33"/>
    </row>
    <row r="11438" spans="3:14" x14ac:dyDescent="0.3">
      <c r="C11438" s="54"/>
      <c r="N11438" s="33"/>
    </row>
    <row r="11439" spans="3:14" x14ac:dyDescent="0.3">
      <c r="C11439" s="54"/>
      <c r="N11439" s="33"/>
    </row>
    <row r="11440" spans="3:14" x14ac:dyDescent="0.3">
      <c r="C11440" s="54"/>
      <c r="N11440" s="33"/>
    </row>
    <row r="11441" spans="3:14" x14ac:dyDescent="0.3">
      <c r="C11441" s="54"/>
      <c r="N11441" s="33"/>
    </row>
    <row r="11442" spans="3:14" x14ac:dyDescent="0.3">
      <c r="C11442" s="54"/>
      <c r="N11442" s="33"/>
    </row>
    <row r="11443" spans="3:14" x14ac:dyDescent="0.3">
      <c r="C11443" s="54"/>
      <c r="N11443" s="33"/>
    </row>
    <row r="11444" spans="3:14" x14ac:dyDescent="0.3">
      <c r="C11444" s="54"/>
      <c r="N11444" s="33"/>
    </row>
    <row r="11445" spans="3:14" x14ac:dyDescent="0.3">
      <c r="C11445" s="54"/>
      <c r="N11445" s="33"/>
    </row>
    <row r="11446" spans="3:14" x14ac:dyDescent="0.3">
      <c r="C11446" s="54"/>
      <c r="N11446" s="33"/>
    </row>
    <row r="11447" spans="3:14" x14ac:dyDescent="0.3">
      <c r="C11447" s="54"/>
      <c r="N11447" s="33"/>
    </row>
    <row r="11448" spans="3:14" x14ac:dyDescent="0.3">
      <c r="C11448" s="54"/>
      <c r="N11448" s="33"/>
    </row>
    <row r="11449" spans="3:14" x14ac:dyDescent="0.3">
      <c r="C11449" s="54"/>
      <c r="N11449" s="33"/>
    </row>
    <row r="11450" spans="3:14" x14ac:dyDescent="0.3">
      <c r="C11450" s="54"/>
      <c r="N11450" s="33"/>
    </row>
    <row r="11451" spans="3:14" x14ac:dyDescent="0.3">
      <c r="C11451" s="54"/>
      <c r="N11451" s="33"/>
    </row>
    <row r="11452" spans="3:14" x14ac:dyDescent="0.3">
      <c r="C11452" s="54"/>
      <c r="N11452" s="33"/>
    </row>
    <row r="11453" spans="3:14" x14ac:dyDescent="0.3">
      <c r="C11453" s="54"/>
      <c r="N11453" s="33"/>
    </row>
    <row r="11454" spans="3:14" x14ac:dyDescent="0.3">
      <c r="C11454" s="54"/>
      <c r="N11454" s="33"/>
    </row>
    <row r="11455" spans="3:14" x14ac:dyDescent="0.3">
      <c r="C11455" s="54"/>
      <c r="N11455" s="33"/>
    </row>
    <row r="11456" spans="3:14" x14ac:dyDescent="0.3">
      <c r="C11456" s="54"/>
      <c r="N11456" s="33"/>
    </row>
    <row r="11457" spans="3:14" x14ac:dyDescent="0.3">
      <c r="C11457" s="54"/>
      <c r="N11457" s="33"/>
    </row>
    <row r="11458" spans="3:14" x14ac:dyDescent="0.3">
      <c r="C11458" s="54"/>
      <c r="N11458" s="33"/>
    </row>
    <row r="11459" spans="3:14" x14ac:dyDescent="0.3">
      <c r="C11459" s="54"/>
      <c r="N11459" s="33"/>
    </row>
    <row r="11460" spans="3:14" x14ac:dyDescent="0.3">
      <c r="C11460" s="54"/>
      <c r="N11460" s="33"/>
    </row>
    <row r="11461" spans="3:14" x14ac:dyDescent="0.3">
      <c r="C11461" s="54"/>
      <c r="N11461" s="33"/>
    </row>
    <row r="11462" spans="3:14" x14ac:dyDescent="0.3">
      <c r="C11462" s="54"/>
      <c r="N11462" s="33"/>
    </row>
    <row r="11463" spans="3:14" x14ac:dyDescent="0.3">
      <c r="C11463" s="54"/>
      <c r="N11463" s="33"/>
    </row>
    <row r="11464" spans="3:14" x14ac:dyDescent="0.3">
      <c r="C11464" s="54"/>
      <c r="N11464" s="33"/>
    </row>
    <row r="11465" spans="3:14" x14ac:dyDescent="0.3">
      <c r="C11465" s="54"/>
      <c r="N11465" s="33"/>
    </row>
    <row r="11466" spans="3:14" x14ac:dyDescent="0.3">
      <c r="C11466" s="54"/>
      <c r="N11466" s="33"/>
    </row>
    <row r="11467" spans="3:14" x14ac:dyDescent="0.3">
      <c r="C11467" s="54"/>
      <c r="N11467" s="33"/>
    </row>
    <row r="11468" spans="3:14" x14ac:dyDescent="0.3">
      <c r="C11468" s="54"/>
      <c r="N11468" s="33"/>
    </row>
    <row r="11469" spans="3:14" x14ac:dyDescent="0.3">
      <c r="C11469" s="54"/>
      <c r="N11469" s="33"/>
    </row>
    <row r="11470" spans="3:14" x14ac:dyDescent="0.3">
      <c r="C11470" s="54"/>
      <c r="N11470" s="33"/>
    </row>
    <row r="11471" spans="3:14" x14ac:dyDescent="0.3">
      <c r="C11471" s="54"/>
      <c r="N11471" s="33"/>
    </row>
    <row r="11472" spans="3:14" x14ac:dyDescent="0.3">
      <c r="C11472" s="54"/>
      <c r="N11472" s="33"/>
    </row>
    <row r="11473" spans="3:14" x14ac:dyDescent="0.3">
      <c r="C11473" s="54"/>
      <c r="N11473" s="33"/>
    </row>
    <row r="11474" spans="3:14" x14ac:dyDescent="0.3">
      <c r="C11474" s="54"/>
      <c r="N11474" s="33"/>
    </row>
    <row r="11475" spans="3:14" x14ac:dyDescent="0.3">
      <c r="C11475" s="54"/>
      <c r="N11475" s="33"/>
    </row>
    <row r="11476" spans="3:14" x14ac:dyDescent="0.3">
      <c r="C11476" s="54"/>
      <c r="N11476" s="33"/>
    </row>
    <row r="11477" spans="3:14" x14ac:dyDescent="0.3">
      <c r="C11477" s="54"/>
      <c r="N11477" s="33"/>
    </row>
    <row r="11478" spans="3:14" x14ac:dyDescent="0.3">
      <c r="C11478" s="54"/>
      <c r="N11478" s="33"/>
    </row>
    <row r="11479" spans="3:14" x14ac:dyDescent="0.3">
      <c r="C11479" s="54"/>
      <c r="N11479" s="33"/>
    </row>
    <row r="11480" spans="3:14" x14ac:dyDescent="0.3">
      <c r="C11480" s="54"/>
      <c r="N11480" s="33"/>
    </row>
    <row r="11481" spans="3:14" x14ac:dyDescent="0.3">
      <c r="C11481" s="54"/>
      <c r="N11481" s="33"/>
    </row>
    <row r="11482" spans="3:14" x14ac:dyDescent="0.3">
      <c r="C11482" s="54"/>
      <c r="N11482" s="33"/>
    </row>
    <row r="11483" spans="3:14" x14ac:dyDescent="0.3">
      <c r="C11483" s="54"/>
      <c r="N11483" s="33"/>
    </row>
    <row r="11484" spans="3:14" x14ac:dyDescent="0.3">
      <c r="C11484" s="54"/>
      <c r="N11484" s="33"/>
    </row>
    <row r="11485" spans="3:14" x14ac:dyDescent="0.3">
      <c r="C11485" s="54"/>
      <c r="N11485" s="33"/>
    </row>
    <row r="11486" spans="3:14" x14ac:dyDescent="0.3">
      <c r="C11486" s="54"/>
      <c r="N11486" s="33"/>
    </row>
    <row r="11487" spans="3:14" x14ac:dyDescent="0.3">
      <c r="C11487" s="54"/>
      <c r="N11487" s="33"/>
    </row>
    <row r="11488" spans="3:14" x14ac:dyDescent="0.3">
      <c r="C11488" s="54"/>
      <c r="N11488" s="33"/>
    </row>
    <row r="11489" spans="3:14" x14ac:dyDescent="0.3">
      <c r="C11489" s="54"/>
      <c r="N11489" s="33"/>
    </row>
    <row r="11490" spans="3:14" x14ac:dyDescent="0.3">
      <c r="C11490" s="54"/>
      <c r="N11490" s="33"/>
    </row>
    <row r="11491" spans="3:14" x14ac:dyDescent="0.3">
      <c r="C11491" s="54"/>
      <c r="N11491" s="33"/>
    </row>
    <row r="11492" spans="3:14" x14ac:dyDescent="0.3">
      <c r="C11492" s="54"/>
      <c r="N11492" s="33"/>
    </row>
    <row r="11493" spans="3:14" x14ac:dyDescent="0.3">
      <c r="C11493" s="54"/>
      <c r="N11493" s="33"/>
    </row>
    <row r="11494" spans="3:14" x14ac:dyDescent="0.3">
      <c r="C11494" s="54"/>
      <c r="N11494" s="33"/>
    </row>
    <row r="11495" spans="3:14" x14ac:dyDescent="0.3">
      <c r="C11495" s="54"/>
      <c r="N11495" s="33"/>
    </row>
    <row r="11496" spans="3:14" x14ac:dyDescent="0.3">
      <c r="C11496" s="54"/>
      <c r="N11496" s="33"/>
    </row>
    <row r="11497" spans="3:14" x14ac:dyDescent="0.3">
      <c r="C11497" s="54"/>
      <c r="N11497" s="33"/>
    </row>
    <row r="11498" spans="3:14" x14ac:dyDescent="0.3">
      <c r="C11498" s="54"/>
      <c r="N11498" s="33"/>
    </row>
    <row r="11499" spans="3:14" x14ac:dyDescent="0.3">
      <c r="C11499" s="54"/>
      <c r="N11499" s="33"/>
    </row>
    <row r="11500" spans="3:14" x14ac:dyDescent="0.3">
      <c r="C11500" s="54"/>
      <c r="N11500" s="33"/>
    </row>
    <row r="11501" spans="3:14" x14ac:dyDescent="0.3">
      <c r="C11501" s="54"/>
      <c r="N11501" s="33"/>
    </row>
    <row r="11502" spans="3:14" x14ac:dyDescent="0.3">
      <c r="C11502" s="54"/>
      <c r="N11502" s="33"/>
    </row>
    <row r="11503" spans="3:14" x14ac:dyDescent="0.3">
      <c r="C11503" s="54"/>
      <c r="N11503" s="33"/>
    </row>
    <row r="11504" spans="3:14" x14ac:dyDescent="0.3">
      <c r="C11504" s="54"/>
      <c r="N11504" s="33"/>
    </row>
    <row r="11505" spans="3:14" x14ac:dyDescent="0.3">
      <c r="C11505" s="54"/>
      <c r="N11505" s="33"/>
    </row>
    <row r="11506" spans="3:14" x14ac:dyDescent="0.3">
      <c r="C11506" s="54"/>
      <c r="N11506" s="33"/>
    </row>
    <row r="11507" spans="3:14" x14ac:dyDescent="0.3">
      <c r="C11507" s="54"/>
      <c r="N11507" s="33"/>
    </row>
    <row r="11508" spans="3:14" x14ac:dyDescent="0.3">
      <c r="C11508" s="54"/>
      <c r="N11508" s="33"/>
    </row>
    <row r="11509" spans="3:14" x14ac:dyDescent="0.3">
      <c r="C11509" s="54"/>
      <c r="N11509" s="33"/>
    </row>
    <row r="11510" spans="3:14" x14ac:dyDescent="0.3">
      <c r="C11510" s="54"/>
      <c r="N11510" s="33"/>
    </row>
    <row r="11511" spans="3:14" x14ac:dyDescent="0.3">
      <c r="C11511" s="54"/>
      <c r="N11511" s="33"/>
    </row>
    <row r="11512" spans="3:14" x14ac:dyDescent="0.3">
      <c r="C11512" s="54"/>
      <c r="N11512" s="33"/>
    </row>
    <row r="11513" spans="3:14" x14ac:dyDescent="0.3">
      <c r="C11513" s="54"/>
      <c r="N11513" s="33"/>
    </row>
    <row r="11514" spans="3:14" x14ac:dyDescent="0.3">
      <c r="C11514" s="54"/>
      <c r="N11514" s="33"/>
    </row>
    <row r="11515" spans="3:14" x14ac:dyDescent="0.3">
      <c r="C11515" s="54"/>
      <c r="N11515" s="33"/>
    </row>
    <row r="11516" spans="3:14" x14ac:dyDescent="0.3">
      <c r="C11516" s="54"/>
      <c r="N11516" s="33"/>
    </row>
    <row r="11517" spans="3:14" x14ac:dyDescent="0.3">
      <c r="C11517" s="54"/>
      <c r="N11517" s="33"/>
    </row>
    <row r="11518" spans="3:14" x14ac:dyDescent="0.3">
      <c r="C11518" s="54"/>
      <c r="N11518" s="33"/>
    </row>
    <row r="11519" spans="3:14" x14ac:dyDescent="0.3">
      <c r="C11519" s="54"/>
      <c r="N11519" s="33"/>
    </row>
    <row r="11520" spans="3:14" x14ac:dyDescent="0.3">
      <c r="C11520" s="54"/>
      <c r="N11520" s="33"/>
    </row>
    <row r="11521" spans="3:14" x14ac:dyDescent="0.3">
      <c r="C11521" s="54"/>
      <c r="N11521" s="33"/>
    </row>
    <row r="11522" spans="3:14" x14ac:dyDescent="0.3">
      <c r="C11522" s="54"/>
      <c r="N11522" s="33"/>
    </row>
    <row r="11523" spans="3:14" x14ac:dyDescent="0.3">
      <c r="C11523" s="54"/>
      <c r="N11523" s="33"/>
    </row>
    <row r="11524" spans="3:14" x14ac:dyDescent="0.3">
      <c r="C11524" s="54"/>
      <c r="N11524" s="33"/>
    </row>
    <row r="11525" spans="3:14" x14ac:dyDescent="0.3">
      <c r="C11525" s="54"/>
      <c r="N11525" s="33"/>
    </row>
    <row r="11526" spans="3:14" x14ac:dyDescent="0.3">
      <c r="C11526" s="54"/>
      <c r="N11526" s="33"/>
    </row>
    <row r="11527" spans="3:14" x14ac:dyDescent="0.3">
      <c r="C11527" s="54"/>
      <c r="N11527" s="33"/>
    </row>
    <row r="11528" spans="3:14" x14ac:dyDescent="0.3">
      <c r="C11528" s="54"/>
      <c r="N11528" s="33"/>
    </row>
    <row r="11529" spans="3:14" x14ac:dyDescent="0.3">
      <c r="C11529" s="54"/>
      <c r="N11529" s="33"/>
    </row>
    <row r="11530" spans="3:14" x14ac:dyDescent="0.3">
      <c r="C11530" s="54"/>
      <c r="N11530" s="33"/>
    </row>
    <row r="11531" spans="3:14" x14ac:dyDescent="0.3">
      <c r="C11531" s="54"/>
      <c r="N11531" s="33"/>
    </row>
    <row r="11532" spans="3:14" x14ac:dyDescent="0.3">
      <c r="C11532" s="54"/>
      <c r="N11532" s="33"/>
    </row>
    <row r="11533" spans="3:14" x14ac:dyDescent="0.3">
      <c r="C11533" s="54"/>
      <c r="N11533" s="33"/>
    </row>
    <row r="11534" spans="3:14" x14ac:dyDescent="0.3">
      <c r="C11534" s="54"/>
      <c r="N11534" s="33"/>
    </row>
    <row r="11535" spans="3:14" x14ac:dyDescent="0.3">
      <c r="C11535" s="54"/>
      <c r="N11535" s="33"/>
    </row>
    <row r="11536" spans="3:14" x14ac:dyDescent="0.3">
      <c r="C11536" s="54"/>
      <c r="N11536" s="33"/>
    </row>
    <row r="11537" spans="3:14" x14ac:dyDescent="0.3">
      <c r="C11537" s="54"/>
      <c r="N11537" s="33"/>
    </row>
    <row r="11538" spans="3:14" x14ac:dyDescent="0.3">
      <c r="C11538" s="54"/>
      <c r="N11538" s="33"/>
    </row>
    <row r="11539" spans="3:14" x14ac:dyDescent="0.3">
      <c r="C11539" s="54"/>
      <c r="N11539" s="33"/>
    </row>
    <row r="11540" spans="3:14" x14ac:dyDescent="0.3">
      <c r="C11540" s="54"/>
      <c r="N11540" s="33"/>
    </row>
    <row r="11541" spans="3:14" x14ac:dyDescent="0.3">
      <c r="C11541" s="54"/>
      <c r="N11541" s="33"/>
    </row>
    <row r="11542" spans="3:14" x14ac:dyDescent="0.3">
      <c r="C11542" s="54"/>
      <c r="N11542" s="33"/>
    </row>
    <row r="11543" spans="3:14" x14ac:dyDescent="0.3">
      <c r="C11543" s="54"/>
      <c r="N11543" s="33"/>
    </row>
    <row r="11544" spans="3:14" x14ac:dyDescent="0.3">
      <c r="C11544" s="54"/>
      <c r="N11544" s="33"/>
    </row>
    <row r="11545" spans="3:14" x14ac:dyDescent="0.3">
      <c r="C11545" s="54"/>
      <c r="N11545" s="33"/>
    </row>
    <row r="11546" spans="3:14" x14ac:dyDescent="0.3">
      <c r="C11546" s="54"/>
      <c r="N11546" s="33"/>
    </row>
    <row r="11547" spans="3:14" x14ac:dyDescent="0.3">
      <c r="C11547" s="54"/>
      <c r="N11547" s="33"/>
    </row>
    <row r="11548" spans="3:14" x14ac:dyDescent="0.3">
      <c r="C11548" s="54"/>
      <c r="N11548" s="33"/>
    </row>
    <row r="11549" spans="3:14" x14ac:dyDescent="0.3">
      <c r="C11549" s="54"/>
      <c r="N11549" s="33"/>
    </row>
    <row r="11550" spans="3:14" x14ac:dyDescent="0.3">
      <c r="C11550" s="54"/>
      <c r="N11550" s="33"/>
    </row>
    <row r="11551" spans="3:14" x14ac:dyDescent="0.3">
      <c r="C11551" s="54"/>
      <c r="N11551" s="33"/>
    </row>
    <row r="11552" spans="3:14" x14ac:dyDescent="0.3">
      <c r="C11552" s="54"/>
      <c r="N11552" s="33"/>
    </row>
    <row r="11553" spans="3:14" x14ac:dyDescent="0.3">
      <c r="C11553" s="54"/>
      <c r="N11553" s="33"/>
    </row>
    <row r="11554" spans="3:14" x14ac:dyDescent="0.3">
      <c r="C11554" s="54"/>
      <c r="N11554" s="33"/>
    </row>
    <row r="11555" spans="3:14" x14ac:dyDescent="0.3">
      <c r="C11555" s="54"/>
      <c r="N11555" s="33"/>
    </row>
    <row r="11556" spans="3:14" x14ac:dyDescent="0.3">
      <c r="C11556" s="54"/>
      <c r="N11556" s="33"/>
    </row>
    <row r="11557" spans="3:14" x14ac:dyDescent="0.3">
      <c r="C11557" s="54"/>
      <c r="N11557" s="33"/>
    </row>
    <row r="11558" spans="3:14" x14ac:dyDescent="0.3">
      <c r="C11558" s="54"/>
      <c r="N11558" s="33"/>
    </row>
    <row r="11559" spans="3:14" x14ac:dyDescent="0.3">
      <c r="C11559" s="54"/>
      <c r="N11559" s="33"/>
    </row>
    <row r="11560" spans="3:14" x14ac:dyDescent="0.3">
      <c r="C11560" s="54"/>
      <c r="N11560" s="33"/>
    </row>
    <row r="11561" spans="3:14" x14ac:dyDescent="0.3">
      <c r="C11561" s="54"/>
      <c r="N11561" s="33"/>
    </row>
    <row r="11562" spans="3:14" x14ac:dyDescent="0.3">
      <c r="C11562" s="54"/>
      <c r="N11562" s="33"/>
    </row>
    <row r="11563" spans="3:14" x14ac:dyDescent="0.3">
      <c r="C11563" s="54"/>
      <c r="N11563" s="33"/>
    </row>
    <row r="11564" spans="3:14" x14ac:dyDescent="0.3">
      <c r="C11564" s="54"/>
      <c r="N11564" s="33"/>
    </row>
    <row r="11565" spans="3:14" x14ac:dyDescent="0.3">
      <c r="C11565" s="54"/>
      <c r="N11565" s="33"/>
    </row>
    <row r="11566" spans="3:14" x14ac:dyDescent="0.3">
      <c r="C11566" s="54"/>
      <c r="N11566" s="33"/>
    </row>
    <row r="11567" spans="3:14" x14ac:dyDescent="0.3">
      <c r="C11567" s="54"/>
      <c r="N11567" s="33"/>
    </row>
    <row r="11568" spans="3:14" x14ac:dyDescent="0.3">
      <c r="C11568" s="54"/>
      <c r="N11568" s="33"/>
    </row>
    <row r="11569" spans="3:14" x14ac:dyDescent="0.3">
      <c r="C11569" s="54"/>
      <c r="N11569" s="33"/>
    </row>
    <row r="11570" spans="3:14" x14ac:dyDescent="0.3">
      <c r="C11570" s="54"/>
      <c r="N11570" s="33"/>
    </row>
    <row r="11571" spans="3:14" x14ac:dyDescent="0.3">
      <c r="C11571" s="54"/>
      <c r="N11571" s="33"/>
    </row>
    <row r="11572" spans="3:14" x14ac:dyDescent="0.3">
      <c r="C11572" s="54"/>
      <c r="N11572" s="33"/>
    </row>
    <row r="11573" spans="3:14" x14ac:dyDescent="0.3">
      <c r="C11573" s="54"/>
      <c r="N11573" s="33"/>
    </row>
    <row r="11574" spans="3:14" x14ac:dyDescent="0.3">
      <c r="C11574" s="54"/>
      <c r="N11574" s="33"/>
    </row>
    <row r="11575" spans="3:14" x14ac:dyDescent="0.3">
      <c r="C11575" s="54"/>
      <c r="N11575" s="33"/>
    </row>
    <row r="11576" spans="3:14" x14ac:dyDescent="0.3">
      <c r="C11576" s="54"/>
      <c r="N11576" s="33"/>
    </row>
    <row r="11577" spans="3:14" x14ac:dyDescent="0.3">
      <c r="C11577" s="54"/>
      <c r="N11577" s="33"/>
    </row>
    <row r="11578" spans="3:14" x14ac:dyDescent="0.3">
      <c r="C11578" s="54"/>
      <c r="N11578" s="33"/>
    </row>
    <row r="11579" spans="3:14" x14ac:dyDescent="0.3">
      <c r="C11579" s="54"/>
      <c r="N11579" s="33"/>
    </row>
    <row r="11580" spans="3:14" x14ac:dyDescent="0.3">
      <c r="C11580" s="54"/>
      <c r="N11580" s="33"/>
    </row>
    <row r="11581" spans="3:14" x14ac:dyDescent="0.3">
      <c r="C11581" s="54"/>
      <c r="N11581" s="33"/>
    </row>
    <row r="11582" spans="3:14" x14ac:dyDescent="0.3">
      <c r="C11582" s="54"/>
      <c r="N11582" s="33"/>
    </row>
    <row r="11583" spans="3:14" x14ac:dyDescent="0.3">
      <c r="C11583" s="54"/>
      <c r="N11583" s="33"/>
    </row>
    <row r="11584" spans="3:14" x14ac:dyDescent="0.3">
      <c r="C11584" s="54"/>
      <c r="N11584" s="33"/>
    </row>
    <row r="11585" spans="3:14" x14ac:dyDescent="0.3">
      <c r="C11585" s="54"/>
      <c r="N11585" s="33"/>
    </row>
    <row r="11586" spans="3:14" x14ac:dyDescent="0.3">
      <c r="C11586" s="54"/>
      <c r="N11586" s="33"/>
    </row>
    <row r="11587" spans="3:14" x14ac:dyDescent="0.3">
      <c r="C11587" s="54"/>
      <c r="N11587" s="33"/>
    </row>
    <row r="11588" spans="3:14" x14ac:dyDescent="0.3">
      <c r="C11588" s="54"/>
      <c r="N11588" s="33"/>
    </row>
    <row r="11589" spans="3:14" x14ac:dyDescent="0.3">
      <c r="C11589" s="54"/>
      <c r="N11589" s="33"/>
    </row>
    <row r="11590" spans="3:14" x14ac:dyDescent="0.3">
      <c r="C11590" s="54"/>
      <c r="N11590" s="33"/>
    </row>
    <row r="11591" spans="3:14" x14ac:dyDescent="0.3">
      <c r="C11591" s="54"/>
      <c r="N11591" s="33"/>
    </row>
    <row r="11592" spans="3:14" x14ac:dyDescent="0.3">
      <c r="C11592" s="54"/>
      <c r="N11592" s="33"/>
    </row>
    <row r="11593" spans="3:14" x14ac:dyDescent="0.3">
      <c r="C11593" s="54"/>
      <c r="N11593" s="33"/>
    </row>
    <row r="11594" spans="3:14" x14ac:dyDescent="0.3">
      <c r="C11594" s="54"/>
      <c r="N11594" s="33"/>
    </row>
    <row r="11595" spans="3:14" x14ac:dyDescent="0.3">
      <c r="C11595" s="54"/>
      <c r="N11595" s="33"/>
    </row>
    <row r="11596" spans="3:14" x14ac:dyDescent="0.3">
      <c r="C11596" s="54"/>
      <c r="N11596" s="33"/>
    </row>
    <row r="11597" spans="3:14" x14ac:dyDescent="0.3">
      <c r="C11597" s="54"/>
      <c r="N11597" s="33"/>
    </row>
    <row r="11598" spans="3:14" x14ac:dyDescent="0.3">
      <c r="C11598" s="54"/>
      <c r="N11598" s="33"/>
    </row>
    <row r="11599" spans="3:14" x14ac:dyDescent="0.3">
      <c r="C11599" s="54"/>
      <c r="N11599" s="33"/>
    </row>
    <row r="11600" spans="3:14" x14ac:dyDescent="0.3">
      <c r="C11600" s="54"/>
      <c r="N11600" s="33"/>
    </row>
    <row r="11601" spans="3:14" x14ac:dyDescent="0.3">
      <c r="C11601" s="54"/>
      <c r="N11601" s="33"/>
    </row>
    <row r="11602" spans="3:14" x14ac:dyDescent="0.3">
      <c r="C11602" s="54"/>
      <c r="N11602" s="33"/>
    </row>
    <row r="11603" spans="3:14" x14ac:dyDescent="0.3">
      <c r="C11603" s="54"/>
      <c r="N11603" s="33"/>
    </row>
    <row r="11604" spans="3:14" x14ac:dyDescent="0.3">
      <c r="C11604" s="54"/>
      <c r="N11604" s="33"/>
    </row>
    <row r="11605" spans="3:14" x14ac:dyDescent="0.3">
      <c r="C11605" s="54"/>
      <c r="N11605" s="33"/>
    </row>
    <row r="11606" spans="3:14" x14ac:dyDescent="0.3">
      <c r="C11606" s="54"/>
      <c r="N11606" s="33"/>
    </row>
    <row r="11607" spans="3:14" x14ac:dyDescent="0.3">
      <c r="C11607" s="54"/>
      <c r="N11607" s="33"/>
    </row>
    <row r="11608" spans="3:14" x14ac:dyDescent="0.3">
      <c r="C11608" s="54"/>
      <c r="N11608" s="33"/>
    </row>
    <row r="11609" spans="3:14" x14ac:dyDescent="0.3">
      <c r="C11609" s="54"/>
      <c r="N11609" s="33"/>
    </row>
    <row r="11610" spans="3:14" x14ac:dyDescent="0.3">
      <c r="C11610" s="54"/>
      <c r="N11610" s="33"/>
    </row>
    <row r="11611" spans="3:14" x14ac:dyDescent="0.3">
      <c r="C11611" s="54"/>
      <c r="N11611" s="33"/>
    </row>
    <row r="11612" spans="3:14" x14ac:dyDescent="0.3">
      <c r="C11612" s="54"/>
      <c r="N11612" s="33"/>
    </row>
    <row r="11613" spans="3:14" x14ac:dyDescent="0.3">
      <c r="C11613" s="54"/>
      <c r="N11613" s="33"/>
    </row>
    <row r="11614" spans="3:14" x14ac:dyDescent="0.3">
      <c r="C11614" s="54"/>
      <c r="N11614" s="33"/>
    </row>
    <row r="11615" spans="3:14" x14ac:dyDescent="0.3">
      <c r="C11615" s="54"/>
      <c r="N11615" s="33"/>
    </row>
    <row r="11616" spans="3:14" x14ac:dyDescent="0.3">
      <c r="C11616" s="54"/>
      <c r="N11616" s="33"/>
    </row>
    <row r="11617" spans="3:14" x14ac:dyDescent="0.3">
      <c r="C11617" s="54"/>
      <c r="N11617" s="33"/>
    </row>
    <row r="11618" spans="3:14" x14ac:dyDescent="0.3">
      <c r="C11618" s="54"/>
      <c r="N11618" s="33"/>
    </row>
    <row r="11619" spans="3:14" x14ac:dyDescent="0.3">
      <c r="C11619" s="54"/>
      <c r="N11619" s="33"/>
    </row>
    <row r="11620" spans="3:14" x14ac:dyDescent="0.3">
      <c r="C11620" s="54"/>
      <c r="N11620" s="33"/>
    </row>
    <row r="11621" spans="3:14" x14ac:dyDescent="0.3">
      <c r="C11621" s="54"/>
      <c r="N11621" s="33"/>
    </row>
    <row r="11622" spans="3:14" x14ac:dyDescent="0.3">
      <c r="C11622" s="54"/>
      <c r="N11622" s="33"/>
    </row>
    <row r="11623" spans="3:14" x14ac:dyDescent="0.3">
      <c r="C11623" s="54"/>
      <c r="N11623" s="33"/>
    </row>
    <row r="11624" spans="3:14" x14ac:dyDescent="0.3">
      <c r="C11624" s="54"/>
      <c r="N11624" s="33"/>
    </row>
    <row r="11625" spans="3:14" x14ac:dyDescent="0.3">
      <c r="C11625" s="54"/>
      <c r="N11625" s="33"/>
    </row>
    <row r="11626" spans="3:14" x14ac:dyDescent="0.3">
      <c r="C11626" s="54"/>
      <c r="N11626" s="33"/>
    </row>
    <row r="11627" spans="3:14" x14ac:dyDescent="0.3">
      <c r="C11627" s="54"/>
      <c r="N11627" s="33"/>
    </row>
    <row r="11628" spans="3:14" x14ac:dyDescent="0.3">
      <c r="C11628" s="54"/>
      <c r="N11628" s="33"/>
    </row>
    <row r="11629" spans="3:14" x14ac:dyDescent="0.3">
      <c r="C11629" s="54"/>
      <c r="N11629" s="33"/>
    </row>
    <row r="11630" spans="3:14" x14ac:dyDescent="0.3">
      <c r="C11630" s="54"/>
      <c r="N11630" s="33"/>
    </row>
    <row r="11631" spans="3:14" x14ac:dyDescent="0.3">
      <c r="C11631" s="54"/>
      <c r="N11631" s="33"/>
    </row>
    <row r="11632" spans="3:14" x14ac:dyDescent="0.3">
      <c r="C11632" s="54"/>
      <c r="N11632" s="33"/>
    </row>
    <row r="11633" spans="3:14" x14ac:dyDescent="0.3">
      <c r="C11633" s="54"/>
      <c r="N11633" s="33"/>
    </row>
    <row r="11634" spans="3:14" x14ac:dyDescent="0.3">
      <c r="C11634" s="54"/>
      <c r="N11634" s="33"/>
    </row>
    <row r="11635" spans="3:14" x14ac:dyDescent="0.3">
      <c r="C11635" s="54"/>
      <c r="N11635" s="33"/>
    </row>
    <row r="11636" spans="3:14" x14ac:dyDescent="0.3">
      <c r="C11636" s="54"/>
      <c r="N11636" s="33"/>
    </row>
    <row r="11637" spans="3:14" x14ac:dyDescent="0.3">
      <c r="C11637" s="54"/>
      <c r="N11637" s="33"/>
    </row>
    <row r="11638" spans="3:14" x14ac:dyDescent="0.3">
      <c r="C11638" s="54"/>
      <c r="N11638" s="33"/>
    </row>
    <row r="11639" spans="3:14" x14ac:dyDescent="0.3">
      <c r="C11639" s="54"/>
      <c r="N11639" s="33"/>
    </row>
    <row r="11640" spans="3:14" x14ac:dyDescent="0.3">
      <c r="C11640" s="54"/>
      <c r="N11640" s="33"/>
    </row>
    <row r="11641" spans="3:14" x14ac:dyDescent="0.3">
      <c r="C11641" s="54"/>
      <c r="N11641" s="33"/>
    </row>
    <row r="11642" spans="3:14" x14ac:dyDescent="0.3">
      <c r="C11642" s="54"/>
      <c r="N11642" s="33"/>
    </row>
    <row r="11643" spans="3:14" x14ac:dyDescent="0.3">
      <c r="C11643" s="54"/>
      <c r="N11643" s="33"/>
    </row>
    <row r="11644" spans="3:14" x14ac:dyDescent="0.3">
      <c r="C11644" s="54"/>
      <c r="N11644" s="33"/>
    </row>
    <row r="11645" spans="3:14" x14ac:dyDescent="0.3">
      <c r="C11645" s="54"/>
      <c r="N11645" s="33"/>
    </row>
    <row r="11646" spans="3:14" x14ac:dyDescent="0.3">
      <c r="C11646" s="54"/>
      <c r="N11646" s="33"/>
    </row>
    <row r="11647" spans="3:14" x14ac:dyDescent="0.3">
      <c r="C11647" s="54"/>
      <c r="N11647" s="33"/>
    </row>
    <row r="11648" spans="3:14" x14ac:dyDescent="0.3">
      <c r="C11648" s="54"/>
      <c r="N11648" s="33"/>
    </row>
    <row r="11649" spans="3:14" x14ac:dyDescent="0.3">
      <c r="C11649" s="54"/>
      <c r="N11649" s="33"/>
    </row>
    <row r="11650" spans="3:14" x14ac:dyDescent="0.3">
      <c r="C11650" s="54"/>
      <c r="N11650" s="33"/>
    </row>
    <row r="11651" spans="3:14" x14ac:dyDescent="0.3">
      <c r="C11651" s="54"/>
      <c r="N11651" s="33"/>
    </row>
    <row r="11652" spans="3:14" x14ac:dyDescent="0.3">
      <c r="C11652" s="54"/>
      <c r="N11652" s="33"/>
    </row>
    <row r="11653" spans="3:14" x14ac:dyDescent="0.3">
      <c r="C11653" s="54"/>
      <c r="N11653" s="33"/>
    </row>
    <row r="11654" spans="3:14" x14ac:dyDescent="0.3">
      <c r="C11654" s="54"/>
      <c r="N11654" s="33"/>
    </row>
    <row r="11655" spans="3:14" x14ac:dyDescent="0.3">
      <c r="C11655" s="54"/>
      <c r="N11655" s="33"/>
    </row>
    <row r="11656" spans="3:14" x14ac:dyDescent="0.3">
      <c r="C11656" s="54"/>
      <c r="N11656" s="33"/>
    </row>
    <row r="11657" spans="3:14" x14ac:dyDescent="0.3">
      <c r="C11657" s="54"/>
      <c r="N11657" s="33"/>
    </row>
    <row r="11658" spans="3:14" x14ac:dyDescent="0.3">
      <c r="C11658" s="54"/>
      <c r="N11658" s="33"/>
    </row>
    <row r="11659" spans="3:14" x14ac:dyDescent="0.3">
      <c r="C11659" s="54"/>
      <c r="N11659" s="33"/>
    </row>
    <row r="11660" spans="3:14" x14ac:dyDescent="0.3">
      <c r="C11660" s="54"/>
      <c r="N11660" s="33"/>
    </row>
    <row r="11661" spans="3:14" x14ac:dyDescent="0.3">
      <c r="C11661" s="54"/>
      <c r="N11661" s="33"/>
    </row>
    <row r="11662" spans="3:14" x14ac:dyDescent="0.3">
      <c r="C11662" s="54"/>
      <c r="N11662" s="33"/>
    </row>
    <row r="11663" spans="3:14" x14ac:dyDescent="0.3">
      <c r="C11663" s="54"/>
      <c r="N11663" s="33"/>
    </row>
    <row r="11664" spans="3:14" x14ac:dyDescent="0.3">
      <c r="C11664" s="54"/>
      <c r="N11664" s="33"/>
    </row>
    <row r="11665" spans="3:14" x14ac:dyDescent="0.3">
      <c r="C11665" s="54"/>
      <c r="N11665" s="33"/>
    </row>
    <row r="11666" spans="3:14" x14ac:dyDescent="0.3">
      <c r="C11666" s="54"/>
      <c r="N11666" s="33"/>
    </row>
    <row r="11667" spans="3:14" x14ac:dyDescent="0.3">
      <c r="C11667" s="54"/>
      <c r="N11667" s="33"/>
    </row>
    <row r="11668" spans="3:14" x14ac:dyDescent="0.3">
      <c r="C11668" s="54"/>
      <c r="N11668" s="33"/>
    </row>
    <row r="11669" spans="3:14" x14ac:dyDescent="0.3">
      <c r="C11669" s="54"/>
      <c r="N11669" s="33"/>
    </row>
    <row r="11670" spans="3:14" x14ac:dyDescent="0.3">
      <c r="C11670" s="54"/>
      <c r="N11670" s="33"/>
    </row>
    <row r="11671" spans="3:14" x14ac:dyDescent="0.3">
      <c r="C11671" s="54"/>
      <c r="N11671" s="33"/>
    </row>
    <row r="11672" spans="3:14" x14ac:dyDescent="0.3">
      <c r="C11672" s="54"/>
      <c r="N11672" s="33"/>
    </row>
    <row r="11673" spans="3:14" x14ac:dyDescent="0.3">
      <c r="C11673" s="54"/>
      <c r="N11673" s="33"/>
    </row>
    <row r="11674" spans="3:14" x14ac:dyDescent="0.3">
      <c r="C11674" s="54"/>
      <c r="N11674" s="33"/>
    </row>
    <row r="11675" spans="3:14" x14ac:dyDescent="0.3">
      <c r="C11675" s="54"/>
      <c r="N11675" s="33"/>
    </row>
    <row r="11676" spans="3:14" x14ac:dyDescent="0.3">
      <c r="C11676" s="54"/>
      <c r="N11676" s="33"/>
    </row>
    <row r="11677" spans="3:14" x14ac:dyDescent="0.3">
      <c r="C11677" s="54"/>
      <c r="N11677" s="33"/>
    </row>
    <row r="11678" spans="3:14" x14ac:dyDescent="0.3">
      <c r="C11678" s="54"/>
      <c r="N11678" s="33"/>
    </row>
    <row r="11679" spans="3:14" x14ac:dyDescent="0.3">
      <c r="C11679" s="54"/>
      <c r="N11679" s="33"/>
    </row>
    <row r="11680" spans="3:14" x14ac:dyDescent="0.3">
      <c r="C11680" s="54"/>
      <c r="N11680" s="33"/>
    </row>
    <row r="11681" spans="3:14" x14ac:dyDescent="0.3">
      <c r="C11681" s="54"/>
      <c r="N11681" s="33"/>
    </row>
    <row r="11682" spans="3:14" x14ac:dyDescent="0.3">
      <c r="C11682" s="54"/>
      <c r="N11682" s="33"/>
    </row>
    <row r="11683" spans="3:14" x14ac:dyDescent="0.3">
      <c r="C11683" s="54"/>
      <c r="N11683" s="33"/>
    </row>
    <row r="11684" spans="3:14" x14ac:dyDescent="0.3">
      <c r="C11684" s="54"/>
      <c r="N11684" s="33"/>
    </row>
    <row r="11685" spans="3:14" x14ac:dyDescent="0.3">
      <c r="C11685" s="54"/>
      <c r="N11685" s="33"/>
    </row>
    <row r="11686" spans="3:14" x14ac:dyDescent="0.3">
      <c r="C11686" s="54"/>
      <c r="N11686" s="33"/>
    </row>
    <row r="11687" spans="3:14" x14ac:dyDescent="0.3">
      <c r="C11687" s="54"/>
      <c r="N11687" s="33"/>
    </row>
    <row r="11688" spans="3:14" x14ac:dyDescent="0.3">
      <c r="C11688" s="54"/>
      <c r="N11688" s="33"/>
    </row>
    <row r="11689" spans="3:14" x14ac:dyDescent="0.3">
      <c r="C11689" s="54"/>
      <c r="N11689" s="33"/>
    </row>
    <row r="11690" spans="3:14" x14ac:dyDescent="0.3">
      <c r="C11690" s="54"/>
      <c r="N11690" s="33"/>
    </row>
    <row r="11691" spans="3:14" x14ac:dyDescent="0.3">
      <c r="C11691" s="54"/>
      <c r="N11691" s="33"/>
    </row>
    <row r="11692" spans="3:14" x14ac:dyDescent="0.3">
      <c r="C11692" s="54"/>
      <c r="N11692" s="33"/>
    </row>
    <row r="11693" spans="3:14" x14ac:dyDescent="0.3">
      <c r="C11693" s="54"/>
      <c r="N11693" s="33"/>
    </row>
    <row r="11694" spans="3:14" x14ac:dyDescent="0.3">
      <c r="C11694" s="54"/>
      <c r="N11694" s="33"/>
    </row>
    <row r="11695" spans="3:14" x14ac:dyDescent="0.3">
      <c r="C11695" s="54"/>
      <c r="N11695" s="33"/>
    </row>
    <row r="11696" spans="3:14" x14ac:dyDescent="0.3">
      <c r="C11696" s="54"/>
      <c r="N11696" s="33"/>
    </row>
    <row r="11697" spans="3:14" x14ac:dyDescent="0.3">
      <c r="C11697" s="54"/>
      <c r="N11697" s="33"/>
    </row>
    <row r="11698" spans="3:14" x14ac:dyDescent="0.3">
      <c r="C11698" s="54"/>
      <c r="N11698" s="33"/>
    </row>
    <row r="11699" spans="3:14" x14ac:dyDescent="0.3">
      <c r="C11699" s="54"/>
      <c r="N11699" s="33"/>
    </row>
    <row r="11700" spans="3:14" x14ac:dyDescent="0.3">
      <c r="C11700" s="54"/>
      <c r="N11700" s="33"/>
    </row>
    <row r="11701" spans="3:14" x14ac:dyDescent="0.3">
      <c r="C11701" s="54"/>
      <c r="N11701" s="33"/>
    </row>
    <row r="11702" spans="3:14" x14ac:dyDescent="0.3">
      <c r="C11702" s="54"/>
      <c r="N11702" s="33"/>
    </row>
    <row r="11703" spans="3:14" x14ac:dyDescent="0.3">
      <c r="C11703" s="54"/>
      <c r="N11703" s="33"/>
    </row>
    <row r="11704" spans="3:14" x14ac:dyDescent="0.3">
      <c r="C11704" s="54"/>
      <c r="N11704" s="33"/>
    </row>
    <row r="11705" spans="3:14" x14ac:dyDescent="0.3">
      <c r="C11705" s="54"/>
      <c r="N11705" s="33"/>
    </row>
    <row r="11706" spans="3:14" x14ac:dyDescent="0.3">
      <c r="C11706" s="54"/>
      <c r="N11706" s="33"/>
    </row>
    <row r="11707" spans="3:14" x14ac:dyDescent="0.3">
      <c r="C11707" s="54"/>
      <c r="N11707" s="33"/>
    </row>
    <row r="11708" spans="3:14" x14ac:dyDescent="0.3">
      <c r="C11708" s="54"/>
      <c r="N11708" s="33"/>
    </row>
    <row r="11709" spans="3:14" x14ac:dyDescent="0.3">
      <c r="C11709" s="54"/>
      <c r="N11709" s="33"/>
    </row>
    <row r="11710" spans="3:14" x14ac:dyDescent="0.3">
      <c r="C11710" s="54"/>
      <c r="N11710" s="33"/>
    </row>
    <row r="11711" spans="3:14" x14ac:dyDescent="0.3">
      <c r="C11711" s="54"/>
      <c r="N11711" s="33"/>
    </row>
    <row r="11712" spans="3:14" x14ac:dyDescent="0.3">
      <c r="C11712" s="54"/>
      <c r="N11712" s="33"/>
    </row>
    <row r="11713" spans="3:14" x14ac:dyDescent="0.3">
      <c r="C11713" s="54"/>
      <c r="N11713" s="33"/>
    </row>
    <row r="11714" spans="3:14" x14ac:dyDescent="0.3">
      <c r="C11714" s="54"/>
      <c r="N11714" s="33"/>
    </row>
    <row r="11715" spans="3:14" x14ac:dyDescent="0.3">
      <c r="C11715" s="54"/>
      <c r="N11715" s="33"/>
    </row>
    <row r="11716" spans="3:14" x14ac:dyDescent="0.3">
      <c r="C11716" s="54"/>
      <c r="N11716" s="33"/>
    </row>
    <row r="11717" spans="3:14" x14ac:dyDescent="0.3">
      <c r="C11717" s="54"/>
      <c r="N11717" s="33"/>
    </row>
    <row r="11718" spans="3:14" x14ac:dyDescent="0.3">
      <c r="C11718" s="54"/>
      <c r="N11718" s="33"/>
    </row>
    <row r="11719" spans="3:14" x14ac:dyDescent="0.3">
      <c r="C11719" s="54"/>
      <c r="N11719" s="33"/>
    </row>
    <row r="11720" spans="3:14" x14ac:dyDescent="0.3">
      <c r="C11720" s="54"/>
      <c r="N11720" s="33"/>
    </row>
    <row r="11721" spans="3:14" x14ac:dyDescent="0.3">
      <c r="C11721" s="54"/>
      <c r="N11721" s="33"/>
    </row>
    <row r="11722" spans="3:14" x14ac:dyDescent="0.3">
      <c r="C11722" s="54"/>
      <c r="N11722" s="33"/>
    </row>
    <row r="11723" spans="3:14" x14ac:dyDescent="0.3">
      <c r="C11723" s="54"/>
      <c r="N11723" s="33"/>
    </row>
    <row r="11724" spans="3:14" x14ac:dyDescent="0.3">
      <c r="C11724" s="54"/>
      <c r="N11724" s="33"/>
    </row>
    <row r="11725" spans="3:14" x14ac:dyDescent="0.3">
      <c r="C11725" s="54"/>
      <c r="N11725" s="33"/>
    </row>
    <row r="11726" spans="3:14" x14ac:dyDescent="0.3">
      <c r="C11726" s="54"/>
      <c r="N11726" s="33"/>
    </row>
    <row r="11727" spans="3:14" x14ac:dyDescent="0.3">
      <c r="C11727" s="54"/>
      <c r="N11727" s="33"/>
    </row>
    <row r="11728" spans="3:14" x14ac:dyDescent="0.3">
      <c r="C11728" s="54"/>
      <c r="N11728" s="33"/>
    </row>
    <row r="11729" spans="3:14" x14ac:dyDescent="0.3">
      <c r="C11729" s="54"/>
      <c r="N11729" s="33"/>
    </row>
    <row r="11730" spans="3:14" x14ac:dyDescent="0.3">
      <c r="C11730" s="54"/>
      <c r="N11730" s="33"/>
    </row>
    <row r="11731" spans="3:14" x14ac:dyDescent="0.3">
      <c r="C11731" s="54"/>
      <c r="N11731" s="33"/>
    </row>
    <row r="11732" spans="3:14" x14ac:dyDescent="0.3">
      <c r="C11732" s="54"/>
      <c r="N11732" s="33"/>
    </row>
    <row r="11733" spans="3:14" x14ac:dyDescent="0.3">
      <c r="C11733" s="54"/>
      <c r="N11733" s="33"/>
    </row>
    <row r="11734" spans="3:14" x14ac:dyDescent="0.3">
      <c r="C11734" s="54"/>
      <c r="N11734" s="33"/>
    </row>
    <row r="11735" spans="3:14" x14ac:dyDescent="0.3">
      <c r="C11735" s="54"/>
      <c r="N11735" s="33"/>
    </row>
    <row r="11736" spans="3:14" x14ac:dyDescent="0.3">
      <c r="C11736" s="54"/>
      <c r="N11736" s="33"/>
    </row>
    <row r="11737" spans="3:14" x14ac:dyDescent="0.3">
      <c r="C11737" s="54"/>
      <c r="N11737" s="33"/>
    </row>
    <row r="11738" spans="3:14" x14ac:dyDescent="0.3">
      <c r="C11738" s="54"/>
      <c r="N11738" s="33"/>
    </row>
    <row r="11739" spans="3:14" x14ac:dyDescent="0.3">
      <c r="C11739" s="54"/>
      <c r="N11739" s="33"/>
    </row>
    <row r="11740" spans="3:14" x14ac:dyDescent="0.3">
      <c r="C11740" s="54"/>
      <c r="N11740" s="33"/>
    </row>
    <row r="11741" spans="3:14" x14ac:dyDescent="0.3">
      <c r="C11741" s="54"/>
      <c r="N11741" s="33"/>
    </row>
    <row r="11742" spans="3:14" x14ac:dyDescent="0.3">
      <c r="C11742" s="54"/>
      <c r="N11742" s="33"/>
    </row>
    <row r="11743" spans="3:14" x14ac:dyDescent="0.3">
      <c r="C11743" s="54"/>
      <c r="N11743" s="33"/>
    </row>
    <row r="11744" spans="3:14" x14ac:dyDescent="0.3">
      <c r="C11744" s="54"/>
      <c r="N11744" s="33"/>
    </row>
    <row r="11745" spans="3:14" x14ac:dyDescent="0.3">
      <c r="C11745" s="54"/>
      <c r="N11745" s="33"/>
    </row>
    <row r="11746" spans="3:14" x14ac:dyDescent="0.3">
      <c r="C11746" s="54"/>
      <c r="N11746" s="33"/>
    </row>
    <row r="11747" spans="3:14" x14ac:dyDescent="0.3">
      <c r="C11747" s="54"/>
      <c r="N11747" s="33"/>
    </row>
    <row r="11748" spans="3:14" x14ac:dyDescent="0.3">
      <c r="C11748" s="54"/>
      <c r="N11748" s="33"/>
    </row>
    <row r="11749" spans="3:14" x14ac:dyDescent="0.3">
      <c r="C11749" s="54"/>
      <c r="N11749" s="33"/>
    </row>
    <row r="11750" spans="3:14" x14ac:dyDescent="0.3">
      <c r="C11750" s="54"/>
      <c r="N11750" s="33"/>
    </row>
    <row r="11751" spans="3:14" x14ac:dyDescent="0.3">
      <c r="C11751" s="54"/>
      <c r="N11751" s="33"/>
    </row>
    <row r="11752" spans="3:14" x14ac:dyDescent="0.3">
      <c r="C11752" s="54"/>
      <c r="N11752" s="33"/>
    </row>
    <row r="11753" spans="3:14" x14ac:dyDescent="0.3">
      <c r="C11753" s="54"/>
      <c r="N11753" s="33"/>
    </row>
    <row r="11754" spans="3:14" x14ac:dyDescent="0.3">
      <c r="C11754" s="54"/>
      <c r="N11754" s="33"/>
    </row>
    <row r="11755" spans="3:14" x14ac:dyDescent="0.3">
      <c r="C11755" s="54"/>
      <c r="N11755" s="33"/>
    </row>
    <row r="11756" spans="3:14" x14ac:dyDescent="0.3">
      <c r="C11756" s="54"/>
      <c r="N11756" s="33"/>
    </row>
    <row r="11757" spans="3:14" x14ac:dyDescent="0.3">
      <c r="C11757" s="54"/>
      <c r="N11757" s="33"/>
    </row>
    <row r="11758" spans="3:14" x14ac:dyDescent="0.3">
      <c r="C11758" s="54"/>
      <c r="N11758" s="33"/>
    </row>
    <row r="11759" spans="3:14" x14ac:dyDescent="0.3">
      <c r="C11759" s="54"/>
      <c r="N11759" s="33"/>
    </row>
    <row r="11760" spans="3:14" x14ac:dyDescent="0.3">
      <c r="C11760" s="54"/>
      <c r="N11760" s="33"/>
    </row>
    <row r="11761" spans="3:14" x14ac:dyDescent="0.3">
      <c r="C11761" s="54"/>
      <c r="N11761" s="33"/>
    </row>
    <row r="11762" spans="3:14" x14ac:dyDescent="0.3">
      <c r="C11762" s="54"/>
      <c r="N11762" s="33"/>
    </row>
    <row r="11763" spans="3:14" x14ac:dyDescent="0.3">
      <c r="C11763" s="54"/>
      <c r="N11763" s="33"/>
    </row>
    <row r="11764" spans="3:14" x14ac:dyDescent="0.3">
      <c r="C11764" s="54"/>
      <c r="N11764" s="33"/>
    </row>
    <row r="11765" spans="3:14" x14ac:dyDescent="0.3">
      <c r="C11765" s="54"/>
      <c r="N11765" s="33"/>
    </row>
    <row r="11766" spans="3:14" x14ac:dyDescent="0.3">
      <c r="C11766" s="54"/>
      <c r="N11766" s="33"/>
    </row>
    <row r="11767" spans="3:14" x14ac:dyDescent="0.3">
      <c r="C11767" s="54"/>
      <c r="N11767" s="33"/>
    </row>
    <row r="11768" spans="3:14" x14ac:dyDescent="0.3">
      <c r="C11768" s="54"/>
      <c r="N11768" s="33"/>
    </row>
    <row r="11769" spans="3:14" x14ac:dyDescent="0.3">
      <c r="C11769" s="54"/>
      <c r="N11769" s="33"/>
    </row>
    <row r="11770" spans="3:14" x14ac:dyDescent="0.3">
      <c r="C11770" s="54"/>
      <c r="N11770" s="33"/>
    </row>
    <row r="11771" spans="3:14" x14ac:dyDescent="0.3">
      <c r="C11771" s="54"/>
      <c r="N11771" s="33"/>
    </row>
    <row r="11772" spans="3:14" x14ac:dyDescent="0.3">
      <c r="C11772" s="54"/>
      <c r="N11772" s="33"/>
    </row>
    <row r="11773" spans="3:14" x14ac:dyDescent="0.3">
      <c r="C11773" s="54"/>
      <c r="N11773" s="33"/>
    </row>
    <row r="11774" spans="3:14" x14ac:dyDescent="0.3">
      <c r="C11774" s="54"/>
      <c r="N11774" s="33"/>
    </row>
    <row r="11775" spans="3:14" x14ac:dyDescent="0.3">
      <c r="C11775" s="54"/>
      <c r="N11775" s="33"/>
    </row>
    <row r="11776" spans="3:14" x14ac:dyDescent="0.3">
      <c r="C11776" s="54"/>
      <c r="N11776" s="33"/>
    </row>
    <row r="11777" spans="3:14" x14ac:dyDescent="0.3">
      <c r="C11777" s="54"/>
      <c r="N11777" s="33"/>
    </row>
    <row r="11778" spans="3:14" x14ac:dyDescent="0.3">
      <c r="C11778" s="54"/>
      <c r="N11778" s="33"/>
    </row>
    <row r="11779" spans="3:14" x14ac:dyDescent="0.3">
      <c r="C11779" s="54"/>
      <c r="N11779" s="33"/>
    </row>
    <row r="11780" spans="3:14" x14ac:dyDescent="0.3">
      <c r="C11780" s="54"/>
      <c r="N11780" s="33"/>
    </row>
    <row r="11781" spans="3:14" x14ac:dyDescent="0.3">
      <c r="C11781" s="54"/>
      <c r="N11781" s="33"/>
    </row>
    <row r="11782" spans="3:14" x14ac:dyDescent="0.3">
      <c r="C11782" s="54"/>
      <c r="N11782" s="33"/>
    </row>
    <row r="11783" spans="3:14" x14ac:dyDescent="0.3">
      <c r="C11783" s="54"/>
      <c r="N11783" s="33"/>
    </row>
    <row r="11784" spans="3:14" x14ac:dyDescent="0.3">
      <c r="C11784" s="54"/>
      <c r="N11784" s="33"/>
    </row>
    <row r="11785" spans="3:14" x14ac:dyDescent="0.3">
      <c r="C11785" s="54"/>
      <c r="N11785" s="33"/>
    </row>
    <row r="11786" spans="3:14" x14ac:dyDescent="0.3">
      <c r="C11786" s="54"/>
      <c r="N11786" s="33"/>
    </row>
    <row r="11787" spans="3:14" x14ac:dyDescent="0.3">
      <c r="C11787" s="54"/>
      <c r="N11787" s="33"/>
    </row>
    <row r="11788" spans="3:14" x14ac:dyDescent="0.3">
      <c r="C11788" s="54"/>
      <c r="N11788" s="33"/>
    </row>
    <row r="11789" spans="3:14" x14ac:dyDescent="0.3">
      <c r="C11789" s="54"/>
      <c r="N11789" s="33"/>
    </row>
    <row r="11790" spans="3:14" x14ac:dyDescent="0.3">
      <c r="C11790" s="54"/>
      <c r="N11790" s="33"/>
    </row>
    <row r="11791" spans="3:14" x14ac:dyDescent="0.3">
      <c r="C11791" s="54"/>
      <c r="N11791" s="33"/>
    </row>
    <row r="11792" spans="3:14" x14ac:dyDescent="0.3">
      <c r="C11792" s="54"/>
      <c r="N11792" s="33"/>
    </row>
    <row r="11793" spans="3:14" x14ac:dyDescent="0.3">
      <c r="C11793" s="54"/>
      <c r="N11793" s="33"/>
    </row>
    <row r="11794" spans="3:14" x14ac:dyDescent="0.3">
      <c r="C11794" s="54"/>
      <c r="N11794" s="33"/>
    </row>
    <row r="11795" spans="3:14" x14ac:dyDescent="0.3">
      <c r="C11795" s="54"/>
      <c r="N11795" s="33"/>
    </row>
    <row r="11796" spans="3:14" x14ac:dyDescent="0.3">
      <c r="C11796" s="54"/>
      <c r="N11796" s="33"/>
    </row>
    <row r="11797" spans="3:14" x14ac:dyDescent="0.3">
      <c r="C11797" s="54"/>
      <c r="N11797" s="33"/>
    </row>
    <row r="11798" spans="3:14" x14ac:dyDescent="0.3">
      <c r="C11798" s="54"/>
      <c r="N11798" s="33"/>
    </row>
    <row r="11799" spans="3:14" x14ac:dyDescent="0.3">
      <c r="C11799" s="54"/>
      <c r="N11799" s="33"/>
    </row>
    <row r="11800" spans="3:14" x14ac:dyDescent="0.3">
      <c r="C11800" s="54"/>
      <c r="N11800" s="33"/>
    </row>
    <row r="11801" spans="3:14" x14ac:dyDescent="0.3">
      <c r="C11801" s="54"/>
      <c r="N11801" s="33"/>
    </row>
    <row r="11802" spans="3:14" x14ac:dyDescent="0.3">
      <c r="C11802" s="54"/>
      <c r="N11802" s="33"/>
    </row>
    <row r="11803" spans="3:14" x14ac:dyDescent="0.3">
      <c r="C11803" s="54"/>
      <c r="N11803" s="33"/>
    </row>
    <row r="11804" spans="3:14" x14ac:dyDescent="0.3">
      <c r="C11804" s="54"/>
      <c r="N11804" s="33"/>
    </row>
    <row r="11805" spans="3:14" x14ac:dyDescent="0.3">
      <c r="C11805" s="54"/>
      <c r="N11805" s="33"/>
    </row>
    <row r="11806" spans="3:14" x14ac:dyDescent="0.3">
      <c r="C11806" s="54"/>
      <c r="N11806" s="33"/>
    </row>
    <row r="11807" spans="3:14" x14ac:dyDescent="0.3">
      <c r="C11807" s="54"/>
      <c r="N11807" s="33"/>
    </row>
    <row r="11808" spans="3:14" x14ac:dyDescent="0.3">
      <c r="C11808" s="54"/>
      <c r="N11808" s="33"/>
    </row>
    <row r="11809" spans="3:14" x14ac:dyDescent="0.3">
      <c r="C11809" s="54"/>
      <c r="N11809" s="33"/>
    </row>
    <row r="11810" spans="3:14" x14ac:dyDescent="0.3">
      <c r="C11810" s="54"/>
      <c r="N11810" s="33"/>
    </row>
    <row r="11811" spans="3:14" x14ac:dyDescent="0.3">
      <c r="C11811" s="54"/>
      <c r="N11811" s="33"/>
    </row>
    <row r="11812" spans="3:14" x14ac:dyDescent="0.3">
      <c r="C11812" s="54"/>
      <c r="N11812" s="33"/>
    </row>
    <row r="11813" spans="3:14" x14ac:dyDescent="0.3">
      <c r="C11813" s="54"/>
      <c r="N11813" s="33"/>
    </row>
    <row r="11814" spans="3:14" x14ac:dyDescent="0.3">
      <c r="C11814" s="54"/>
      <c r="N11814" s="33"/>
    </row>
    <row r="11815" spans="3:14" x14ac:dyDescent="0.3">
      <c r="C11815" s="54"/>
      <c r="N11815" s="33"/>
    </row>
    <row r="11816" spans="3:14" x14ac:dyDescent="0.3">
      <c r="C11816" s="54"/>
      <c r="N11816" s="33"/>
    </row>
    <row r="11817" spans="3:14" x14ac:dyDescent="0.3">
      <c r="C11817" s="54"/>
      <c r="N11817" s="33"/>
    </row>
    <row r="11818" spans="3:14" x14ac:dyDescent="0.3">
      <c r="C11818" s="54"/>
      <c r="N11818" s="33"/>
    </row>
    <row r="11819" spans="3:14" x14ac:dyDescent="0.3">
      <c r="C11819" s="54"/>
      <c r="N11819" s="33"/>
    </row>
    <row r="11820" spans="3:14" x14ac:dyDescent="0.3">
      <c r="C11820" s="54"/>
      <c r="N11820" s="33"/>
    </row>
    <row r="11821" spans="3:14" x14ac:dyDescent="0.3">
      <c r="C11821" s="54"/>
      <c r="N11821" s="33"/>
    </row>
    <row r="11822" spans="3:14" x14ac:dyDescent="0.3">
      <c r="C11822" s="54"/>
      <c r="N11822" s="33"/>
    </row>
    <row r="11823" spans="3:14" x14ac:dyDescent="0.3">
      <c r="C11823" s="54"/>
      <c r="N11823" s="33"/>
    </row>
    <row r="11824" spans="3:14" x14ac:dyDescent="0.3">
      <c r="C11824" s="54"/>
      <c r="N11824" s="33"/>
    </row>
    <row r="11825" spans="3:14" x14ac:dyDescent="0.3">
      <c r="C11825" s="54"/>
      <c r="N11825" s="33"/>
    </row>
    <row r="11826" spans="3:14" x14ac:dyDescent="0.3">
      <c r="C11826" s="54"/>
      <c r="N11826" s="33"/>
    </row>
    <row r="11827" spans="3:14" x14ac:dyDescent="0.3">
      <c r="C11827" s="54"/>
      <c r="N11827" s="33"/>
    </row>
    <row r="11828" spans="3:14" x14ac:dyDescent="0.3">
      <c r="C11828" s="54"/>
      <c r="N11828" s="33"/>
    </row>
    <row r="11829" spans="3:14" x14ac:dyDescent="0.3">
      <c r="C11829" s="54"/>
      <c r="N11829" s="33"/>
    </row>
    <row r="11830" spans="3:14" x14ac:dyDescent="0.3">
      <c r="C11830" s="54"/>
      <c r="N11830" s="33"/>
    </row>
    <row r="11831" spans="3:14" x14ac:dyDescent="0.3">
      <c r="C11831" s="54"/>
      <c r="N11831" s="33"/>
    </row>
    <row r="11832" spans="3:14" x14ac:dyDescent="0.3">
      <c r="C11832" s="54"/>
      <c r="N11832" s="33"/>
    </row>
    <row r="11833" spans="3:14" x14ac:dyDescent="0.3">
      <c r="C11833" s="54"/>
      <c r="N11833" s="33"/>
    </row>
    <row r="11834" spans="3:14" x14ac:dyDescent="0.3">
      <c r="C11834" s="54"/>
      <c r="N11834" s="33"/>
    </row>
    <row r="11835" spans="3:14" x14ac:dyDescent="0.3">
      <c r="C11835" s="54"/>
      <c r="N11835" s="33"/>
    </row>
    <row r="11836" spans="3:14" x14ac:dyDescent="0.3">
      <c r="C11836" s="54"/>
      <c r="N11836" s="33"/>
    </row>
    <row r="11837" spans="3:14" x14ac:dyDescent="0.3">
      <c r="C11837" s="54"/>
      <c r="N11837" s="33"/>
    </row>
    <row r="11838" spans="3:14" x14ac:dyDescent="0.3">
      <c r="C11838" s="54"/>
      <c r="N11838" s="33"/>
    </row>
    <row r="11839" spans="3:14" x14ac:dyDescent="0.3">
      <c r="C11839" s="54"/>
      <c r="N11839" s="33"/>
    </row>
    <row r="11840" spans="3:14" x14ac:dyDescent="0.3">
      <c r="C11840" s="54"/>
      <c r="N11840" s="33"/>
    </row>
    <row r="11841" spans="3:14" x14ac:dyDescent="0.3">
      <c r="C11841" s="54"/>
      <c r="N11841" s="33"/>
    </row>
    <row r="11842" spans="3:14" x14ac:dyDescent="0.3">
      <c r="C11842" s="54"/>
      <c r="N11842" s="33"/>
    </row>
    <row r="11843" spans="3:14" x14ac:dyDescent="0.3">
      <c r="C11843" s="54"/>
      <c r="N11843" s="33"/>
    </row>
    <row r="11844" spans="3:14" x14ac:dyDescent="0.3">
      <c r="C11844" s="54"/>
      <c r="N11844" s="33"/>
    </row>
    <row r="11845" spans="3:14" x14ac:dyDescent="0.3">
      <c r="C11845" s="54"/>
      <c r="N11845" s="33"/>
    </row>
    <row r="11846" spans="3:14" x14ac:dyDescent="0.3">
      <c r="C11846" s="54"/>
      <c r="N11846" s="33"/>
    </row>
    <row r="11847" spans="3:14" x14ac:dyDescent="0.3">
      <c r="C11847" s="54"/>
      <c r="N11847" s="33"/>
    </row>
    <row r="11848" spans="3:14" x14ac:dyDescent="0.3">
      <c r="C11848" s="54"/>
      <c r="N11848" s="33"/>
    </row>
    <row r="11849" spans="3:14" x14ac:dyDescent="0.3">
      <c r="C11849" s="54"/>
      <c r="N11849" s="33"/>
    </row>
    <row r="11850" spans="3:14" x14ac:dyDescent="0.3">
      <c r="C11850" s="54"/>
      <c r="N11850" s="33"/>
    </row>
    <row r="11851" spans="3:14" x14ac:dyDescent="0.3">
      <c r="C11851" s="54"/>
      <c r="N11851" s="33"/>
    </row>
    <row r="11852" spans="3:14" x14ac:dyDescent="0.3">
      <c r="C11852" s="54"/>
      <c r="N11852" s="33"/>
    </row>
    <row r="11853" spans="3:14" x14ac:dyDescent="0.3">
      <c r="C11853" s="54"/>
      <c r="N11853" s="33"/>
    </row>
    <row r="11854" spans="3:14" x14ac:dyDescent="0.3">
      <c r="C11854" s="54"/>
      <c r="N11854" s="33"/>
    </row>
    <row r="11855" spans="3:14" x14ac:dyDescent="0.3">
      <c r="C11855" s="54"/>
      <c r="N11855" s="33"/>
    </row>
    <row r="11856" spans="3:14" x14ac:dyDescent="0.3">
      <c r="C11856" s="54"/>
      <c r="N11856" s="33"/>
    </row>
    <row r="11857" spans="3:14" x14ac:dyDescent="0.3">
      <c r="C11857" s="54"/>
      <c r="N11857" s="33"/>
    </row>
    <row r="11858" spans="3:14" x14ac:dyDescent="0.3">
      <c r="C11858" s="54"/>
      <c r="N11858" s="33"/>
    </row>
    <row r="11859" spans="3:14" x14ac:dyDescent="0.3">
      <c r="C11859" s="54"/>
      <c r="N11859" s="33"/>
    </row>
    <row r="11860" spans="3:14" x14ac:dyDescent="0.3">
      <c r="C11860" s="54"/>
      <c r="N11860" s="33"/>
    </row>
    <row r="11861" spans="3:14" x14ac:dyDescent="0.3">
      <c r="C11861" s="54"/>
      <c r="N11861" s="33"/>
    </row>
    <row r="11862" spans="3:14" x14ac:dyDescent="0.3">
      <c r="C11862" s="54"/>
      <c r="N11862" s="33"/>
    </row>
    <row r="11863" spans="3:14" x14ac:dyDescent="0.3">
      <c r="C11863" s="54"/>
      <c r="N11863" s="33"/>
    </row>
    <row r="11864" spans="3:14" x14ac:dyDescent="0.3">
      <c r="C11864" s="54"/>
      <c r="N11864" s="33"/>
    </row>
    <row r="11865" spans="3:14" x14ac:dyDescent="0.3">
      <c r="C11865" s="54"/>
      <c r="N11865" s="33"/>
    </row>
    <row r="11866" spans="3:14" x14ac:dyDescent="0.3">
      <c r="C11866" s="54"/>
      <c r="N11866" s="33"/>
    </row>
    <row r="11867" spans="3:14" x14ac:dyDescent="0.3">
      <c r="C11867" s="54"/>
      <c r="N11867" s="33"/>
    </row>
    <row r="11868" spans="3:14" x14ac:dyDescent="0.3">
      <c r="C11868" s="54"/>
      <c r="N11868" s="33"/>
    </row>
    <row r="11869" spans="3:14" x14ac:dyDescent="0.3">
      <c r="C11869" s="54"/>
      <c r="N11869" s="33"/>
    </row>
    <row r="11870" spans="3:14" x14ac:dyDescent="0.3">
      <c r="C11870" s="54"/>
      <c r="N11870" s="33"/>
    </row>
    <row r="11871" spans="3:14" x14ac:dyDescent="0.3">
      <c r="C11871" s="54"/>
      <c r="N11871" s="33"/>
    </row>
    <row r="11872" spans="3:14" x14ac:dyDescent="0.3">
      <c r="C11872" s="54"/>
      <c r="N11872" s="33"/>
    </row>
    <row r="11873" spans="3:14" x14ac:dyDescent="0.3">
      <c r="C11873" s="54"/>
      <c r="N11873" s="33"/>
    </row>
    <row r="11874" spans="3:14" x14ac:dyDescent="0.3">
      <c r="C11874" s="54"/>
      <c r="N11874" s="33"/>
    </row>
    <row r="11875" spans="3:14" x14ac:dyDescent="0.3">
      <c r="C11875" s="54"/>
      <c r="N11875" s="33"/>
    </row>
    <row r="11876" spans="3:14" x14ac:dyDescent="0.3">
      <c r="C11876" s="54"/>
      <c r="N11876" s="33"/>
    </row>
    <row r="11877" spans="3:14" x14ac:dyDescent="0.3">
      <c r="C11877" s="54"/>
      <c r="N11877" s="33"/>
    </row>
    <row r="11878" spans="3:14" x14ac:dyDescent="0.3">
      <c r="C11878" s="54"/>
      <c r="N11878" s="33"/>
    </row>
    <row r="11879" spans="3:14" x14ac:dyDescent="0.3">
      <c r="C11879" s="54"/>
      <c r="N11879" s="33"/>
    </row>
    <row r="11880" spans="3:14" x14ac:dyDescent="0.3">
      <c r="C11880" s="54"/>
      <c r="N11880" s="33"/>
    </row>
    <row r="11881" spans="3:14" x14ac:dyDescent="0.3">
      <c r="C11881" s="54"/>
      <c r="N11881" s="33"/>
    </row>
    <row r="11882" spans="3:14" x14ac:dyDescent="0.3">
      <c r="C11882" s="54"/>
      <c r="N11882" s="33"/>
    </row>
    <row r="11883" spans="3:14" x14ac:dyDescent="0.3">
      <c r="C11883" s="54"/>
      <c r="N11883" s="33"/>
    </row>
    <row r="11884" spans="3:14" x14ac:dyDescent="0.3">
      <c r="C11884" s="54"/>
      <c r="N11884" s="33"/>
    </row>
    <row r="11885" spans="3:14" x14ac:dyDescent="0.3">
      <c r="C11885" s="54"/>
      <c r="N11885" s="33"/>
    </row>
    <row r="11886" spans="3:14" x14ac:dyDescent="0.3">
      <c r="C11886" s="54"/>
      <c r="N11886" s="33"/>
    </row>
    <row r="11887" spans="3:14" x14ac:dyDescent="0.3">
      <c r="C11887" s="54"/>
      <c r="N11887" s="33"/>
    </row>
    <row r="11888" spans="3:14" x14ac:dyDescent="0.3">
      <c r="C11888" s="54"/>
      <c r="N11888" s="33"/>
    </row>
    <row r="11889" spans="3:14" x14ac:dyDescent="0.3">
      <c r="C11889" s="54"/>
      <c r="N11889" s="33"/>
    </row>
    <row r="11890" spans="3:14" x14ac:dyDescent="0.3">
      <c r="C11890" s="54"/>
      <c r="N11890" s="33"/>
    </row>
    <row r="11891" spans="3:14" x14ac:dyDescent="0.3">
      <c r="C11891" s="54"/>
      <c r="N11891" s="33"/>
    </row>
    <row r="11892" spans="3:14" x14ac:dyDescent="0.3">
      <c r="C11892" s="54"/>
      <c r="N11892" s="33"/>
    </row>
    <row r="11893" spans="3:14" x14ac:dyDescent="0.3">
      <c r="C11893" s="54"/>
      <c r="N11893" s="33"/>
    </row>
    <row r="11894" spans="3:14" x14ac:dyDescent="0.3">
      <c r="C11894" s="54"/>
      <c r="N11894" s="33"/>
    </row>
    <row r="11895" spans="3:14" x14ac:dyDescent="0.3">
      <c r="C11895" s="54"/>
      <c r="N11895" s="33"/>
    </row>
    <row r="11896" spans="3:14" x14ac:dyDescent="0.3">
      <c r="C11896" s="54"/>
      <c r="N11896" s="33"/>
    </row>
    <row r="11897" spans="3:14" x14ac:dyDescent="0.3">
      <c r="C11897" s="54"/>
      <c r="N11897" s="33"/>
    </row>
    <row r="11898" spans="3:14" x14ac:dyDescent="0.3">
      <c r="C11898" s="54"/>
      <c r="N11898" s="33"/>
    </row>
    <row r="11899" spans="3:14" x14ac:dyDescent="0.3">
      <c r="C11899" s="54"/>
      <c r="N11899" s="33"/>
    </row>
    <row r="11900" spans="3:14" x14ac:dyDescent="0.3">
      <c r="C11900" s="54"/>
      <c r="N11900" s="33"/>
    </row>
    <row r="11901" spans="3:14" x14ac:dyDescent="0.3">
      <c r="C11901" s="54"/>
      <c r="N11901" s="33"/>
    </row>
    <row r="11902" spans="3:14" x14ac:dyDescent="0.3">
      <c r="C11902" s="54"/>
      <c r="N11902" s="33"/>
    </row>
    <row r="11903" spans="3:14" x14ac:dyDescent="0.3">
      <c r="C11903" s="54"/>
      <c r="N11903" s="33"/>
    </row>
    <row r="11904" spans="3:14" x14ac:dyDescent="0.3">
      <c r="C11904" s="54"/>
      <c r="N11904" s="33"/>
    </row>
    <row r="11905" spans="3:14" x14ac:dyDescent="0.3">
      <c r="C11905" s="54"/>
      <c r="N11905" s="33"/>
    </row>
    <row r="11906" spans="3:14" x14ac:dyDescent="0.3">
      <c r="C11906" s="54"/>
      <c r="N11906" s="33"/>
    </row>
    <row r="11907" spans="3:14" x14ac:dyDescent="0.3">
      <c r="C11907" s="54"/>
      <c r="N11907" s="33"/>
    </row>
    <row r="11908" spans="3:14" x14ac:dyDescent="0.3">
      <c r="C11908" s="54"/>
      <c r="N11908" s="33"/>
    </row>
    <row r="11909" spans="3:14" x14ac:dyDescent="0.3">
      <c r="C11909" s="54"/>
      <c r="N11909" s="33"/>
    </row>
    <row r="11910" spans="3:14" x14ac:dyDescent="0.3">
      <c r="C11910" s="54"/>
      <c r="N11910" s="33"/>
    </row>
    <row r="11911" spans="3:14" x14ac:dyDescent="0.3">
      <c r="C11911" s="54"/>
      <c r="N11911" s="33"/>
    </row>
    <row r="11912" spans="3:14" x14ac:dyDescent="0.3">
      <c r="C11912" s="54"/>
      <c r="N11912" s="33"/>
    </row>
    <row r="11913" spans="3:14" x14ac:dyDescent="0.3">
      <c r="C11913" s="54"/>
      <c r="N11913" s="33"/>
    </row>
    <row r="11914" spans="3:14" x14ac:dyDescent="0.3">
      <c r="C11914" s="54"/>
      <c r="N11914" s="33"/>
    </row>
    <row r="11915" spans="3:14" x14ac:dyDescent="0.3">
      <c r="C11915" s="54"/>
      <c r="N11915" s="33"/>
    </row>
    <row r="11916" spans="3:14" x14ac:dyDescent="0.3">
      <c r="C11916" s="54"/>
      <c r="N11916" s="33"/>
    </row>
    <row r="11917" spans="3:14" x14ac:dyDescent="0.3">
      <c r="C11917" s="54"/>
      <c r="N11917" s="33"/>
    </row>
    <row r="11918" spans="3:14" x14ac:dyDescent="0.3">
      <c r="C11918" s="54"/>
      <c r="N11918" s="33"/>
    </row>
    <row r="11919" spans="3:14" x14ac:dyDescent="0.3">
      <c r="C11919" s="54"/>
      <c r="N11919" s="33"/>
    </row>
    <row r="11920" spans="3:14" x14ac:dyDescent="0.3">
      <c r="C11920" s="54"/>
      <c r="N11920" s="33"/>
    </row>
    <row r="11921" spans="3:14" x14ac:dyDescent="0.3">
      <c r="C11921" s="54"/>
      <c r="N11921" s="33"/>
    </row>
    <row r="11922" spans="3:14" x14ac:dyDescent="0.3">
      <c r="C11922" s="54"/>
      <c r="N11922" s="33"/>
    </row>
    <row r="11923" spans="3:14" x14ac:dyDescent="0.3">
      <c r="C11923" s="54"/>
      <c r="N11923" s="33"/>
    </row>
    <row r="11924" spans="3:14" x14ac:dyDescent="0.3">
      <c r="C11924" s="54"/>
      <c r="N11924" s="33"/>
    </row>
    <row r="11925" spans="3:14" x14ac:dyDescent="0.3">
      <c r="C11925" s="54"/>
      <c r="N11925" s="33"/>
    </row>
    <row r="11926" spans="3:14" x14ac:dyDescent="0.3">
      <c r="C11926" s="54"/>
      <c r="N11926" s="33"/>
    </row>
    <row r="11927" spans="3:14" x14ac:dyDescent="0.3">
      <c r="C11927" s="54"/>
      <c r="N11927" s="33"/>
    </row>
    <row r="11928" spans="3:14" x14ac:dyDescent="0.3">
      <c r="C11928" s="54"/>
      <c r="N11928" s="33"/>
    </row>
    <row r="11929" spans="3:14" x14ac:dyDescent="0.3">
      <c r="C11929" s="54"/>
      <c r="N11929" s="33"/>
    </row>
    <row r="11930" spans="3:14" x14ac:dyDescent="0.3">
      <c r="C11930" s="54"/>
      <c r="N11930" s="33"/>
    </row>
    <row r="11931" spans="3:14" x14ac:dyDescent="0.3">
      <c r="C11931" s="54"/>
      <c r="N11931" s="33"/>
    </row>
    <row r="11932" spans="3:14" x14ac:dyDescent="0.3">
      <c r="C11932" s="54"/>
      <c r="N11932" s="33"/>
    </row>
    <row r="11933" spans="3:14" x14ac:dyDescent="0.3">
      <c r="C11933" s="54"/>
      <c r="N11933" s="33"/>
    </row>
    <row r="11934" spans="3:14" x14ac:dyDescent="0.3">
      <c r="C11934" s="54"/>
      <c r="N11934" s="33"/>
    </row>
    <row r="11935" spans="3:14" x14ac:dyDescent="0.3">
      <c r="C11935" s="54"/>
      <c r="N11935" s="33"/>
    </row>
    <row r="11936" spans="3:14" x14ac:dyDescent="0.3">
      <c r="C11936" s="54"/>
      <c r="N11936" s="33"/>
    </row>
    <row r="11937" spans="3:14" x14ac:dyDescent="0.3">
      <c r="C11937" s="54"/>
      <c r="N11937" s="33"/>
    </row>
    <row r="11938" spans="3:14" x14ac:dyDescent="0.3">
      <c r="C11938" s="54"/>
      <c r="N11938" s="33"/>
    </row>
    <row r="11939" spans="3:14" x14ac:dyDescent="0.3">
      <c r="C11939" s="54"/>
      <c r="N11939" s="33"/>
    </row>
    <row r="11940" spans="3:14" x14ac:dyDescent="0.3">
      <c r="C11940" s="54"/>
      <c r="N11940" s="33"/>
    </row>
    <row r="11941" spans="3:14" x14ac:dyDescent="0.3">
      <c r="C11941" s="54"/>
      <c r="N11941" s="33"/>
    </row>
    <row r="11942" spans="3:14" x14ac:dyDescent="0.3">
      <c r="C11942" s="54"/>
      <c r="N11942" s="33"/>
    </row>
    <row r="11943" spans="3:14" x14ac:dyDescent="0.3">
      <c r="C11943" s="54"/>
      <c r="N11943" s="33"/>
    </row>
    <row r="11944" spans="3:14" x14ac:dyDescent="0.3">
      <c r="C11944" s="54"/>
      <c r="N11944" s="33"/>
    </row>
    <row r="11945" spans="3:14" x14ac:dyDescent="0.3">
      <c r="C11945" s="54"/>
      <c r="N11945" s="33"/>
    </row>
    <row r="11946" spans="3:14" x14ac:dyDescent="0.3">
      <c r="C11946" s="54"/>
      <c r="N11946" s="33"/>
    </row>
    <row r="11947" spans="3:14" x14ac:dyDescent="0.3">
      <c r="C11947" s="54"/>
      <c r="N11947" s="33"/>
    </row>
    <row r="11948" spans="3:14" x14ac:dyDescent="0.3">
      <c r="C11948" s="54"/>
      <c r="N11948" s="33"/>
    </row>
    <row r="11949" spans="3:14" x14ac:dyDescent="0.3">
      <c r="C11949" s="54"/>
      <c r="N11949" s="33"/>
    </row>
    <row r="11950" spans="3:14" x14ac:dyDescent="0.3">
      <c r="C11950" s="54"/>
      <c r="N11950" s="33"/>
    </row>
    <row r="11951" spans="3:14" x14ac:dyDescent="0.3">
      <c r="C11951" s="54"/>
      <c r="N11951" s="33"/>
    </row>
    <row r="11952" spans="3:14" x14ac:dyDescent="0.3">
      <c r="C11952" s="54"/>
      <c r="N11952" s="33"/>
    </row>
    <row r="11953" spans="3:14" x14ac:dyDescent="0.3">
      <c r="C11953" s="54"/>
      <c r="N11953" s="33"/>
    </row>
    <row r="11954" spans="3:14" x14ac:dyDescent="0.3">
      <c r="C11954" s="54"/>
      <c r="N11954" s="33"/>
    </row>
    <row r="11955" spans="3:14" x14ac:dyDescent="0.3">
      <c r="C11955" s="54"/>
      <c r="N11955" s="33"/>
    </row>
    <row r="11956" spans="3:14" x14ac:dyDescent="0.3">
      <c r="C11956" s="54"/>
      <c r="N11956" s="33"/>
    </row>
    <row r="11957" spans="3:14" x14ac:dyDescent="0.3">
      <c r="C11957" s="54"/>
      <c r="N11957" s="33"/>
    </row>
    <row r="11958" spans="3:14" x14ac:dyDescent="0.3">
      <c r="C11958" s="54"/>
      <c r="N11958" s="33"/>
    </row>
    <row r="11959" spans="3:14" x14ac:dyDescent="0.3">
      <c r="C11959" s="54"/>
      <c r="N11959" s="33"/>
    </row>
    <row r="11960" spans="3:14" x14ac:dyDescent="0.3">
      <c r="C11960" s="54"/>
      <c r="N11960" s="33"/>
    </row>
    <row r="11961" spans="3:14" x14ac:dyDescent="0.3">
      <c r="C11961" s="54"/>
      <c r="N11961" s="33"/>
    </row>
    <row r="11962" spans="3:14" x14ac:dyDescent="0.3">
      <c r="C11962" s="54"/>
      <c r="N11962" s="33"/>
    </row>
    <row r="11963" spans="3:14" x14ac:dyDescent="0.3">
      <c r="C11963" s="54"/>
      <c r="N11963" s="33"/>
    </row>
    <row r="11964" spans="3:14" x14ac:dyDescent="0.3">
      <c r="C11964" s="54"/>
      <c r="N11964" s="33"/>
    </row>
    <row r="11965" spans="3:14" x14ac:dyDescent="0.3">
      <c r="C11965" s="54"/>
      <c r="N11965" s="33"/>
    </row>
    <row r="11966" spans="3:14" x14ac:dyDescent="0.3">
      <c r="C11966" s="54"/>
      <c r="N11966" s="33"/>
    </row>
    <row r="11967" spans="3:14" x14ac:dyDescent="0.3">
      <c r="C11967" s="54"/>
      <c r="N11967" s="33"/>
    </row>
    <row r="11968" spans="3:14" x14ac:dyDescent="0.3">
      <c r="C11968" s="54"/>
      <c r="N11968" s="33"/>
    </row>
    <row r="11969" spans="3:14" x14ac:dyDescent="0.3">
      <c r="C11969" s="54"/>
      <c r="N11969" s="33"/>
    </row>
    <row r="11970" spans="3:14" x14ac:dyDescent="0.3">
      <c r="C11970" s="54"/>
      <c r="N11970" s="33"/>
    </row>
    <row r="11971" spans="3:14" x14ac:dyDescent="0.3">
      <c r="C11971" s="54"/>
      <c r="N11971" s="33"/>
    </row>
    <row r="11972" spans="3:14" x14ac:dyDescent="0.3">
      <c r="C11972" s="54"/>
      <c r="N11972" s="33"/>
    </row>
    <row r="11973" spans="3:14" x14ac:dyDescent="0.3">
      <c r="C11973" s="54"/>
      <c r="N11973" s="33"/>
    </row>
    <row r="11974" spans="3:14" x14ac:dyDescent="0.3">
      <c r="C11974" s="54"/>
      <c r="N11974" s="33"/>
    </row>
    <row r="11975" spans="3:14" x14ac:dyDescent="0.3">
      <c r="C11975" s="54"/>
      <c r="N11975" s="33"/>
    </row>
    <row r="11976" spans="3:14" x14ac:dyDescent="0.3">
      <c r="C11976" s="54"/>
      <c r="N11976" s="33"/>
    </row>
    <row r="11977" spans="3:14" x14ac:dyDescent="0.3">
      <c r="C11977" s="54"/>
      <c r="N11977" s="33"/>
    </row>
    <row r="11978" spans="3:14" x14ac:dyDescent="0.3">
      <c r="C11978" s="54"/>
      <c r="N11978" s="33"/>
    </row>
    <row r="11979" spans="3:14" x14ac:dyDescent="0.3">
      <c r="C11979" s="54"/>
      <c r="N11979" s="33"/>
    </row>
    <row r="11980" spans="3:14" x14ac:dyDescent="0.3">
      <c r="C11980" s="54"/>
      <c r="N11980" s="33"/>
    </row>
    <row r="11981" spans="3:14" x14ac:dyDescent="0.3">
      <c r="C11981" s="54"/>
      <c r="N11981" s="33"/>
    </row>
    <row r="11982" spans="3:14" x14ac:dyDescent="0.3">
      <c r="C11982" s="54"/>
      <c r="N11982" s="33"/>
    </row>
    <row r="11983" spans="3:14" x14ac:dyDescent="0.3">
      <c r="C11983" s="54"/>
      <c r="N11983" s="33"/>
    </row>
    <row r="11984" spans="3:14" x14ac:dyDescent="0.3">
      <c r="C11984" s="54"/>
      <c r="N11984" s="33"/>
    </row>
    <row r="11985" spans="3:14" x14ac:dyDescent="0.3">
      <c r="C11985" s="54"/>
      <c r="N11985" s="33"/>
    </row>
    <row r="11986" spans="3:14" x14ac:dyDescent="0.3">
      <c r="C11986" s="54"/>
      <c r="N11986" s="33"/>
    </row>
    <row r="11987" spans="3:14" x14ac:dyDescent="0.3">
      <c r="C11987" s="54"/>
      <c r="N11987" s="33"/>
    </row>
    <row r="11988" spans="3:14" x14ac:dyDescent="0.3">
      <c r="C11988" s="54"/>
      <c r="N11988" s="33"/>
    </row>
    <row r="11989" spans="3:14" x14ac:dyDescent="0.3">
      <c r="C11989" s="54"/>
      <c r="N11989" s="33"/>
    </row>
    <row r="11990" spans="3:14" x14ac:dyDescent="0.3">
      <c r="C11990" s="54"/>
      <c r="N11990" s="33"/>
    </row>
    <row r="11991" spans="3:14" x14ac:dyDescent="0.3">
      <c r="C11991" s="54"/>
      <c r="N11991" s="33"/>
    </row>
    <row r="11992" spans="3:14" x14ac:dyDescent="0.3">
      <c r="C11992" s="54"/>
      <c r="N11992" s="33"/>
    </row>
    <row r="11993" spans="3:14" x14ac:dyDescent="0.3">
      <c r="C11993" s="54"/>
      <c r="N11993" s="33"/>
    </row>
    <row r="11994" spans="3:14" x14ac:dyDescent="0.3">
      <c r="C11994" s="54"/>
      <c r="N11994" s="33"/>
    </row>
    <row r="11995" spans="3:14" x14ac:dyDescent="0.3">
      <c r="C11995" s="54"/>
      <c r="N11995" s="33"/>
    </row>
    <row r="11996" spans="3:14" x14ac:dyDescent="0.3">
      <c r="C11996" s="54"/>
      <c r="N11996" s="33"/>
    </row>
    <row r="11997" spans="3:14" x14ac:dyDescent="0.3">
      <c r="C11997" s="54"/>
      <c r="N11997" s="33"/>
    </row>
    <row r="11998" spans="3:14" x14ac:dyDescent="0.3">
      <c r="C11998" s="54"/>
      <c r="N11998" s="33"/>
    </row>
    <row r="11999" spans="3:14" x14ac:dyDescent="0.3">
      <c r="C11999" s="54"/>
      <c r="N11999" s="33"/>
    </row>
    <row r="12000" spans="3:14" x14ac:dyDescent="0.3">
      <c r="C12000" s="54"/>
      <c r="N12000" s="33"/>
    </row>
    <row r="12001" spans="3:14" x14ac:dyDescent="0.3">
      <c r="C12001" s="54"/>
      <c r="N12001" s="33"/>
    </row>
    <row r="12002" spans="3:14" x14ac:dyDescent="0.3">
      <c r="C12002" s="54"/>
      <c r="N12002" s="33"/>
    </row>
    <row r="12003" spans="3:14" x14ac:dyDescent="0.3">
      <c r="C12003" s="54"/>
      <c r="N12003" s="33"/>
    </row>
    <row r="12004" spans="3:14" x14ac:dyDescent="0.3">
      <c r="C12004" s="54"/>
      <c r="N12004" s="33"/>
    </row>
    <row r="12005" spans="3:14" x14ac:dyDescent="0.3">
      <c r="C12005" s="54"/>
      <c r="N12005" s="33"/>
    </row>
    <row r="12006" spans="3:14" x14ac:dyDescent="0.3">
      <c r="C12006" s="54"/>
      <c r="N12006" s="33"/>
    </row>
    <row r="12007" spans="3:14" x14ac:dyDescent="0.3">
      <c r="C12007" s="54"/>
      <c r="N12007" s="33"/>
    </row>
    <row r="12008" spans="3:14" x14ac:dyDescent="0.3">
      <c r="C12008" s="54"/>
      <c r="N12008" s="33"/>
    </row>
    <row r="12009" spans="3:14" x14ac:dyDescent="0.3">
      <c r="C12009" s="54"/>
      <c r="N12009" s="33"/>
    </row>
    <row r="12010" spans="3:14" x14ac:dyDescent="0.3">
      <c r="C12010" s="54"/>
      <c r="N12010" s="33"/>
    </row>
    <row r="12011" spans="3:14" x14ac:dyDescent="0.3">
      <c r="C12011" s="54"/>
      <c r="N12011" s="33"/>
    </row>
    <row r="12012" spans="3:14" x14ac:dyDescent="0.3">
      <c r="C12012" s="54"/>
      <c r="N12012" s="33"/>
    </row>
    <row r="12013" spans="3:14" x14ac:dyDescent="0.3">
      <c r="C12013" s="54"/>
      <c r="N12013" s="33"/>
    </row>
    <row r="12014" spans="3:14" x14ac:dyDescent="0.3">
      <c r="C12014" s="54"/>
      <c r="N12014" s="33"/>
    </row>
    <row r="12015" spans="3:14" x14ac:dyDescent="0.3">
      <c r="C12015" s="54"/>
      <c r="N12015" s="33"/>
    </row>
    <row r="12016" spans="3:14" x14ac:dyDescent="0.3">
      <c r="C12016" s="54"/>
      <c r="N12016" s="33"/>
    </row>
    <row r="12017" spans="3:14" x14ac:dyDescent="0.3">
      <c r="C12017" s="54"/>
      <c r="N12017" s="33"/>
    </row>
    <row r="12018" spans="3:14" x14ac:dyDescent="0.3">
      <c r="C12018" s="54"/>
      <c r="N12018" s="33"/>
    </row>
    <row r="12019" spans="3:14" x14ac:dyDescent="0.3">
      <c r="C12019" s="54"/>
      <c r="N12019" s="33"/>
    </row>
    <row r="12020" spans="3:14" x14ac:dyDescent="0.3">
      <c r="C12020" s="54"/>
      <c r="N12020" s="33"/>
    </row>
    <row r="12021" spans="3:14" x14ac:dyDescent="0.3">
      <c r="C12021" s="54"/>
      <c r="N12021" s="33"/>
    </row>
    <row r="12022" spans="3:14" x14ac:dyDescent="0.3">
      <c r="C12022" s="54"/>
      <c r="N12022" s="33"/>
    </row>
    <row r="12023" spans="3:14" x14ac:dyDescent="0.3">
      <c r="C12023" s="54"/>
      <c r="N12023" s="33"/>
    </row>
    <row r="12024" spans="3:14" x14ac:dyDescent="0.3">
      <c r="C12024" s="54"/>
      <c r="N12024" s="33"/>
    </row>
    <row r="12025" spans="3:14" x14ac:dyDescent="0.3">
      <c r="C12025" s="54"/>
      <c r="N12025" s="33"/>
    </row>
    <row r="12026" spans="3:14" x14ac:dyDescent="0.3">
      <c r="C12026" s="54"/>
      <c r="N12026" s="33"/>
    </row>
    <row r="12027" spans="3:14" x14ac:dyDescent="0.3">
      <c r="C12027" s="54"/>
      <c r="N12027" s="33"/>
    </row>
    <row r="12028" spans="3:14" x14ac:dyDescent="0.3">
      <c r="C12028" s="54"/>
      <c r="N12028" s="33"/>
    </row>
    <row r="12029" spans="3:14" x14ac:dyDescent="0.3">
      <c r="C12029" s="54"/>
      <c r="N12029" s="33"/>
    </row>
    <row r="12030" spans="3:14" x14ac:dyDescent="0.3">
      <c r="C12030" s="54"/>
      <c r="N12030" s="33"/>
    </row>
    <row r="12031" spans="3:14" x14ac:dyDescent="0.3">
      <c r="C12031" s="54"/>
      <c r="N12031" s="33"/>
    </row>
    <row r="12032" spans="3:14" x14ac:dyDescent="0.3">
      <c r="C12032" s="54"/>
      <c r="N12032" s="33"/>
    </row>
    <row r="12033" spans="3:14" x14ac:dyDescent="0.3">
      <c r="C12033" s="54"/>
      <c r="N12033" s="33"/>
    </row>
    <row r="12034" spans="3:14" x14ac:dyDescent="0.3">
      <c r="C12034" s="54"/>
      <c r="N12034" s="33"/>
    </row>
    <row r="12035" spans="3:14" x14ac:dyDescent="0.3">
      <c r="C12035" s="54"/>
      <c r="N12035" s="33"/>
    </row>
    <row r="12036" spans="3:14" x14ac:dyDescent="0.3">
      <c r="C12036" s="54"/>
      <c r="N12036" s="33"/>
    </row>
    <row r="12037" spans="3:14" x14ac:dyDescent="0.3">
      <c r="C12037" s="54"/>
      <c r="N12037" s="33"/>
    </row>
    <row r="12038" spans="3:14" x14ac:dyDescent="0.3">
      <c r="C12038" s="54"/>
      <c r="N12038" s="33"/>
    </row>
    <row r="12039" spans="3:14" x14ac:dyDescent="0.3">
      <c r="C12039" s="54"/>
      <c r="N12039" s="33"/>
    </row>
    <row r="12040" spans="3:14" x14ac:dyDescent="0.3">
      <c r="C12040" s="54"/>
      <c r="N12040" s="33"/>
    </row>
    <row r="12041" spans="3:14" x14ac:dyDescent="0.3">
      <c r="C12041" s="54"/>
      <c r="N12041" s="33"/>
    </row>
    <row r="12042" spans="3:14" x14ac:dyDescent="0.3">
      <c r="C12042" s="54"/>
      <c r="N12042" s="33"/>
    </row>
    <row r="12043" spans="3:14" x14ac:dyDescent="0.3">
      <c r="C12043" s="54"/>
      <c r="N12043" s="33"/>
    </row>
    <row r="12044" spans="3:14" x14ac:dyDescent="0.3">
      <c r="C12044" s="54"/>
      <c r="N12044" s="33"/>
    </row>
    <row r="12045" spans="3:14" x14ac:dyDescent="0.3">
      <c r="C12045" s="54"/>
      <c r="N12045" s="33"/>
    </row>
    <row r="12046" spans="3:14" x14ac:dyDescent="0.3">
      <c r="C12046" s="54"/>
      <c r="N12046" s="33"/>
    </row>
    <row r="12047" spans="3:14" x14ac:dyDescent="0.3">
      <c r="C12047" s="54"/>
      <c r="N12047" s="33"/>
    </row>
    <row r="12048" spans="3:14" x14ac:dyDescent="0.3">
      <c r="C12048" s="54"/>
      <c r="N12048" s="33"/>
    </row>
    <row r="12049" spans="3:14" x14ac:dyDescent="0.3">
      <c r="C12049" s="54"/>
      <c r="N12049" s="33"/>
    </row>
    <row r="12050" spans="3:14" x14ac:dyDescent="0.3">
      <c r="C12050" s="54"/>
      <c r="N12050" s="33"/>
    </row>
    <row r="12051" spans="3:14" x14ac:dyDescent="0.3">
      <c r="C12051" s="54"/>
      <c r="N12051" s="33"/>
    </row>
    <row r="12052" spans="3:14" x14ac:dyDescent="0.3">
      <c r="C12052" s="54"/>
      <c r="N12052" s="33"/>
    </row>
    <row r="12053" spans="3:14" x14ac:dyDescent="0.3">
      <c r="C12053" s="54"/>
      <c r="N12053" s="33"/>
    </row>
    <row r="12054" spans="3:14" x14ac:dyDescent="0.3">
      <c r="C12054" s="54"/>
      <c r="N12054" s="33"/>
    </row>
    <row r="12055" spans="3:14" x14ac:dyDescent="0.3">
      <c r="C12055" s="54"/>
      <c r="N12055" s="33"/>
    </row>
    <row r="12056" spans="3:14" x14ac:dyDescent="0.3">
      <c r="C12056" s="54"/>
      <c r="N12056" s="33"/>
    </row>
    <row r="12057" spans="3:14" x14ac:dyDescent="0.3">
      <c r="C12057" s="54"/>
      <c r="N12057" s="33"/>
    </row>
    <row r="12058" spans="3:14" x14ac:dyDescent="0.3">
      <c r="C12058" s="54"/>
      <c r="N12058" s="33"/>
    </row>
    <row r="12059" spans="3:14" x14ac:dyDescent="0.3">
      <c r="C12059" s="54"/>
      <c r="N12059" s="33"/>
    </row>
    <row r="12060" spans="3:14" x14ac:dyDescent="0.3">
      <c r="C12060" s="54"/>
      <c r="N12060" s="33"/>
    </row>
    <row r="12061" spans="3:14" x14ac:dyDescent="0.3">
      <c r="C12061" s="54"/>
      <c r="N12061" s="33"/>
    </row>
    <row r="12062" spans="3:14" x14ac:dyDescent="0.3">
      <c r="C12062" s="54"/>
      <c r="N12062" s="33"/>
    </row>
    <row r="12063" spans="3:14" x14ac:dyDescent="0.3">
      <c r="C12063" s="54"/>
      <c r="N12063" s="33"/>
    </row>
    <row r="12064" spans="3:14" x14ac:dyDescent="0.3">
      <c r="C12064" s="54"/>
      <c r="N12064" s="33"/>
    </row>
    <row r="12065" spans="3:14" x14ac:dyDescent="0.3">
      <c r="C12065" s="54"/>
      <c r="N12065" s="33"/>
    </row>
    <row r="12066" spans="3:14" x14ac:dyDescent="0.3">
      <c r="C12066" s="54"/>
      <c r="N12066" s="33"/>
    </row>
    <row r="12067" spans="3:14" x14ac:dyDescent="0.3">
      <c r="C12067" s="54"/>
      <c r="N12067" s="33"/>
    </row>
    <row r="12068" spans="3:14" x14ac:dyDescent="0.3">
      <c r="C12068" s="54"/>
      <c r="N12068" s="33"/>
    </row>
    <row r="12069" spans="3:14" x14ac:dyDescent="0.3">
      <c r="C12069" s="54"/>
      <c r="N12069" s="33"/>
    </row>
    <row r="12070" spans="3:14" x14ac:dyDescent="0.3">
      <c r="C12070" s="54"/>
      <c r="N12070" s="33"/>
    </row>
    <row r="12071" spans="3:14" x14ac:dyDescent="0.3">
      <c r="C12071" s="54"/>
      <c r="N12071" s="33"/>
    </row>
    <row r="12072" spans="3:14" x14ac:dyDescent="0.3">
      <c r="C12072" s="54"/>
      <c r="N12072" s="33"/>
    </row>
    <row r="12073" spans="3:14" x14ac:dyDescent="0.3">
      <c r="C12073" s="54"/>
      <c r="N12073" s="33"/>
    </row>
    <row r="12074" spans="3:14" x14ac:dyDescent="0.3">
      <c r="C12074" s="54"/>
      <c r="N12074" s="33"/>
    </row>
    <row r="12075" spans="3:14" x14ac:dyDescent="0.3">
      <c r="C12075" s="54"/>
      <c r="N12075" s="33"/>
    </row>
    <row r="12076" spans="3:14" x14ac:dyDescent="0.3">
      <c r="C12076" s="54"/>
      <c r="N12076" s="33"/>
    </row>
    <row r="12077" spans="3:14" x14ac:dyDescent="0.3">
      <c r="C12077" s="54"/>
      <c r="N12077" s="33"/>
    </row>
    <row r="12078" spans="3:14" x14ac:dyDescent="0.3">
      <c r="C12078" s="54"/>
      <c r="N12078" s="33"/>
    </row>
    <row r="12079" spans="3:14" x14ac:dyDescent="0.3">
      <c r="C12079" s="54"/>
      <c r="N12079" s="33"/>
    </row>
    <row r="12080" spans="3:14" x14ac:dyDescent="0.3">
      <c r="C12080" s="54"/>
      <c r="N12080" s="33"/>
    </row>
    <row r="12081" spans="3:14" x14ac:dyDescent="0.3">
      <c r="C12081" s="54"/>
      <c r="N12081" s="33"/>
    </row>
    <row r="12082" spans="3:14" x14ac:dyDescent="0.3">
      <c r="C12082" s="54"/>
      <c r="N12082" s="33"/>
    </row>
    <row r="12083" spans="3:14" x14ac:dyDescent="0.3">
      <c r="C12083" s="54"/>
      <c r="N12083" s="33"/>
    </row>
    <row r="12084" spans="3:14" x14ac:dyDescent="0.3">
      <c r="C12084" s="54"/>
      <c r="N12084" s="33"/>
    </row>
    <row r="12085" spans="3:14" x14ac:dyDescent="0.3">
      <c r="C12085" s="54"/>
      <c r="N12085" s="33"/>
    </row>
    <row r="12086" spans="3:14" x14ac:dyDescent="0.3">
      <c r="C12086" s="54"/>
      <c r="N12086" s="33"/>
    </row>
    <row r="12087" spans="3:14" x14ac:dyDescent="0.3">
      <c r="C12087" s="54"/>
      <c r="N12087" s="33"/>
    </row>
    <row r="12088" spans="3:14" x14ac:dyDescent="0.3">
      <c r="C12088" s="54"/>
      <c r="N12088" s="33"/>
    </row>
    <row r="12089" spans="3:14" x14ac:dyDescent="0.3">
      <c r="C12089" s="54"/>
      <c r="N12089" s="33"/>
    </row>
    <row r="12090" spans="3:14" x14ac:dyDescent="0.3">
      <c r="C12090" s="54"/>
      <c r="N12090" s="33"/>
    </row>
    <row r="12091" spans="3:14" x14ac:dyDescent="0.3">
      <c r="C12091" s="54"/>
      <c r="N12091" s="33"/>
    </row>
    <row r="12092" spans="3:14" x14ac:dyDescent="0.3">
      <c r="C12092" s="54"/>
      <c r="N12092" s="33"/>
    </row>
    <row r="12093" spans="3:14" x14ac:dyDescent="0.3">
      <c r="C12093" s="54"/>
      <c r="N12093" s="33"/>
    </row>
    <row r="12094" spans="3:14" x14ac:dyDescent="0.3">
      <c r="C12094" s="54"/>
      <c r="N12094" s="33"/>
    </row>
    <row r="12095" spans="3:14" x14ac:dyDescent="0.3">
      <c r="C12095" s="54"/>
      <c r="N12095" s="33"/>
    </row>
    <row r="12096" spans="3:14" x14ac:dyDescent="0.3">
      <c r="C12096" s="54"/>
      <c r="N12096" s="33"/>
    </row>
    <row r="12097" spans="3:14" x14ac:dyDescent="0.3">
      <c r="C12097" s="54"/>
      <c r="N12097" s="33"/>
    </row>
    <row r="12098" spans="3:14" x14ac:dyDescent="0.3">
      <c r="C12098" s="54"/>
      <c r="N12098" s="33"/>
    </row>
    <row r="12099" spans="3:14" x14ac:dyDescent="0.3">
      <c r="C12099" s="54"/>
      <c r="N12099" s="33"/>
    </row>
    <row r="12100" spans="3:14" x14ac:dyDescent="0.3">
      <c r="C12100" s="54"/>
      <c r="N12100" s="33"/>
    </row>
    <row r="12101" spans="3:14" x14ac:dyDescent="0.3">
      <c r="C12101" s="54"/>
      <c r="N12101" s="33"/>
    </row>
    <row r="12102" spans="3:14" x14ac:dyDescent="0.3">
      <c r="C12102" s="54"/>
      <c r="N12102" s="33"/>
    </row>
    <row r="12103" spans="3:14" x14ac:dyDescent="0.3">
      <c r="C12103" s="54"/>
      <c r="N12103" s="33"/>
    </row>
    <row r="12104" spans="3:14" x14ac:dyDescent="0.3">
      <c r="C12104" s="54"/>
      <c r="N12104" s="33"/>
    </row>
    <row r="12105" spans="3:14" x14ac:dyDescent="0.3">
      <c r="C12105" s="54"/>
      <c r="N12105" s="33"/>
    </row>
    <row r="12106" spans="3:14" x14ac:dyDescent="0.3">
      <c r="C12106" s="54"/>
      <c r="N12106" s="33"/>
    </row>
    <row r="12107" spans="3:14" x14ac:dyDescent="0.3">
      <c r="C12107" s="54"/>
      <c r="N12107" s="33"/>
    </row>
    <row r="12108" spans="3:14" x14ac:dyDescent="0.3">
      <c r="C12108" s="54"/>
      <c r="N12108" s="33"/>
    </row>
    <row r="12109" spans="3:14" x14ac:dyDescent="0.3">
      <c r="C12109" s="54"/>
      <c r="N12109" s="33"/>
    </row>
    <row r="12110" spans="3:14" x14ac:dyDescent="0.3">
      <c r="C12110" s="54"/>
      <c r="N12110" s="33"/>
    </row>
    <row r="12111" spans="3:14" x14ac:dyDescent="0.3">
      <c r="C12111" s="54"/>
      <c r="N12111" s="33"/>
    </row>
    <row r="12112" spans="3:14" x14ac:dyDescent="0.3">
      <c r="C12112" s="54"/>
      <c r="N12112" s="33"/>
    </row>
    <row r="12113" spans="3:14" x14ac:dyDescent="0.3">
      <c r="C12113" s="54"/>
      <c r="N12113" s="33"/>
    </row>
    <row r="12114" spans="3:14" x14ac:dyDescent="0.3">
      <c r="C12114" s="54"/>
      <c r="N12114" s="33"/>
    </row>
    <row r="12115" spans="3:14" x14ac:dyDescent="0.3">
      <c r="C12115" s="54"/>
      <c r="N12115" s="33"/>
    </row>
    <row r="12116" spans="3:14" x14ac:dyDescent="0.3">
      <c r="C12116" s="54"/>
      <c r="N12116" s="33"/>
    </row>
    <row r="12117" spans="3:14" x14ac:dyDescent="0.3">
      <c r="C12117" s="54"/>
      <c r="N12117" s="33"/>
    </row>
    <row r="12118" spans="3:14" x14ac:dyDescent="0.3">
      <c r="C12118" s="54"/>
      <c r="N12118" s="33"/>
    </row>
    <row r="12119" spans="3:14" x14ac:dyDescent="0.3">
      <c r="C12119" s="54"/>
      <c r="N12119" s="33"/>
    </row>
    <row r="12120" spans="3:14" x14ac:dyDescent="0.3">
      <c r="C12120" s="54"/>
      <c r="N12120" s="33"/>
    </row>
    <row r="12121" spans="3:14" x14ac:dyDescent="0.3">
      <c r="C12121" s="54"/>
      <c r="N12121" s="33"/>
    </row>
    <row r="12122" spans="3:14" x14ac:dyDescent="0.3">
      <c r="C12122" s="54"/>
      <c r="N12122" s="33"/>
    </row>
    <row r="12123" spans="3:14" x14ac:dyDescent="0.3">
      <c r="C12123" s="54"/>
      <c r="N12123" s="33"/>
    </row>
    <row r="12124" spans="3:14" x14ac:dyDescent="0.3">
      <c r="C12124" s="54"/>
      <c r="N12124" s="33"/>
    </row>
    <row r="12125" spans="3:14" x14ac:dyDescent="0.3">
      <c r="C12125" s="54"/>
      <c r="N12125" s="33"/>
    </row>
    <row r="12126" spans="3:14" x14ac:dyDescent="0.3">
      <c r="C12126" s="54"/>
      <c r="N12126" s="33"/>
    </row>
    <row r="12127" spans="3:14" x14ac:dyDescent="0.3">
      <c r="C12127" s="54"/>
      <c r="N12127" s="33"/>
    </row>
    <row r="12128" spans="3:14" x14ac:dyDescent="0.3">
      <c r="C12128" s="54"/>
      <c r="N12128" s="33"/>
    </row>
    <row r="12129" spans="3:14" x14ac:dyDescent="0.3">
      <c r="C12129" s="54"/>
      <c r="N12129" s="33"/>
    </row>
    <row r="12130" spans="3:14" x14ac:dyDescent="0.3">
      <c r="C12130" s="54"/>
      <c r="N12130" s="33"/>
    </row>
    <row r="12131" spans="3:14" x14ac:dyDescent="0.3">
      <c r="C12131" s="54"/>
      <c r="N12131" s="33"/>
    </row>
    <row r="12132" spans="3:14" x14ac:dyDescent="0.3">
      <c r="C12132" s="54"/>
      <c r="N12132" s="33"/>
    </row>
    <row r="12133" spans="3:14" x14ac:dyDescent="0.3">
      <c r="C12133" s="54"/>
      <c r="N12133" s="33"/>
    </row>
    <row r="12134" spans="3:14" x14ac:dyDescent="0.3">
      <c r="C12134" s="54"/>
      <c r="N12134" s="33"/>
    </row>
    <row r="12135" spans="3:14" x14ac:dyDescent="0.3">
      <c r="C12135" s="54"/>
      <c r="N12135" s="33"/>
    </row>
    <row r="12136" spans="3:14" x14ac:dyDescent="0.3">
      <c r="C12136" s="54"/>
      <c r="N12136" s="33"/>
    </row>
    <row r="12137" spans="3:14" x14ac:dyDescent="0.3">
      <c r="C12137" s="54"/>
      <c r="N12137" s="33"/>
    </row>
    <row r="12138" spans="3:14" x14ac:dyDescent="0.3">
      <c r="C12138" s="54"/>
      <c r="N12138" s="33"/>
    </row>
    <row r="12139" spans="3:14" x14ac:dyDescent="0.3">
      <c r="C12139" s="54"/>
      <c r="N12139" s="33"/>
    </row>
    <row r="12140" spans="3:14" x14ac:dyDescent="0.3">
      <c r="C12140" s="54"/>
      <c r="N12140" s="33"/>
    </row>
    <row r="12141" spans="3:14" x14ac:dyDescent="0.3">
      <c r="C12141" s="54"/>
      <c r="N12141" s="33"/>
    </row>
    <row r="12142" spans="3:14" x14ac:dyDescent="0.3">
      <c r="C12142" s="54"/>
      <c r="N12142" s="33"/>
    </row>
    <row r="12143" spans="3:14" x14ac:dyDescent="0.3">
      <c r="C12143" s="54"/>
      <c r="N12143" s="33"/>
    </row>
    <row r="12144" spans="3:14" x14ac:dyDescent="0.3">
      <c r="C12144" s="54"/>
      <c r="N12144" s="33"/>
    </row>
    <row r="12145" spans="3:14" x14ac:dyDescent="0.3">
      <c r="C12145" s="54"/>
      <c r="N12145" s="33"/>
    </row>
    <row r="12146" spans="3:14" x14ac:dyDescent="0.3">
      <c r="C12146" s="54"/>
      <c r="N12146" s="33"/>
    </row>
    <row r="12147" spans="3:14" x14ac:dyDescent="0.3">
      <c r="C12147" s="54"/>
      <c r="N12147" s="33"/>
    </row>
    <row r="12148" spans="3:14" x14ac:dyDescent="0.3">
      <c r="C12148" s="54"/>
      <c r="N12148" s="33"/>
    </row>
    <row r="12149" spans="3:14" x14ac:dyDescent="0.3">
      <c r="C12149" s="54"/>
      <c r="N12149" s="33"/>
    </row>
    <row r="12150" spans="3:14" x14ac:dyDescent="0.3">
      <c r="C12150" s="54"/>
      <c r="N12150" s="33"/>
    </row>
    <row r="12151" spans="3:14" x14ac:dyDescent="0.3">
      <c r="C12151" s="54"/>
      <c r="N12151" s="33"/>
    </row>
    <row r="12152" spans="3:14" x14ac:dyDescent="0.3">
      <c r="C12152" s="54"/>
      <c r="N12152" s="33"/>
    </row>
    <row r="12153" spans="3:14" x14ac:dyDescent="0.3">
      <c r="C12153" s="54"/>
      <c r="N12153" s="33"/>
    </row>
    <row r="12154" spans="3:14" x14ac:dyDescent="0.3">
      <c r="C12154" s="54"/>
      <c r="N12154" s="33"/>
    </row>
    <row r="12155" spans="3:14" x14ac:dyDescent="0.3">
      <c r="C12155" s="54"/>
      <c r="N12155" s="33"/>
    </row>
    <row r="12156" spans="3:14" x14ac:dyDescent="0.3">
      <c r="C12156" s="54"/>
      <c r="N12156" s="33"/>
    </row>
    <row r="12157" spans="3:14" x14ac:dyDescent="0.3">
      <c r="C12157" s="54"/>
      <c r="N12157" s="33"/>
    </row>
    <row r="12158" spans="3:14" x14ac:dyDescent="0.3">
      <c r="C12158" s="54"/>
      <c r="N12158" s="33"/>
    </row>
    <row r="12159" spans="3:14" x14ac:dyDescent="0.3">
      <c r="C12159" s="54"/>
      <c r="N12159" s="33"/>
    </row>
    <row r="12160" spans="3:14" x14ac:dyDescent="0.3">
      <c r="C12160" s="54"/>
      <c r="N12160" s="33"/>
    </row>
    <row r="12161" spans="3:14" x14ac:dyDescent="0.3">
      <c r="C12161" s="54"/>
      <c r="N12161" s="33"/>
    </row>
    <row r="12162" spans="3:14" x14ac:dyDescent="0.3">
      <c r="C12162" s="54"/>
      <c r="N12162" s="33"/>
    </row>
    <row r="12163" spans="3:14" x14ac:dyDescent="0.3">
      <c r="C12163" s="54"/>
      <c r="N12163" s="33"/>
    </row>
    <row r="12164" spans="3:14" x14ac:dyDescent="0.3">
      <c r="C12164" s="54"/>
      <c r="N12164" s="33"/>
    </row>
    <row r="12165" spans="3:14" x14ac:dyDescent="0.3">
      <c r="C12165" s="54"/>
      <c r="N12165" s="33"/>
    </row>
    <row r="12166" spans="3:14" x14ac:dyDescent="0.3">
      <c r="C12166" s="54"/>
      <c r="N12166" s="33"/>
    </row>
    <row r="12167" spans="3:14" x14ac:dyDescent="0.3">
      <c r="C12167" s="54"/>
      <c r="N12167" s="33"/>
    </row>
    <row r="12168" spans="3:14" x14ac:dyDescent="0.3">
      <c r="C12168" s="54"/>
      <c r="N12168" s="33"/>
    </row>
    <row r="12169" spans="3:14" x14ac:dyDescent="0.3">
      <c r="C12169" s="54"/>
      <c r="N12169" s="33"/>
    </row>
    <row r="12170" spans="3:14" x14ac:dyDescent="0.3">
      <c r="C12170" s="54"/>
      <c r="N12170" s="33"/>
    </row>
    <row r="12171" spans="3:14" x14ac:dyDescent="0.3">
      <c r="C12171" s="54"/>
      <c r="N12171" s="33"/>
    </row>
    <row r="12172" spans="3:14" x14ac:dyDescent="0.3">
      <c r="C12172" s="54"/>
      <c r="N12172" s="33"/>
    </row>
    <row r="12173" spans="3:14" x14ac:dyDescent="0.3">
      <c r="C12173" s="54"/>
      <c r="N12173" s="33"/>
    </row>
    <row r="12174" spans="3:14" x14ac:dyDescent="0.3">
      <c r="C12174" s="54"/>
      <c r="N12174" s="33"/>
    </row>
    <row r="12175" spans="3:14" x14ac:dyDescent="0.3">
      <c r="C12175" s="54"/>
      <c r="N12175" s="33"/>
    </row>
    <row r="12176" spans="3:14" x14ac:dyDescent="0.3">
      <c r="C12176" s="54"/>
      <c r="N12176" s="33"/>
    </row>
    <row r="12177" spans="3:14" x14ac:dyDescent="0.3">
      <c r="C12177" s="54"/>
      <c r="N12177" s="33"/>
    </row>
    <row r="12178" spans="3:14" x14ac:dyDescent="0.3">
      <c r="C12178" s="54"/>
      <c r="N12178" s="33"/>
    </row>
    <row r="12179" spans="3:14" x14ac:dyDescent="0.3">
      <c r="C12179" s="54"/>
      <c r="N12179" s="33"/>
    </row>
    <row r="12180" spans="3:14" x14ac:dyDescent="0.3">
      <c r="C12180" s="54"/>
      <c r="N12180" s="33"/>
    </row>
    <row r="12181" spans="3:14" x14ac:dyDescent="0.3">
      <c r="C12181" s="54"/>
      <c r="N12181" s="33"/>
    </row>
    <row r="12182" spans="3:14" x14ac:dyDescent="0.3">
      <c r="C12182" s="54"/>
      <c r="N12182" s="33"/>
    </row>
    <row r="12183" spans="3:14" x14ac:dyDescent="0.3">
      <c r="C12183" s="54"/>
      <c r="N12183" s="33"/>
    </row>
    <row r="12184" spans="3:14" x14ac:dyDescent="0.3">
      <c r="C12184" s="54"/>
      <c r="N12184" s="33"/>
    </row>
    <row r="12185" spans="3:14" x14ac:dyDescent="0.3">
      <c r="C12185" s="54"/>
      <c r="N12185" s="33"/>
    </row>
    <row r="12186" spans="3:14" x14ac:dyDescent="0.3">
      <c r="C12186" s="54"/>
      <c r="N12186" s="33"/>
    </row>
    <row r="12187" spans="3:14" x14ac:dyDescent="0.3">
      <c r="C12187" s="54"/>
      <c r="N12187" s="33"/>
    </row>
    <row r="12188" spans="3:14" x14ac:dyDescent="0.3">
      <c r="C12188" s="54"/>
      <c r="N12188" s="33"/>
    </row>
    <row r="12189" spans="3:14" x14ac:dyDescent="0.3">
      <c r="C12189" s="54"/>
      <c r="N12189" s="33"/>
    </row>
    <row r="12190" spans="3:14" x14ac:dyDescent="0.3">
      <c r="C12190" s="54"/>
      <c r="N12190" s="33"/>
    </row>
    <row r="12191" spans="3:14" x14ac:dyDescent="0.3">
      <c r="C12191" s="54"/>
      <c r="N12191" s="33"/>
    </row>
    <row r="12192" spans="3:14" x14ac:dyDescent="0.3">
      <c r="C12192" s="54"/>
      <c r="N12192" s="33"/>
    </row>
    <row r="12193" spans="3:14" x14ac:dyDescent="0.3">
      <c r="C12193" s="54"/>
      <c r="N12193" s="33"/>
    </row>
    <row r="12194" spans="3:14" x14ac:dyDescent="0.3">
      <c r="C12194" s="54"/>
      <c r="N12194" s="33"/>
    </row>
    <row r="12195" spans="3:14" x14ac:dyDescent="0.3">
      <c r="C12195" s="54"/>
      <c r="N12195" s="33"/>
    </row>
    <row r="12196" spans="3:14" x14ac:dyDescent="0.3">
      <c r="C12196" s="54"/>
      <c r="N12196" s="33"/>
    </row>
    <row r="12197" spans="3:14" x14ac:dyDescent="0.3">
      <c r="C12197" s="54"/>
      <c r="N12197" s="33"/>
    </row>
    <row r="12198" spans="3:14" x14ac:dyDescent="0.3">
      <c r="C12198" s="54"/>
      <c r="N12198" s="33"/>
    </row>
    <row r="12199" spans="3:14" x14ac:dyDescent="0.3">
      <c r="C12199" s="54"/>
      <c r="N12199" s="33"/>
    </row>
    <row r="12200" spans="3:14" x14ac:dyDescent="0.3">
      <c r="C12200" s="54"/>
      <c r="N12200" s="33"/>
    </row>
    <row r="12201" spans="3:14" x14ac:dyDescent="0.3">
      <c r="C12201" s="54"/>
      <c r="N12201" s="33"/>
    </row>
    <row r="12202" spans="3:14" x14ac:dyDescent="0.3">
      <c r="C12202" s="54"/>
      <c r="N12202" s="33"/>
    </row>
    <row r="12203" spans="3:14" x14ac:dyDescent="0.3">
      <c r="C12203" s="54"/>
      <c r="N12203" s="33"/>
    </row>
    <row r="12204" spans="3:14" x14ac:dyDescent="0.3">
      <c r="C12204" s="54"/>
      <c r="N12204" s="33"/>
    </row>
    <row r="12205" spans="3:14" x14ac:dyDescent="0.3">
      <c r="C12205" s="54"/>
      <c r="N12205" s="33"/>
    </row>
    <row r="12206" spans="3:14" x14ac:dyDescent="0.3">
      <c r="C12206" s="54"/>
      <c r="N12206" s="33"/>
    </row>
    <row r="12207" spans="3:14" x14ac:dyDescent="0.3">
      <c r="C12207" s="54"/>
      <c r="N12207" s="33"/>
    </row>
    <row r="12208" spans="3:14" x14ac:dyDescent="0.3">
      <c r="C12208" s="54"/>
      <c r="N12208" s="33"/>
    </row>
    <row r="12209" spans="3:14" x14ac:dyDescent="0.3">
      <c r="C12209" s="54"/>
      <c r="N12209" s="33"/>
    </row>
    <row r="12210" spans="3:14" x14ac:dyDescent="0.3">
      <c r="C12210" s="54"/>
      <c r="N12210" s="33"/>
    </row>
    <row r="12211" spans="3:14" x14ac:dyDescent="0.3">
      <c r="C12211" s="54"/>
      <c r="N12211" s="33"/>
    </row>
    <row r="12212" spans="3:14" x14ac:dyDescent="0.3">
      <c r="C12212" s="54"/>
      <c r="N12212" s="33"/>
    </row>
    <row r="12213" spans="3:14" x14ac:dyDescent="0.3">
      <c r="C12213" s="54"/>
      <c r="N12213" s="33"/>
    </row>
    <row r="12214" spans="3:14" x14ac:dyDescent="0.3">
      <c r="C12214" s="54"/>
      <c r="N12214" s="33"/>
    </row>
    <row r="12215" spans="3:14" x14ac:dyDescent="0.3">
      <c r="C12215" s="54"/>
      <c r="N12215" s="33"/>
    </row>
    <row r="12216" spans="3:14" x14ac:dyDescent="0.3">
      <c r="C12216" s="54"/>
      <c r="N12216" s="33"/>
    </row>
    <row r="12217" spans="3:14" x14ac:dyDescent="0.3">
      <c r="C12217" s="54"/>
      <c r="N12217" s="33"/>
    </row>
    <row r="12218" spans="3:14" x14ac:dyDescent="0.3">
      <c r="C12218" s="54"/>
      <c r="N12218" s="33"/>
    </row>
    <row r="12219" spans="3:14" x14ac:dyDescent="0.3">
      <c r="C12219" s="54"/>
      <c r="N12219" s="33"/>
    </row>
    <row r="12220" spans="3:14" x14ac:dyDescent="0.3">
      <c r="C12220" s="54"/>
      <c r="N12220" s="33"/>
    </row>
    <row r="12221" spans="3:14" x14ac:dyDescent="0.3">
      <c r="C12221" s="54"/>
      <c r="N12221" s="33"/>
    </row>
    <row r="12222" spans="3:14" x14ac:dyDescent="0.3">
      <c r="C12222" s="54"/>
      <c r="N12222" s="33"/>
    </row>
    <row r="12223" spans="3:14" x14ac:dyDescent="0.3">
      <c r="C12223" s="54"/>
      <c r="N12223" s="33"/>
    </row>
    <row r="12224" spans="3:14" x14ac:dyDescent="0.3">
      <c r="C12224" s="54"/>
      <c r="N12224" s="33"/>
    </row>
    <row r="12225" spans="3:14" x14ac:dyDescent="0.3">
      <c r="C12225" s="54"/>
      <c r="N12225" s="33"/>
    </row>
    <row r="12226" spans="3:14" x14ac:dyDescent="0.3">
      <c r="C12226" s="54"/>
      <c r="N12226" s="33"/>
    </row>
    <row r="12227" spans="3:14" x14ac:dyDescent="0.3">
      <c r="C12227" s="54"/>
      <c r="N12227" s="33"/>
    </row>
    <row r="12228" spans="3:14" x14ac:dyDescent="0.3">
      <c r="C12228" s="54"/>
      <c r="N12228" s="33"/>
    </row>
    <row r="12229" spans="3:14" x14ac:dyDescent="0.3">
      <c r="C12229" s="54"/>
      <c r="N12229" s="33"/>
    </row>
    <row r="12230" spans="3:14" x14ac:dyDescent="0.3">
      <c r="C12230" s="54"/>
      <c r="N12230" s="33"/>
    </row>
    <row r="12231" spans="3:14" x14ac:dyDescent="0.3">
      <c r="C12231" s="54"/>
      <c r="N12231" s="33"/>
    </row>
    <row r="12232" spans="3:14" x14ac:dyDescent="0.3">
      <c r="C12232" s="54"/>
      <c r="N12232" s="33"/>
    </row>
    <row r="12233" spans="3:14" x14ac:dyDescent="0.3">
      <c r="C12233" s="54"/>
      <c r="N12233" s="33"/>
    </row>
    <row r="12234" spans="3:14" x14ac:dyDescent="0.3">
      <c r="C12234" s="54"/>
      <c r="N12234" s="33"/>
    </row>
    <row r="12235" spans="3:14" x14ac:dyDescent="0.3">
      <c r="C12235" s="54"/>
      <c r="N12235" s="33"/>
    </row>
    <row r="12236" spans="3:14" x14ac:dyDescent="0.3">
      <c r="C12236" s="54"/>
      <c r="N12236" s="33"/>
    </row>
    <row r="12237" spans="3:14" x14ac:dyDescent="0.3">
      <c r="C12237" s="54"/>
      <c r="N12237" s="33"/>
    </row>
    <row r="12238" spans="3:14" x14ac:dyDescent="0.3">
      <c r="C12238" s="54"/>
      <c r="N12238" s="33"/>
    </row>
    <row r="12239" spans="3:14" x14ac:dyDescent="0.3">
      <c r="C12239" s="54"/>
      <c r="N12239" s="33"/>
    </row>
    <row r="12240" spans="3:14" x14ac:dyDescent="0.3">
      <c r="C12240" s="54"/>
      <c r="N12240" s="33"/>
    </row>
    <row r="12241" spans="3:14" x14ac:dyDescent="0.3">
      <c r="C12241" s="54"/>
      <c r="N12241" s="33"/>
    </row>
    <row r="12242" spans="3:14" x14ac:dyDescent="0.3">
      <c r="C12242" s="54"/>
      <c r="N12242" s="33"/>
    </row>
    <row r="12243" spans="3:14" x14ac:dyDescent="0.3">
      <c r="C12243" s="54"/>
      <c r="N12243" s="33"/>
    </row>
    <row r="12244" spans="3:14" x14ac:dyDescent="0.3">
      <c r="C12244" s="54"/>
      <c r="N12244" s="33"/>
    </row>
    <row r="12245" spans="3:14" x14ac:dyDescent="0.3">
      <c r="C12245" s="54"/>
      <c r="N12245" s="33"/>
    </row>
    <row r="12246" spans="3:14" x14ac:dyDescent="0.3">
      <c r="C12246" s="54"/>
      <c r="N12246" s="33"/>
    </row>
    <row r="12247" spans="3:14" x14ac:dyDescent="0.3">
      <c r="C12247" s="54"/>
      <c r="N12247" s="33"/>
    </row>
    <row r="12248" spans="3:14" x14ac:dyDescent="0.3">
      <c r="C12248" s="54"/>
      <c r="N12248" s="33"/>
    </row>
    <row r="12249" spans="3:14" x14ac:dyDescent="0.3">
      <c r="C12249" s="54"/>
      <c r="N12249" s="33"/>
    </row>
    <row r="12250" spans="3:14" x14ac:dyDescent="0.3">
      <c r="C12250" s="54"/>
      <c r="N12250" s="33"/>
    </row>
    <row r="12251" spans="3:14" x14ac:dyDescent="0.3">
      <c r="C12251" s="54"/>
      <c r="N12251" s="33"/>
    </row>
    <row r="12252" spans="3:14" x14ac:dyDescent="0.3">
      <c r="C12252" s="54"/>
      <c r="N12252" s="33"/>
    </row>
    <row r="12253" spans="3:14" x14ac:dyDescent="0.3">
      <c r="C12253" s="54"/>
      <c r="N12253" s="33"/>
    </row>
    <row r="12254" spans="3:14" x14ac:dyDescent="0.3">
      <c r="C12254" s="54"/>
      <c r="N12254" s="33"/>
    </row>
    <row r="12255" spans="3:14" x14ac:dyDescent="0.3">
      <c r="C12255" s="54"/>
      <c r="N12255" s="33"/>
    </row>
    <row r="12256" spans="3:14" x14ac:dyDescent="0.3">
      <c r="C12256" s="54"/>
      <c r="N12256" s="33"/>
    </row>
    <row r="12257" spans="3:14" x14ac:dyDescent="0.3">
      <c r="C12257" s="54"/>
      <c r="N12257" s="33"/>
    </row>
    <row r="12258" spans="3:14" x14ac:dyDescent="0.3">
      <c r="C12258" s="54"/>
      <c r="N12258" s="33"/>
    </row>
    <row r="12259" spans="3:14" x14ac:dyDescent="0.3">
      <c r="C12259" s="54"/>
      <c r="N12259" s="33"/>
    </row>
    <row r="12260" spans="3:14" x14ac:dyDescent="0.3">
      <c r="C12260" s="54"/>
      <c r="N12260" s="33"/>
    </row>
    <row r="12261" spans="3:14" x14ac:dyDescent="0.3">
      <c r="C12261" s="54"/>
      <c r="N12261" s="33"/>
    </row>
    <row r="12262" spans="3:14" x14ac:dyDescent="0.3">
      <c r="C12262" s="54"/>
      <c r="N12262" s="33"/>
    </row>
    <row r="12263" spans="3:14" x14ac:dyDescent="0.3">
      <c r="C12263" s="54"/>
      <c r="N12263" s="33"/>
    </row>
    <row r="12264" spans="3:14" x14ac:dyDescent="0.3">
      <c r="C12264" s="54"/>
      <c r="N12264" s="33"/>
    </row>
    <row r="12265" spans="3:14" x14ac:dyDescent="0.3">
      <c r="C12265" s="54"/>
      <c r="N12265" s="33"/>
    </row>
    <row r="12266" spans="3:14" x14ac:dyDescent="0.3">
      <c r="C12266" s="54"/>
      <c r="N12266" s="33"/>
    </row>
    <row r="12267" spans="3:14" x14ac:dyDescent="0.3">
      <c r="C12267" s="54"/>
      <c r="N12267" s="33"/>
    </row>
    <row r="12268" spans="3:14" x14ac:dyDescent="0.3">
      <c r="C12268" s="54"/>
      <c r="N12268" s="33"/>
    </row>
    <row r="12269" spans="3:14" x14ac:dyDescent="0.3">
      <c r="C12269" s="54"/>
      <c r="N12269" s="33"/>
    </row>
    <row r="12270" spans="3:14" x14ac:dyDescent="0.3">
      <c r="C12270" s="54"/>
      <c r="N12270" s="33"/>
    </row>
    <row r="12271" spans="3:14" x14ac:dyDescent="0.3">
      <c r="C12271" s="54"/>
      <c r="N12271" s="33"/>
    </row>
    <row r="12272" spans="3:14" x14ac:dyDescent="0.3">
      <c r="C12272" s="54"/>
      <c r="N12272" s="33"/>
    </row>
    <row r="12273" spans="3:14" x14ac:dyDescent="0.3">
      <c r="C12273" s="54"/>
      <c r="N12273" s="33"/>
    </row>
    <row r="12274" spans="3:14" x14ac:dyDescent="0.3">
      <c r="C12274" s="54"/>
      <c r="N12274" s="33"/>
    </row>
    <row r="12275" spans="3:14" x14ac:dyDescent="0.3">
      <c r="C12275" s="54"/>
      <c r="N12275" s="33"/>
    </row>
    <row r="12276" spans="3:14" x14ac:dyDescent="0.3">
      <c r="C12276" s="54"/>
      <c r="N12276" s="33"/>
    </row>
    <row r="12277" spans="3:14" x14ac:dyDescent="0.3">
      <c r="C12277" s="54"/>
      <c r="N12277" s="33"/>
    </row>
    <row r="12278" spans="3:14" x14ac:dyDescent="0.3">
      <c r="C12278" s="54"/>
      <c r="N12278" s="33"/>
    </row>
    <row r="12279" spans="3:14" x14ac:dyDescent="0.3">
      <c r="C12279" s="54"/>
      <c r="N12279" s="33"/>
    </row>
    <row r="12280" spans="3:14" x14ac:dyDescent="0.3">
      <c r="C12280" s="54"/>
      <c r="N12280" s="33"/>
    </row>
    <row r="12281" spans="3:14" x14ac:dyDescent="0.3">
      <c r="C12281" s="54"/>
      <c r="N12281" s="33"/>
    </row>
    <row r="12282" spans="3:14" x14ac:dyDescent="0.3">
      <c r="C12282" s="54"/>
      <c r="N12282" s="33"/>
    </row>
    <row r="12283" spans="3:14" x14ac:dyDescent="0.3">
      <c r="C12283" s="54"/>
      <c r="N12283" s="33"/>
    </row>
    <row r="12284" spans="3:14" x14ac:dyDescent="0.3">
      <c r="C12284" s="54"/>
      <c r="N12284" s="33"/>
    </row>
    <row r="12285" spans="3:14" x14ac:dyDescent="0.3">
      <c r="C12285" s="54"/>
      <c r="N12285" s="33"/>
    </row>
    <row r="12286" spans="3:14" x14ac:dyDescent="0.3">
      <c r="C12286" s="54"/>
      <c r="N12286" s="33"/>
    </row>
    <row r="12287" spans="3:14" x14ac:dyDescent="0.3">
      <c r="C12287" s="54"/>
      <c r="N12287" s="33"/>
    </row>
    <row r="12288" spans="3:14" x14ac:dyDescent="0.3">
      <c r="C12288" s="54"/>
      <c r="N12288" s="33"/>
    </row>
    <row r="12289" spans="3:14" x14ac:dyDescent="0.3">
      <c r="C12289" s="54"/>
      <c r="N12289" s="33"/>
    </row>
    <row r="12290" spans="3:14" x14ac:dyDescent="0.3">
      <c r="C12290" s="54"/>
      <c r="N12290" s="33"/>
    </row>
    <row r="12291" spans="3:14" x14ac:dyDescent="0.3">
      <c r="C12291" s="54"/>
      <c r="N12291" s="33"/>
    </row>
    <row r="12292" spans="3:14" x14ac:dyDescent="0.3">
      <c r="C12292" s="54"/>
      <c r="N12292" s="33"/>
    </row>
    <row r="12293" spans="3:14" x14ac:dyDescent="0.3">
      <c r="C12293" s="54"/>
      <c r="N12293" s="33"/>
    </row>
    <row r="12294" spans="3:14" x14ac:dyDescent="0.3">
      <c r="C12294" s="54"/>
      <c r="N12294" s="33"/>
    </row>
    <row r="12295" spans="3:14" x14ac:dyDescent="0.3">
      <c r="C12295" s="54"/>
      <c r="N12295" s="33"/>
    </row>
    <row r="12296" spans="3:14" x14ac:dyDescent="0.3">
      <c r="C12296" s="54"/>
      <c r="N12296" s="33"/>
    </row>
    <row r="12297" spans="3:14" x14ac:dyDescent="0.3">
      <c r="C12297" s="54"/>
      <c r="N12297" s="33"/>
    </row>
    <row r="12298" spans="3:14" x14ac:dyDescent="0.3">
      <c r="C12298" s="54"/>
      <c r="N12298" s="33"/>
    </row>
    <row r="12299" spans="3:14" x14ac:dyDescent="0.3">
      <c r="C12299" s="54"/>
      <c r="N12299" s="33"/>
    </row>
    <row r="12300" spans="3:14" x14ac:dyDescent="0.3">
      <c r="C12300" s="54"/>
      <c r="N12300" s="33"/>
    </row>
    <row r="12301" spans="3:14" x14ac:dyDescent="0.3">
      <c r="C12301" s="54"/>
      <c r="N12301" s="33"/>
    </row>
    <row r="12302" spans="3:14" x14ac:dyDescent="0.3">
      <c r="C12302" s="54"/>
      <c r="N12302" s="33"/>
    </row>
    <row r="12303" spans="3:14" x14ac:dyDescent="0.3">
      <c r="C12303" s="54"/>
      <c r="N12303" s="33"/>
    </row>
    <row r="12304" spans="3:14" x14ac:dyDescent="0.3">
      <c r="C12304" s="54"/>
      <c r="N12304" s="33"/>
    </row>
    <row r="12305" spans="3:14" x14ac:dyDescent="0.3">
      <c r="C12305" s="54"/>
      <c r="N12305" s="33"/>
    </row>
    <row r="12306" spans="3:14" x14ac:dyDescent="0.3">
      <c r="C12306" s="54"/>
      <c r="N12306" s="33"/>
    </row>
    <row r="12307" spans="3:14" x14ac:dyDescent="0.3">
      <c r="C12307" s="54"/>
      <c r="N12307" s="33"/>
    </row>
    <row r="12308" spans="3:14" x14ac:dyDescent="0.3">
      <c r="C12308" s="54"/>
      <c r="N12308" s="33"/>
    </row>
    <row r="12309" spans="3:14" x14ac:dyDescent="0.3">
      <c r="C12309" s="54"/>
      <c r="N12309" s="33"/>
    </row>
    <row r="12310" spans="3:14" x14ac:dyDescent="0.3">
      <c r="C12310" s="54"/>
      <c r="N12310" s="33"/>
    </row>
    <row r="12311" spans="3:14" x14ac:dyDescent="0.3">
      <c r="C12311" s="54"/>
      <c r="N12311" s="33"/>
    </row>
    <row r="12312" spans="3:14" x14ac:dyDescent="0.3">
      <c r="C12312" s="54"/>
      <c r="N12312" s="33"/>
    </row>
    <row r="12313" spans="3:14" x14ac:dyDescent="0.3">
      <c r="C12313" s="54"/>
      <c r="N12313" s="33"/>
    </row>
    <row r="12314" spans="3:14" x14ac:dyDescent="0.3">
      <c r="C12314" s="54"/>
      <c r="N12314" s="33"/>
    </row>
    <row r="12315" spans="3:14" x14ac:dyDescent="0.3">
      <c r="C12315" s="54"/>
      <c r="N12315" s="33"/>
    </row>
    <row r="12316" spans="3:14" x14ac:dyDescent="0.3">
      <c r="C12316" s="54"/>
      <c r="N12316" s="33"/>
    </row>
    <row r="12317" spans="3:14" x14ac:dyDescent="0.3">
      <c r="C12317" s="54"/>
      <c r="N12317" s="33"/>
    </row>
    <row r="12318" spans="3:14" x14ac:dyDescent="0.3">
      <c r="C12318" s="54"/>
      <c r="N12318" s="33"/>
    </row>
    <row r="12319" spans="3:14" x14ac:dyDescent="0.3">
      <c r="C12319" s="54"/>
      <c r="N12319" s="33"/>
    </row>
    <row r="12320" spans="3:14" x14ac:dyDescent="0.3">
      <c r="C12320" s="54"/>
      <c r="N12320" s="33"/>
    </row>
    <row r="12321" spans="3:14" x14ac:dyDescent="0.3">
      <c r="C12321" s="54"/>
      <c r="N12321" s="33"/>
    </row>
    <row r="12322" spans="3:14" x14ac:dyDescent="0.3">
      <c r="C12322" s="54"/>
      <c r="N12322" s="33"/>
    </row>
    <row r="12323" spans="3:14" x14ac:dyDescent="0.3">
      <c r="C12323" s="54"/>
      <c r="N12323" s="33"/>
    </row>
    <row r="12324" spans="3:14" x14ac:dyDescent="0.3">
      <c r="C12324" s="54"/>
      <c r="N12324" s="33"/>
    </row>
    <row r="12325" spans="3:14" x14ac:dyDescent="0.3">
      <c r="C12325" s="54"/>
      <c r="N12325" s="33"/>
    </row>
    <row r="12326" spans="3:14" x14ac:dyDescent="0.3">
      <c r="C12326" s="54"/>
      <c r="N12326" s="33"/>
    </row>
    <row r="12327" spans="3:14" x14ac:dyDescent="0.3">
      <c r="C12327" s="54"/>
      <c r="N12327" s="33"/>
    </row>
    <row r="12328" spans="3:14" x14ac:dyDescent="0.3">
      <c r="C12328" s="54"/>
      <c r="N12328" s="33"/>
    </row>
    <row r="12329" spans="3:14" x14ac:dyDescent="0.3">
      <c r="C12329" s="54"/>
      <c r="N12329" s="33"/>
    </row>
    <row r="12330" spans="3:14" x14ac:dyDescent="0.3">
      <c r="C12330" s="54"/>
      <c r="N12330" s="33"/>
    </row>
    <row r="12331" spans="3:14" x14ac:dyDescent="0.3">
      <c r="C12331" s="54"/>
      <c r="N12331" s="33"/>
    </row>
    <row r="12332" spans="3:14" x14ac:dyDescent="0.3">
      <c r="C12332" s="54"/>
      <c r="N12332" s="33"/>
    </row>
    <row r="12333" spans="3:14" x14ac:dyDescent="0.3">
      <c r="C12333" s="54"/>
      <c r="N12333" s="33"/>
    </row>
    <row r="12334" spans="3:14" x14ac:dyDescent="0.3">
      <c r="C12334" s="54"/>
      <c r="N12334" s="33"/>
    </row>
    <row r="12335" spans="3:14" x14ac:dyDescent="0.3">
      <c r="C12335" s="54"/>
      <c r="N12335" s="33"/>
    </row>
    <row r="12336" spans="3:14" x14ac:dyDescent="0.3">
      <c r="C12336" s="54"/>
      <c r="N12336" s="33"/>
    </row>
    <row r="12337" spans="3:14" x14ac:dyDescent="0.3">
      <c r="C12337" s="54"/>
      <c r="N12337" s="33"/>
    </row>
    <row r="12338" spans="3:14" x14ac:dyDescent="0.3">
      <c r="C12338" s="54"/>
      <c r="N12338" s="33"/>
    </row>
    <row r="12339" spans="3:14" x14ac:dyDescent="0.3">
      <c r="C12339" s="54"/>
      <c r="N12339" s="33"/>
    </row>
    <row r="12340" spans="3:14" x14ac:dyDescent="0.3">
      <c r="C12340" s="54"/>
      <c r="N12340" s="33"/>
    </row>
    <row r="12341" spans="3:14" x14ac:dyDescent="0.3">
      <c r="C12341" s="54"/>
      <c r="N12341" s="33"/>
    </row>
    <row r="12342" spans="3:14" x14ac:dyDescent="0.3">
      <c r="C12342" s="54"/>
      <c r="N12342" s="33"/>
    </row>
    <row r="12343" spans="3:14" x14ac:dyDescent="0.3">
      <c r="C12343" s="54"/>
      <c r="N12343" s="33"/>
    </row>
    <row r="12344" spans="3:14" x14ac:dyDescent="0.3">
      <c r="C12344" s="54"/>
      <c r="N12344" s="33"/>
    </row>
    <row r="12345" spans="3:14" x14ac:dyDescent="0.3">
      <c r="C12345" s="54"/>
      <c r="N12345" s="33"/>
    </row>
    <row r="12346" spans="3:14" x14ac:dyDescent="0.3">
      <c r="C12346" s="54"/>
      <c r="N12346" s="33"/>
    </row>
    <row r="12347" spans="3:14" x14ac:dyDescent="0.3">
      <c r="C12347" s="54"/>
      <c r="N12347" s="33"/>
    </row>
    <row r="12348" spans="3:14" x14ac:dyDescent="0.3">
      <c r="C12348" s="54"/>
      <c r="N12348" s="33"/>
    </row>
    <row r="12349" spans="3:14" x14ac:dyDescent="0.3">
      <c r="C12349" s="54"/>
      <c r="N12349" s="33"/>
    </row>
    <row r="12350" spans="3:14" x14ac:dyDescent="0.3">
      <c r="C12350" s="54"/>
      <c r="N12350" s="33"/>
    </row>
    <row r="12351" spans="3:14" x14ac:dyDescent="0.3">
      <c r="C12351" s="54"/>
      <c r="N12351" s="33"/>
    </row>
    <row r="12352" spans="3:14" x14ac:dyDescent="0.3">
      <c r="C12352" s="54"/>
      <c r="N12352" s="33"/>
    </row>
    <row r="12353" spans="3:14" x14ac:dyDescent="0.3">
      <c r="C12353" s="54"/>
      <c r="N12353" s="33"/>
    </row>
    <row r="12354" spans="3:14" x14ac:dyDescent="0.3">
      <c r="C12354" s="54"/>
      <c r="N12354" s="33"/>
    </row>
    <row r="12355" spans="3:14" x14ac:dyDescent="0.3">
      <c r="C12355" s="54"/>
      <c r="N12355" s="33"/>
    </row>
    <row r="12356" spans="3:14" x14ac:dyDescent="0.3">
      <c r="C12356" s="54"/>
      <c r="N12356" s="33"/>
    </row>
    <row r="12357" spans="3:14" x14ac:dyDescent="0.3">
      <c r="C12357" s="54"/>
      <c r="N12357" s="33"/>
    </row>
    <row r="12358" spans="3:14" x14ac:dyDescent="0.3">
      <c r="C12358" s="54"/>
      <c r="N12358" s="33"/>
    </row>
    <row r="12359" spans="3:14" x14ac:dyDescent="0.3">
      <c r="C12359" s="54"/>
      <c r="N12359" s="33"/>
    </row>
    <row r="12360" spans="3:14" x14ac:dyDescent="0.3">
      <c r="C12360" s="54"/>
      <c r="N12360" s="33"/>
    </row>
    <row r="12361" spans="3:14" x14ac:dyDescent="0.3">
      <c r="C12361" s="54"/>
      <c r="N12361" s="33"/>
    </row>
    <row r="12362" spans="3:14" x14ac:dyDescent="0.3">
      <c r="C12362" s="54"/>
      <c r="N12362" s="33"/>
    </row>
    <row r="12363" spans="3:14" x14ac:dyDescent="0.3">
      <c r="C12363" s="54"/>
      <c r="N12363" s="33"/>
    </row>
    <row r="12364" spans="3:14" x14ac:dyDescent="0.3">
      <c r="C12364" s="54"/>
      <c r="N12364" s="33"/>
    </row>
    <row r="12365" spans="3:14" x14ac:dyDescent="0.3">
      <c r="C12365" s="54"/>
      <c r="N12365" s="33"/>
    </row>
    <row r="12366" spans="3:14" x14ac:dyDescent="0.3">
      <c r="C12366" s="54"/>
      <c r="N12366" s="33"/>
    </row>
    <row r="12367" spans="3:14" x14ac:dyDescent="0.3">
      <c r="C12367" s="54"/>
      <c r="N12367" s="33"/>
    </row>
    <row r="12368" spans="3:14" x14ac:dyDescent="0.3">
      <c r="C12368" s="54"/>
      <c r="N12368" s="33"/>
    </row>
    <row r="12369" spans="3:14" x14ac:dyDescent="0.3">
      <c r="C12369" s="54"/>
      <c r="N12369" s="33"/>
    </row>
    <row r="12370" spans="3:14" x14ac:dyDescent="0.3">
      <c r="C12370" s="54"/>
      <c r="N12370" s="33"/>
    </row>
    <row r="12371" spans="3:14" x14ac:dyDescent="0.3">
      <c r="C12371" s="54"/>
      <c r="N12371" s="33"/>
    </row>
    <row r="12372" spans="3:14" x14ac:dyDescent="0.3">
      <c r="C12372" s="54"/>
      <c r="N12372" s="33"/>
    </row>
    <row r="12373" spans="3:14" x14ac:dyDescent="0.3">
      <c r="C12373" s="54"/>
      <c r="N12373" s="33"/>
    </row>
    <row r="12374" spans="3:14" x14ac:dyDescent="0.3">
      <c r="C12374" s="54"/>
      <c r="N12374" s="33"/>
    </row>
    <row r="12375" spans="3:14" x14ac:dyDescent="0.3">
      <c r="C12375" s="54"/>
      <c r="N12375" s="33"/>
    </row>
    <row r="12376" spans="3:14" x14ac:dyDescent="0.3">
      <c r="C12376" s="54"/>
      <c r="N12376" s="33"/>
    </row>
    <row r="12377" spans="3:14" x14ac:dyDescent="0.3">
      <c r="C12377" s="54"/>
      <c r="N12377" s="33"/>
    </row>
    <row r="12378" spans="3:14" x14ac:dyDescent="0.3">
      <c r="C12378" s="54"/>
      <c r="N12378" s="33"/>
    </row>
    <row r="12379" spans="3:14" x14ac:dyDescent="0.3">
      <c r="C12379" s="54"/>
      <c r="N12379" s="33"/>
    </row>
    <row r="12380" spans="3:14" x14ac:dyDescent="0.3">
      <c r="C12380" s="54"/>
      <c r="N12380" s="33"/>
    </row>
    <row r="12381" spans="3:14" x14ac:dyDescent="0.3">
      <c r="C12381" s="54"/>
      <c r="N12381" s="33"/>
    </row>
    <row r="12382" spans="3:14" x14ac:dyDescent="0.3">
      <c r="C12382" s="54"/>
      <c r="N12382" s="33"/>
    </row>
    <row r="12383" spans="3:14" x14ac:dyDescent="0.3">
      <c r="C12383" s="54"/>
      <c r="N12383" s="33"/>
    </row>
    <row r="12384" spans="3:14" x14ac:dyDescent="0.3">
      <c r="C12384" s="54"/>
      <c r="N12384" s="33"/>
    </row>
    <row r="12385" spans="3:14" x14ac:dyDescent="0.3">
      <c r="C12385" s="54"/>
      <c r="N12385" s="33"/>
    </row>
    <row r="12386" spans="3:14" x14ac:dyDescent="0.3">
      <c r="C12386" s="54"/>
      <c r="N12386" s="33"/>
    </row>
    <row r="12387" spans="3:14" x14ac:dyDescent="0.3">
      <c r="C12387" s="54"/>
      <c r="N12387" s="33"/>
    </row>
    <row r="12388" spans="3:14" x14ac:dyDescent="0.3">
      <c r="C12388" s="54"/>
      <c r="N12388" s="33"/>
    </row>
    <row r="12389" spans="3:14" x14ac:dyDescent="0.3">
      <c r="C12389" s="54"/>
      <c r="N12389" s="33"/>
    </row>
    <row r="12390" spans="3:14" x14ac:dyDescent="0.3">
      <c r="C12390" s="54"/>
      <c r="N12390" s="33"/>
    </row>
    <row r="12391" spans="3:14" x14ac:dyDescent="0.3">
      <c r="C12391" s="54"/>
      <c r="N12391" s="33"/>
    </row>
    <row r="12392" spans="3:14" x14ac:dyDescent="0.3">
      <c r="C12392" s="54"/>
      <c r="N12392" s="33"/>
    </row>
    <row r="12393" spans="3:14" x14ac:dyDescent="0.3">
      <c r="C12393" s="54"/>
      <c r="N12393" s="33"/>
    </row>
    <row r="12394" spans="3:14" x14ac:dyDescent="0.3">
      <c r="C12394" s="54"/>
      <c r="N12394" s="33"/>
    </row>
    <row r="12395" spans="3:14" x14ac:dyDescent="0.3">
      <c r="C12395" s="54"/>
      <c r="N12395" s="33"/>
    </row>
    <row r="12396" spans="3:14" x14ac:dyDescent="0.3">
      <c r="C12396" s="54"/>
      <c r="N12396" s="33"/>
    </row>
    <row r="12397" spans="3:14" x14ac:dyDescent="0.3">
      <c r="C12397" s="54"/>
      <c r="N12397" s="33"/>
    </row>
    <row r="12398" spans="3:14" x14ac:dyDescent="0.3">
      <c r="C12398" s="54"/>
      <c r="N12398" s="33"/>
    </row>
    <row r="12399" spans="3:14" x14ac:dyDescent="0.3">
      <c r="C12399" s="54"/>
      <c r="N12399" s="33"/>
    </row>
    <row r="12400" spans="3:14" x14ac:dyDescent="0.3">
      <c r="C12400" s="54"/>
      <c r="N12400" s="33"/>
    </row>
    <row r="12401" spans="3:14" x14ac:dyDescent="0.3">
      <c r="C12401" s="54"/>
      <c r="N12401" s="33"/>
    </row>
    <row r="12402" spans="3:14" x14ac:dyDescent="0.3">
      <c r="C12402" s="54"/>
      <c r="N12402" s="33"/>
    </row>
    <row r="12403" spans="3:14" x14ac:dyDescent="0.3">
      <c r="C12403" s="54"/>
      <c r="N12403" s="33"/>
    </row>
    <row r="12404" spans="3:14" x14ac:dyDescent="0.3">
      <c r="C12404" s="54"/>
      <c r="N12404" s="33"/>
    </row>
    <row r="12405" spans="3:14" x14ac:dyDescent="0.3">
      <c r="C12405" s="54"/>
      <c r="N12405" s="33"/>
    </row>
    <row r="12406" spans="3:14" x14ac:dyDescent="0.3">
      <c r="C12406" s="54"/>
      <c r="N12406" s="33"/>
    </row>
    <row r="12407" spans="3:14" x14ac:dyDescent="0.3">
      <c r="C12407" s="54"/>
      <c r="N12407" s="33"/>
    </row>
    <row r="12408" spans="3:14" x14ac:dyDescent="0.3">
      <c r="C12408" s="54"/>
      <c r="N12408" s="33"/>
    </row>
    <row r="12409" spans="3:14" x14ac:dyDescent="0.3">
      <c r="C12409" s="54"/>
      <c r="N12409" s="33"/>
    </row>
    <row r="12410" spans="3:14" x14ac:dyDescent="0.3">
      <c r="C12410" s="54"/>
      <c r="N12410" s="33"/>
    </row>
    <row r="12411" spans="3:14" x14ac:dyDescent="0.3">
      <c r="C12411" s="54"/>
      <c r="N12411" s="33"/>
    </row>
    <row r="12412" spans="3:14" x14ac:dyDescent="0.3">
      <c r="C12412" s="54"/>
      <c r="N12412" s="33"/>
    </row>
    <row r="12413" spans="3:14" x14ac:dyDescent="0.3">
      <c r="C12413" s="54"/>
      <c r="N12413" s="33"/>
    </row>
    <row r="12414" spans="3:14" x14ac:dyDescent="0.3">
      <c r="C12414" s="54"/>
      <c r="N12414" s="33"/>
    </row>
    <row r="12415" spans="3:14" x14ac:dyDescent="0.3">
      <c r="C12415" s="54"/>
      <c r="N12415" s="33"/>
    </row>
    <row r="12416" spans="3:14" x14ac:dyDescent="0.3">
      <c r="C12416" s="54"/>
      <c r="N12416" s="33"/>
    </row>
    <row r="12417" spans="3:14" x14ac:dyDescent="0.3">
      <c r="C12417" s="54"/>
      <c r="N12417" s="33"/>
    </row>
    <row r="12418" spans="3:14" x14ac:dyDescent="0.3">
      <c r="C12418" s="54"/>
      <c r="N12418" s="33"/>
    </row>
    <row r="12419" spans="3:14" x14ac:dyDescent="0.3">
      <c r="C12419" s="54"/>
      <c r="N12419" s="33"/>
    </row>
    <row r="12420" spans="3:14" x14ac:dyDescent="0.3">
      <c r="C12420" s="54"/>
      <c r="N12420" s="33"/>
    </row>
    <row r="12421" spans="3:14" x14ac:dyDescent="0.3">
      <c r="C12421" s="54"/>
      <c r="N12421" s="33"/>
    </row>
    <row r="12422" spans="3:14" x14ac:dyDescent="0.3">
      <c r="C12422" s="54"/>
      <c r="N12422" s="33"/>
    </row>
    <row r="12423" spans="3:14" x14ac:dyDescent="0.3">
      <c r="C12423" s="54"/>
      <c r="N12423" s="33"/>
    </row>
    <row r="12424" spans="3:14" x14ac:dyDescent="0.3">
      <c r="C12424" s="54"/>
      <c r="N12424" s="33"/>
    </row>
    <row r="12425" spans="3:14" x14ac:dyDescent="0.3">
      <c r="C12425" s="54"/>
      <c r="N12425" s="33"/>
    </row>
    <row r="12426" spans="3:14" x14ac:dyDescent="0.3">
      <c r="C12426" s="54"/>
      <c r="N12426" s="33"/>
    </row>
    <row r="12427" spans="3:14" x14ac:dyDescent="0.3">
      <c r="C12427" s="54"/>
      <c r="N12427" s="33"/>
    </row>
    <row r="12428" spans="3:14" x14ac:dyDescent="0.3">
      <c r="C12428" s="54"/>
      <c r="N12428" s="33"/>
    </row>
    <row r="12429" spans="3:14" x14ac:dyDescent="0.3">
      <c r="C12429" s="54"/>
      <c r="N12429" s="33"/>
    </row>
    <row r="12430" spans="3:14" x14ac:dyDescent="0.3">
      <c r="C12430" s="54"/>
      <c r="N12430" s="33"/>
    </row>
    <row r="12431" spans="3:14" x14ac:dyDescent="0.3">
      <c r="C12431" s="54"/>
      <c r="N12431" s="33"/>
    </row>
    <row r="12432" spans="3:14" x14ac:dyDescent="0.3">
      <c r="C12432" s="54"/>
      <c r="N12432" s="33"/>
    </row>
    <row r="12433" spans="3:14" x14ac:dyDescent="0.3">
      <c r="C12433" s="54"/>
      <c r="N12433" s="33"/>
    </row>
    <row r="12434" spans="3:14" x14ac:dyDescent="0.3">
      <c r="C12434" s="54"/>
      <c r="N12434" s="33"/>
    </row>
    <row r="12435" spans="3:14" x14ac:dyDescent="0.3">
      <c r="C12435" s="54"/>
      <c r="N12435" s="33"/>
    </row>
    <row r="12436" spans="3:14" x14ac:dyDescent="0.3">
      <c r="C12436" s="54"/>
      <c r="N12436" s="33"/>
    </row>
    <row r="12437" spans="3:14" x14ac:dyDescent="0.3">
      <c r="C12437" s="54"/>
      <c r="N12437" s="33"/>
    </row>
    <row r="12438" spans="3:14" x14ac:dyDescent="0.3">
      <c r="C12438" s="54"/>
      <c r="N12438" s="33"/>
    </row>
    <row r="12439" spans="3:14" x14ac:dyDescent="0.3">
      <c r="C12439" s="54"/>
      <c r="N12439" s="33"/>
    </row>
    <row r="12440" spans="3:14" x14ac:dyDescent="0.3">
      <c r="C12440" s="54"/>
      <c r="N12440" s="33"/>
    </row>
    <row r="12441" spans="3:14" x14ac:dyDescent="0.3">
      <c r="C12441" s="54"/>
      <c r="N12441" s="33"/>
    </row>
    <row r="12442" spans="3:14" x14ac:dyDescent="0.3">
      <c r="C12442" s="54"/>
      <c r="N12442" s="33"/>
    </row>
    <row r="12443" spans="3:14" x14ac:dyDescent="0.3">
      <c r="C12443" s="54"/>
      <c r="N12443" s="33"/>
    </row>
    <row r="12444" spans="3:14" x14ac:dyDescent="0.3">
      <c r="C12444" s="54"/>
      <c r="N12444" s="33"/>
    </row>
    <row r="12445" spans="3:14" x14ac:dyDescent="0.3">
      <c r="C12445" s="54"/>
      <c r="N12445" s="33"/>
    </row>
    <row r="12446" spans="3:14" x14ac:dyDescent="0.3">
      <c r="C12446" s="54"/>
      <c r="N12446" s="33"/>
    </row>
    <row r="12447" spans="3:14" x14ac:dyDescent="0.3">
      <c r="C12447" s="54"/>
      <c r="N12447" s="33"/>
    </row>
    <row r="12448" spans="3:14" x14ac:dyDescent="0.3">
      <c r="C12448" s="54"/>
      <c r="N12448" s="33"/>
    </row>
    <row r="12449" spans="3:14" x14ac:dyDescent="0.3">
      <c r="C12449" s="54"/>
      <c r="N12449" s="33"/>
    </row>
    <row r="12450" spans="3:14" x14ac:dyDescent="0.3">
      <c r="C12450" s="54"/>
      <c r="N12450" s="33"/>
    </row>
    <row r="12451" spans="3:14" x14ac:dyDescent="0.3">
      <c r="C12451" s="54"/>
      <c r="N12451" s="33"/>
    </row>
    <row r="12452" spans="3:14" x14ac:dyDescent="0.3">
      <c r="C12452" s="54"/>
      <c r="N12452" s="33"/>
    </row>
    <row r="12453" spans="3:14" x14ac:dyDescent="0.3">
      <c r="C12453" s="54"/>
      <c r="N12453" s="33"/>
    </row>
    <row r="12454" spans="3:14" x14ac:dyDescent="0.3">
      <c r="C12454" s="54"/>
      <c r="N12454" s="33"/>
    </row>
    <row r="12455" spans="3:14" x14ac:dyDescent="0.3">
      <c r="C12455" s="54"/>
      <c r="N12455" s="33"/>
    </row>
    <row r="12456" spans="3:14" x14ac:dyDescent="0.3">
      <c r="C12456" s="54"/>
      <c r="N12456" s="33"/>
    </row>
    <row r="12457" spans="3:14" x14ac:dyDescent="0.3">
      <c r="C12457" s="54"/>
      <c r="N12457" s="33"/>
    </row>
    <row r="12458" spans="3:14" x14ac:dyDescent="0.3">
      <c r="C12458" s="54"/>
      <c r="N12458" s="33"/>
    </row>
    <row r="12459" spans="3:14" x14ac:dyDescent="0.3">
      <c r="C12459" s="54"/>
      <c r="N12459" s="33"/>
    </row>
    <row r="12460" spans="3:14" x14ac:dyDescent="0.3">
      <c r="C12460" s="54"/>
      <c r="N12460" s="33"/>
    </row>
    <row r="12461" spans="3:14" x14ac:dyDescent="0.3">
      <c r="C12461" s="54"/>
      <c r="N12461" s="33"/>
    </row>
    <row r="12462" spans="3:14" x14ac:dyDescent="0.3">
      <c r="C12462" s="54"/>
      <c r="N12462" s="33"/>
    </row>
    <row r="12463" spans="3:14" x14ac:dyDescent="0.3">
      <c r="C12463" s="54"/>
      <c r="N12463" s="33"/>
    </row>
    <row r="12464" spans="3:14" x14ac:dyDescent="0.3">
      <c r="C12464" s="54"/>
      <c r="N12464" s="33"/>
    </row>
    <row r="12465" spans="3:14" x14ac:dyDescent="0.3">
      <c r="C12465" s="54"/>
      <c r="N12465" s="33"/>
    </row>
    <row r="12466" spans="3:14" x14ac:dyDescent="0.3">
      <c r="C12466" s="54"/>
      <c r="N12466" s="33"/>
    </row>
    <row r="12467" spans="3:14" x14ac:dyDescent="0.3">
      <c r="C12467" s="54"/>
      <c r="N12467" s="33"/>
    </row>
    <row r="12468" spans="3:14" x14ac:dyDescent="0.3">
      <c r="C12468" s="54"/>
      <c r="N12468" s="33"/>
    </row>
    <row r="12469" spans="3:14" x14ac:dyDescent="0.3">
      <c r="C12469" s="54"/>
      <c r="N12469" s="33"/>
    </row>
    <row r="12470" spans="3:14" x14ac:dyDescent="0.3">
      <c r="C12470" s="54"/>
      <c r="N12470" s="33"/>
    </row>
    <row r="12471" spans="3:14" x14ac:dyDescent="0.3">
      <c r="C12471" s="54"/>
      <c r="N12471" s="33"/>
    </row>
    <row r="12472" spans="3:14" x14ac:dyDescent="0.3">
      <c r="C12472" s="54"/>
      <c r="N12472" s="33"/>
    </row>
    <row r="12473" spans="3:14" x14ac:dyDescent="0.3">
      <c r="C12473" s="54"/>
      <c r="N12473" s="33"/>
    </row>
    <row r="12474" spans="3:14" x14ac:dyDescent="0.3">
      <c r="C12474" s="54"/>
      <c r="N12474" s="33"/>
    </row>
    <row r="12475" spans="3:14" x14ac:dyDescent="0.3">
      <c r="C12475" s="54"/>
      <c r="N12475" s="33"/>
    </row>
    <row r="12476" spans="3:14" x14ac:dyDescent="0.3">
      <c r="C12476" s="54"/>
      <c r="N12476" s="33"/>
    </row>
    <row r="12477" spans="3:14" x14ac:dyDescent="0.3">
      <c r="C12477" s="54"/>
      <c r="N12477" s="33"/>
    </row>
    <row r="12478" spans="3:14" x14ac:dyDescent="0.3">
      <c r="C12478" s="54"/>
      <c r="N12478" s="33"/>
    </row>
    <row r="12479" spans="3:14" x14ac:dyDescent="0.3">
      <c r="C12479" s="54"/>
      <c r="N12479" s="33"/>
    </row>
    <row r="12480" spans="3:14" x14ac:dyDescent="0.3">
      <c r="C12480" s="54"/>
      <c r="N12480" s="33"/>
    </row>
    <row r="12481" spans="3:14" x14ac:dyDescent="0.3">
      <c r="C12481" s="54"/>
      <c r="N12481" s="33"/>
    </row>
    <row r="12482" spans="3:14" x14ac:dyDescent="0.3">
      <c r="C12482" s="54"/>
      <c r="N12482" s="33"/>
    </row>
    <row r="12483" spans="3:14" x14ac:dyDescent="0.3">
      <c r="C12483" s="54"/>
      <c r="N12483" s="33"/>
    </row>
    <row r="12484" spans="3:14" x14ac:dyDescent="0.3">
      <c r="C12484" s="54"/>
      <c r="N12484" s="33"/>
    </row>
    <row r="12485" spans="3:14" x14ac:dyDescent="0.3">
      <c r="C12485" s="54"/>
      <c r="N12485" s="33"/>
    </row>
    <row r="12486" spans="3:14" x14ac:dyDescent="0.3">
      <c r="C12486" s="54"/>
      <c r="N12486" s="33"/>
    </row>
    <row r="12487" spans="3:14" x14ac:dyDescent="0.3">
      <c r="C12487" s="54"/>
      <c r="N12487" s="33"/>
    </row>
    <row r="12488" spans="3:14" x14ac:dyDescent="0.3">
      <c r="C12488" s="54"/>
      <c r="N12488" s="33"/>
    </row>
    <row r="12489" spans="3:14" x14ac:dyDescent="0.3">
      <c r="C12489" s="54"/>
      <c r="N12489" s="33"/>
    </row>
    <row r="12490" spans="3:14" x14ac:dyDescent="0.3">
      <c r="C12490" s="54"/>
      <c r="N12490" s="33"/>
    </row>
    <row r="12491" spans="3:14" x14ac:dyDescent="0.3">
      <c r="C12491" s="54"/>
      <c r="N12491" s="33"/>
    </row>
    <row r="12492" spans="3:14" x14ac:dyDescent="0.3">
      <c r="C12492" s="54"/>
      <c r="N12492" s="33"/>
    </row>
    <row r="12493" spans="3:14" x14ac:dyDescent="0.3">
      <c r="C12493" s="54"/>
      <c r="N12493" s="33"/>
    </row>
    <row r="12494" spans="3:14" x14ac:dyDescent="0.3">
      <c r="C12494" s="54"/>
      <c r="N12494" s="33"/>
    </row>
    <row r="12495" spans="3:14" x14ac:dyDescent="0.3">
      <c r="C12495" s="54"/>
      <c r="N12495" s="33"/>
    </row>
    <row r="12496" spans="3:14" x14ac:dyDescent="0.3">
      <c r="C12496" s="54"/>
      <c r="N12496" s="33"/>
    </row>
    <row r="12497" spans="3:14" x14ac:dyDescent="0.3">
      <c r="C12497" s="54"/>
      <c r="N12497" s="33"/>
    </row>
    <row r="12498" spans="3:14" x14ac:dyDescent="0.3">
      <c r="C12498" s="54"/>
      <c r="N12498" s="33"/>
    </row>
    <row r="12499" spans="3:14" x14ac:dyDescent="0.3">
      <c r="C12499" s="54"/>
      <c r="N12499" s="33"/>
    </row>
    <row r="12500" spans="3:14" x14ac:dyDescent="0.3">
      <c r="C12500" s="54"/>
      <c r="N12500" s="33"/>
    </row>
    <row r="12501" spans="3:14" x14ac:dyDescent="0.3">
      <c r="C12501" s="54"/>
      <c r="N12501" s="33"/>
    </row>
    <row r="12502" spans="3:14" x14ac:dyDescent="0.3">
      <c r="C12502" s="54"/>
      <c r="N12502" s="33"/>
    </row>
    <row r="12503" spans="3:14" x14ac:dyDescent="0.3">
      <c r="C12503" s="54"/>
      <c r="N12503" s="33"/>
    </row>
    <row r="12504" spans="3:14" x14ac:dyDescent="0.3">
      <c r="C12504" s="54"/>
      <c r="N12504" s="33"/>
    </row>
    <row r="12505" spans="3:14" x14ac:dyDescent="0.3">
      <c r="C12505" s="54"/>
      <c r="N12505" s="33"/>
    </row>
    <row r="12506" spans="3:14" x14ac:dyDescent="0.3">
      <c r="C12506" s="54"/>
      <c r="N12506" s="33"/>
    </row>
    <row r="12507" spans="3:14" x14ac:dyDescent="0.3">
      <c r="C12507" s="54"/>
      <c r="N12507" s="33"/>
    </row>
    <row r="12508" spans="3:14" x14ac:dyDescent="0.3">
      <c r="C12508" s="54"/>
      <c r="N12508" s="33"/>
    </row>
    <row r="12509" spans="3:14" x14ac:dyDescent="0.3">
      <c r="C12509" s="54"/>
      <c r="N12509" s="33"/>
    </row>
    <row r="12510" spans="3:14" x14ac:dyDescent="0.3">
      <c r="C12510" s="54"/>
      <c r="N12510" s="33"/>
    </row>
    <row r="12511" spans="3:14" x14ac:dyDescent="0.3">
      <c r="C12511" s="54"/>
      <c r="N12511" s="33"/>
    </row>
    <row r="12512" spans="3:14" x14ac:dyDescent="0.3">
      <c r="C12512" s="54"/>
      <c r="N12512" s="33"/>
    </row>
    <row r="12513" spans="3:14" x14ac:dyDescent="0.3">
      <c r="C12513" s="54"/>
      <c r="N12513" s="33"/>
    </row>
    <row r="12514" spans="3:14" x14ac:dyDescent="0.3">
      <c r="C12514" s="54"/>
      <c r="N12514" s="33"/>
    </row>
    <row r="12515" spans="3:14" x14ac:dyDescent="0.3">
      <c r="C12515" s="54"/>
      <c r="N12515" s="33"/>
    </row>
    <row r="12516" spans="3:14" x14ac:dyDescent="0.3">
      <c r="C12516" s="54"/>
      <c r="N12516" s="33"/>
    </row>
    <row r="12517" spans="3:14" x14ac:dyDescent="0.3">
      <c r="C12517" s="54"/>
      <c r="N12517" s="33"/>
    </row>
    <row r="12518" spans="3:14" x14ac:dyDescent="0.3">
      <c r="C12518" s="54"/>
      <c r="N12518" s="33"/>
    </row>
    <row r="12519" spans="3:14" x14ac:dyDescent="0.3">
      <c r="C12519" s="54"/>
      <c r="N12519" s="33"/>
    </row>
    <row r="12520" spans="3:14" x14ac:dyDescent="0.3">
      <c r="C12520" s="54"/>
      <c r="N12520" s="33"/>
    </row>
    <row r="12521" spans="3:14" x14ac:dyDescent="0.3">
      <c r="C12521" s="54"/>
      <c r="N12521" s="33"/>
    </row>
    <row r="12522" spans="3:14" x14ac:dyDescent="0.3">
      <c r="C12522" s="54"/>
      <c r="N12522" s="33"/>
    </row>
    <row r="12523" spans="3:14" x14ac:dyDescent="0.3">
      <c r="C12523" s="54"/>
      <c r="N12523" s="33"/>
    </row>
    <row r="12524" spans="3:14" x14ac:dyDescent="0.3">
      <c r="C12524" s="54"/>
      <c r="N12524" s="33"/>
    </row>
    <row r="12525" spans="3:14" x14ac:dyDescent="0.3">
      <c r="C12525" s="54"/>
      <c r="N12525" s="33"/>
    </row>
    <row r="12526" spans="3:14" x14ac:dyDescent="0.3">
      <c r="C12526" s="54"/>
      <c r="N12526" s="33"/>
    </row>
    <row r="12527" spans="3:14" x14ac:dyDescent="0.3">
      <c r="C12527" s="54"/>
      <c r="N12527" s="33"/>
    </row>
    <row r="12528" spans="3:14" x14ac:dyDescent="0.3">
      <c r="C12528" s="54"/>
      <c r="N12528" s="33"/>
    </row>
    <row r="12529" spans="3:14" x14ac:dyDescent="0.3">
      <c r="C12529" s="54"/>
      <c r="N12529" s="33"/>
    </row>
    <row r="12530" spans="3:14" x14ac:dyDescent="0.3">
      <c r="C12530" s="54"/>
      <c r="N12530" s="33"/>
    </row>
    <row r="12531" spans="3:14" x14ac:dyDescent="0.3">
      <c r="C12531" s="54"/>
      <c r="N12531" s="33"/>
    </row>
    <row r="12532" spans="3:14" x14ac:dyDescent="0.3">
      <c r="C12532" s="54"/>
      <c r="N12532" s="33"/>
    </row>
    <row r="12533" spans="3:14" x14ac:dyDescent="0.3">
      <c r="C12533" s="54"/>
      <c r="N12533" s="33"/>
    </row>
    <row r="12534" spans="3:14" x14ac:dyDescent="0.3">
      <c r="C12534" s="54"/>
      <c r="N12534" s="33"/>
    </row>
    <row r="12535" spans="3:14" x14ac:dyDescent="0.3">
      <c r="C12535" s="54"/>
      <c r="N12535" s="33"/>
    </row>
    <row r="12536" spans="3:14" x14ac:dyDescent="0.3">
      <c r="C12536" s="54"/>
      <c r="N12536" s="33"/>
    </row>
    <row r="12537" spans="3:14" x14ac:dyDescent="0.3">
      <c r="C12537" s="54"/>
      <c r="N12537" s="33"/>
    </row>
    <row r="12538" spans="3:14" x14ac:dyDescent="0.3">
      <c r="C12538" s="54"/>
      <c r="N12538" s="33"/>
    </row>
    <row r="12539" spans="3:14" x14ac:dyDescent="0.3">
      <c r="C12539" s="54"/>
      <c r="N12539" s="33"/>
    </row>
    <row r="12540" spans="3:14" x14ac:dyDescent="0.3">
      <c r="C12540" s="54"/>
      <c r="N12540" s="33"/>
    </row>
    <row r="12541" spans="3:14" x14ac:dyDescent="0.3">
      <c r="C12541" s="54"/>
      <c r="N12541" s="33"/>
    </row>
    <row r="12542" spans="3:14" x14ac:dyDescent="0.3">
      <c r="C12542" s="54"/>
      <c r="N12542" s="33"/>
    </row>
    <row r="12543" spans="3:14" x14ac:dyDescent="0.3">
      <c r="C12543" s="54"/>
      <c r="N12543" s="33"/>
    </row>
    <row r="12544" spans="3:14" x14ac:dyDescent="0.3">
      <c r="C12544" s="54"/>
      <c r="N12544" s="33"/>
    </row>
    <row r="12545" spans="3:14" x14ac:dyDescent="0.3">
      <c r="C12545" s="54"/>
      <c r="N12545" s="33"/>
    </row>
    <row r="12546" spans="3:14" x14ac:dyDescent="0.3">
      <c r="C12546" s="54"/>
      <c r="N12546" s="33"/>
    </row>
    <row r="12547" spans="3:14" x14ac:dyDescent="0.3">
      <c r="C12547" s="54"/>
      <c r="N12547" s="33"/>
    </row>
    <row r="12548" spans="3:14" x14ac:dyDescent="0.3">
      <c r="C12548" s="54"/>
      <c r="N12548" s="33"/>
    </row>
    <row r="12549" spans="3:14" x14ac:dyDescent="0.3">
      <c r="C12549" s="54"/>
      <c r="N12549" s="33"/>
    </row>
    <row r="12550" spans="3:14" x14ac:dyDescent="0.3">
      <c r="C12550" s="54"/>
      <c r="N12550" s="33"/>
    </row>
    <row r="12551" spans="3:14" x14ac:dyDescent="0.3">
      <c r="C12551" s="54"/>
      <c r="N12551" s="33"/>
    </row>
    <row r="12552" spans="3:14" x14ac:dyDescent="0.3">
      <c r="C12552" s="54"/>
      <c r="N12552" s="33"/>
    </row>
    <row r="12553" spans="3:14" x14ac:dyDescent="0.3">
      <c r="C12553" s="54"/>
      <c r="N12553" s="33"/>
    </row>
    <row r="12554" spans="3:14" x14ac:dyDescent="0.3">
      <c r="C12554" s="54"/>
      <c r="N12554" s="33"/>
    </row>
    <row r="12555" spans="3:14" x14ac:dyDescent="0.3">
      <c r="C12555" s="54"/>
      <c r="N12555" s="33"/>
    </row>
    <row r="12556" spans="3:14" x14ac:dyDescent="0.3">
      <c r="C12556" s="54"/>
      <c r="N12556" s="33"/>
    </row>
    <row r="12557" spans="3:14" x14ac:dyDescent="0.3">
      <c r="C12557" s="54"/>
      <c r="N12557" s="33"/>
    </row>
    <row r="12558" spans="3:14" x14ac:dyDescent="0.3">
      <c r="C12558" s="54"/>
      <c r="N12558" s="33"/>
    </row>
    <row r="12559" spans="3:14" x14ac:dyDescent="0.3">
      <c r="C12559" s="54"/>
      <c r="N12559" s="33"/>
    </row>
    <row r="12560" spans="3:14" x14ac:dyDescent="0.3">
      <c r="C12560" s="54"/>
      <c r="N12560" s="33"/>
    </row>
    <row r="12561" spans="3:14" x14ac:dyDescent="0.3">
      <c r="C12561" s="54"/>
      <c r="N12561" s="33"/>
    </row>
    <row r="12562" spans="3:14" x14ac:dyDescent="0.3">
      <c r="C12562" s="54"/>
      <c r="N12562" s="33"/>
    </row>
    <row r="12563" spans="3:14" x14ac:dyDescent="0.3">
      <c r="C12563" s="54"/>
      <c r="N12563" s="33"/>
    </row>
    <row r="12564" spans="3:14" x14ac:dyDescent="0.3">
      <c r="C12564" s="54"/>
      <c r="N12564" s="33"/>
    </row>
    <row r="12565" spans="3:14" x14ac:dyDescent="0.3">
      <c r="C12565" s="54"/>
      <c r="N12565" s="33"/>
    </row>
    <row r="12566" spans="3:14" x14ac:dyDescent="0.3">
      <c r="C12566" s="54"/>
      <c r="N12566" s="33"/>
    </row>
    <row r="12567" spans="3:14" x14ac:dyDescent="0.3">
      <c r="C12567" s="54"/>
      <c r="N12567" s="33"/>
    </row>
    <row r="12568" spans="3:14" x14ac:dyDescent="0.3">
      <c r="C12568" s="54"/>
      <c r="N12568" s="33"/>
    </row>
    <row r="12569" spans="3:14" x14ac:dyDescent="0.3">
      <c r="C12569" s="54"/>
      <c r="N12569" s="33"/>
    </row>
    <row r="12570" spans="3:14" x14ac:dyDescent="0.3">
      <c r="C12570" s="54"/>
      <c r="N12570" s="33"/>
    </row>
    <row r="12571" spans="3:14" x14ac:dyDescent="0.3">
      <c r="C12571" s="54"/>
      <c r="N12571" s="33"/>
    </row>
    <row r="12572" spans="3:14" x14ac:dyDescent="0.3">
      <c r="C12572" s="54"/>
      <c r="N12572" s="33"/>
    </row>
    <row r="12573" spans="3:14" x14ac:dyDescent="0.3">
      <c r="C12573" s="54"/>
      <c r="N12573" s="33"/>
    </row>
    <row r="12574" spans="3:14" x14ac:dyDescent="0.3">
      <c r="C12574" s="54"/>
      <c r="N12574" s="33"/>
    </row>
    <row r="12575" spans="3:14" x14ac:dyDescent="0.3">
      <c r="C12575" s="54"/>
      <c r="N12575" s="33"/>
    </row>
    <row r="12576" spans="3:14" x14ac:dyDescent="0.3">
      <c r="C12576" s="54"/>
      <c r="N12576" s="33"/>
    </row>
    <row r="12577" spans="3:14" x14ac:dyDescent="0.3">
      <c r="C12577" s="54"/>
      <c r="N12577" s="33"/>
    </row>
    <row r="12578" spans="3:14" x14ac:dyDescent="0.3">
      <c r="C12578" s="54"/>
      <c r="N12578" s="33"/>
    </row>
    <row r="12579" spans="3:14" x14ac:dyDescent="0.3">
      <c r="C12579" s="54"/>
      <c r="N12579" s="33"/>
    </row>
    <row r="12580" spans="3:14" x14ac:dyDescent="0.3">
      <c r="C12580" s="54"/>
      <c r="N12580" s="33"/>
    </row>
    <row r="12581" spans="3:14" x14ac:dyDescent="0.3">
      <c r="C12581" s="54"/>
      <c r="N12581" s="33"/>
    </row>
    <row r="12582" spans="3:14" x14ac:dyDescent="0.3">
      <c r="C12582" s="54"/>
      <c r="N12582" s="33"/>
    </row>
    <row r="12583" spans="3:14" x14ac:dyDescent="0.3">
      <c r="C12583" s="54"/>
      <c r="N12583" s="33"/>
    </row>
    <row r="12584" spans="3:14" x14ac:dyDescent="0.3">
      <c r="C12584" s="54"/>
      <c r="N12584" s="33"/>
    </row>
    <row r="12585" spans="3:14" x14ac:dyDescent="0.3">
      <c r="C12585" s="54"/>
      <c r="N12585" s="33"/>
    </row>
    <row r="12586" spans="3:14" x14ac:dyDescent="0.3">
      <c r="C12586" s="54"/>
      <c r="N12586" s="33"/>
    </row>
    <row r="12587" spans="3:14" x14ac:dyDescent="0.3">
      <c r="C12587" s="54"/>
      <c r="N12587" s="33"/>
    </row>
    <row r="12588" spans="3:14" x14ac:dyDescent="0.3">
      <c r="C12588" s="54"/>
      <c r="N12588" s="33"/>
    </row>
    <row r="12589" spans="3:14" x14ac:dyDescent="0.3">
      <c r="C12589" s="54"/>
      <c r="N12589" s="33"/>
    </row>
    <row r="12590" spans="3:14" x14ac:dyDescent="0.3">
      <c r="C12590" s="54"/>
      <c r="N12590" s="33"/>
    </row>
    <row r="12591" spans="3:14" x14ac:dyDescent="0.3">
      <c r="C12591" s="54"/>
      <c r="N12591" s="33"/>
    </row>
    <row r="12592" spans="3:14" x14ac:dyDescent="0.3">
      <c r="C12592" s="54"/>
      <c r="N12592" s="33"/>
    </row>
    <row r="12593" spans="3:14" x14ac:dyDescent="0.3">
      <c r="C12593" s="54"/>
      <c r="N12593" s="33"/>
    </row>
    <row r="12594" spans="3:14" x14ac:dyDescent="0.3">
      <c r="C12594" s="54"/>
      <c r="N12594" s="33"/>
    </row>
    <row r="12595" spans="3:14" x14ac:dyDescent="0.3">
      <c r="C12595" s="54"/>
      <c r="N12595" s="33"/>
    </row>
    <row r="12596" spans="3:14" x14ac:dyDescent="0.3">
      <c r="C12596" s="54"/>
      <c r="N12596" s="33"/>
    </row>
    <row r="12597" spans="3:14" x14ac:dyDescent="0.3">
      <c r="C12597" s="54"/>
      <c r="N12597" s="33"/>
    </row>
    <row r="12598" spans="3:14" x14ac:dyDescent="0.3">
      <c r="C12598" s="54"/>
      <c r="N12598" s="33"/>
    </row>
    <row r="12599" spans="3:14" x14ac:dyDescent="0.3">
      <c r="C12599" s="54"/>
      <c r="N12599" s="33"/>
    </row>
    <row r="12600" spans="3:14" x14ac:dyDescent="0.3">
      <c r="C12600" s="54"/>
      <c r="N12600" s="33"/>
    </row>
    <row r="12601" spans="3:14" x14ac:dyDescent="0.3">
      <c r="C12601" s="54"/>
      <c r="N12601" s="33"/>
    </row>
    <row r="12602" spans="3:14" x14ac:dyDescent="0.3">
      <c r="C12602" s="54"/>
      <c r="N12602" s="33"/>
    </row>
    <row r="12603" spans="3:14" x14ac:dyDescent="0.3">
      <c r="C12603" s="54"/>
      <c r="N12603" s="33"/>
    </row>
    <row r="12604" spans="3:14" x14ac:dyDescent="0.3">
      <c r="C12604" s="54"/>
      <c r="N12604" s="33"/>
    </row>
    <row r="12605" spans="3:14" x14ac:dyDescent="0.3">
      <c r="C12605" s="54"/>
      <c r="N12605" s="33"/>
    </row>
    <row r="12606" spans="3:14" x14ac:dyDescent="0.3">
      <c r="C12606" s="54"/>
      <c r="N12606" s="33"/>
    </row>
    <row r="12607" spans="3:14" x14ac:dyDescent="0.3">
      <c r="C12607" s="54"/>
      <c r="N12607" s="33"/>
    </row>
    <row r="12608" spans="3:14" x14ac:dyDescent="0.3">
      <c r="C12608" s="54"/>
      <c r="N12608" s="33"/>
    </row>
    <row r="12609" spans="3:14" x14ac:dyDescent="0.3">
      <c r="C12609" s="54"/>
      <c r="N12609" s="33"/>
    </row>
    <row r="12610" spans="3:14" x14ac:dyDescent="0.3">
      <c r="C12610" s="54"/>
      <c r="N12610" s="33"/>
    </row>
    <row r="12611" spans="3:14" x14ac:dyDescent="0.3">
      <c r="C12611" s="54"/>
      <c r="N12611" s="33"/>
    </row>
    <row r="12612" spans="3:14" x14ac:dyDescent="0.3">
      <c r="C12612" s="54"/>
      <c r="N12612" s="33"/>
    </row>
    <row r="12613" spans="3:14" x14ac:dyDescent="0.3">
      <c r="C12613" s="54"/>
      <c r="N12613" s="33"/>
    </row>
    <row r="12614" spans="3:14" x14ac:dyDescent="0.3">
      <c r="C12614" s="54"/>
      <c r="N12614" s="33"/>
    </row>
    <row r="12615" spans="3:14" x14ac:dyDescent="0.3">
      <c r="C12615" s="54"/>
      <c r="N12615" s="33"/>
    </row>
    <row r="12616" spans="3:14" x14ac:dyDescent="0.3">
      <c r="C12616" s="54"/>
      <c r="N12616" s="33"/>
    </row>
    <row r="12617" spans="3:14" x14ac:dyDescent="0.3">
      <c r="C12617" s="54"/>
      <c r="N12617" s="33"/>
    </row>
    <row r="12618" spans="3:14" x14ac:dyDescent="0.3">
      <c r="C12618" s="54"/>
      <c r="N12618" s="33"/>
    </row>
    <row r="12619" spans="3:14" x14ac:dyDescent="0.3">
      <c r="C12619" s="54"/>
      <c r="N12619" s="33"/>
    </row>
    <row r="12620" spans="3:14" x14ac:dyDescent="0.3">
      <c r="C12620" s="54"/>
      <c r="N12620" s="33"/>
    </row>
    <row r="12621" spans="3:14" x14ac:dyDescent="0.3">
      <c r="C12621" s="54"/>
      <c r="N12621" s="33"/>
    </row>
    <row r="12622" spans="3:14" x14ac:dyDescent="0.3">
      <c r="C12622" s="54"/>
      <c r="N12622" s="33"/>
    </row>
    <row r="12623" spans="3:14" x14ac:dyDescent="0.3">
      <c r="C12623" s="54"/>
      <c r="N12623" s="33"/>
    </row>
    <row r="12624" spans="3:14" x14ac:dyDescent="0.3">
      <c r="C12624" s="54"/>
      <c r="N12624" s="33"/>
    </row>
    <row r="12625" spans="3:14" x14ac:dyDescent="0.3">
      <c r="C12625" s="54"/>
      <c r="N12625" s="33"/>
    </row>
    <row r="12626" spans="3:14" x14ac:dyDescent="0.3">
      <c r="C12626" s="54"/>
      <c r="N12626" s="33"/>
    </row>
    <row r="12627" spans="3:14" x14ac:dyDescent="0.3">
      <c r="C12627" s="54"/>
      <c r="N12627" s="33"/>
    </row>
    <row r="12628" spans="3:14" x14ac:dyDescent="0.3">
      <c r="C12628" s="54"/>
      <c r="N12628" s="33"/>
    </row>
    <row r="12629" spans="3:14" x14ac:dyDescent="0.3">
      <c r="C12629" s="54"/>
      <c r="N12629" s="33"/>
    </row>
    <row r="12630" spans="3:14" x14ac:dyDescent="0.3">
      <c r="C12630" s="54"/>
      <c r="N12630" s="33"/>
    </row>
    <row r="12631" spans="3:14" x14ac:dyDescent="0.3">
      <c r="C12631" s="54"/>
      <c r="N12631" s="33"/>
    </row>
    <row r="12632" spans="3:14" x14ac:dyDescent="0.3">
      <c r="C12632" s="54"/>
      <c r="N12632" s="33"/>
    </row>
    <row r="12633" spans="3:14" x14ac:dyDescent="0.3">
      <c r="C12633" s="54"/>
      <c r="N12633" s="33"/>
    </row>
    <row r="12634" spans="3:14" x14ac:dyDescent="0.3">
      <c r="C12634" s="54"/>
      <c r="N12634" s="33"/>
    </row>
    <row r="12635" spans="3:14" x14ac:dyDescent="0.3">
      <c r="C12635" s="54"/>
      <c r="N12635" s="33"/>
    </row>
    <row r="12636" spans="3:14" x14ac:dyDescent="0.3">
      <c r="C12636" s="54"/>
      <c r="N12636" s="33"/>
    </row>
    <row r="12637" spans="3:14" x14ac:dyDescent="0.3">
      <c r="C12637" s="54"/>
      <c r="N12637" s="33"/>
    </row>
    <row r="12638" spans="3:14" x14ac:dyDescent="0.3">
      <c r="C12638" s="54"/>
      <c r="N12638" s="33"/>
    </row>
    <row r="12639" spans="3:14" x14ac:dyDescent="0.3">
      <c r="C12639" s="54"/>
      <c r="N12639" s="33"/>
    </row>
    <row r="12640" spans="3:14" x14ac:dyDescent="0.3">
      <c r="C12640" s="54"/>
      <c r="N12640" s="33"/>
    </row>
    <row r="12641" spans="3:14" x14ac:dyDescent="0.3">
      <c r="C12641" s="54"/>
      <c r="N12641" s="33"/>
    </row>
    <row r="12642" spans="3:14" x14ac:dyDescent="0.3">
      <c r="C12642" s="54"/>
      <c r="N12642" s="33"/>
    </row>
    <row r="12643" spans="3:14" x14ac:dyDescent="0.3">
      <c r="C12643" s="54"/>
      <c r="N12643" s="33"/>
    </row>
    <row r="12644" spans="3:14" x14ac:dyDescent="0.3">
      <c r="C12644" s="54"/>
      <c r="N12644" s="33"/>
    </row>
    <row r="12645" spans="3:14" x14ac:dyDescent="0.3">
      <c r="C12645" s="54"/>
      <c r="N12645" s="33"/>
    </row>
    <row r="12646" spans="3:14" x14ac:dyDescent="0.3">
      <c r="C12646" s="54"/>
      <c r="N12646" s="33"/>
    </row>
    <row r="12647" spans="3:14" x14ac:dyDescent="0.3">
      <c r="C12647" s="54"/>
      <c r="N12647" s="33"/>
    </row>
    <row r="12648" spans="3:14" x14ac:dyDescent="0.3">
      <c r="C12648" s="54"/>
      <c r="N12648" s="33"/>
    </row>
    <row r="12649" spans="3:14" x14ac:dyDescent="0.3">
      <c r="C12649" s="54"/>
      <c r="N12649" s="33"/>
    </row>
    <row r="12650" spans="3:14" x14ac:dyDescent="0.3">
      <c r="C12650" s="54"/>
      <c r="N12650" s="33"/>
    </row>
    <row r="12651" spans="3:14" x14ac:dyDescent="0.3">
      <c r="C12651" s="54"/>
      <c r="N12651" s="33"/>
    </row>
    <row r="12652" spans="3:14" x14ac:dyDescent="0.3">
      <c r="C12652" s="54"/>
      <c r="N12652" s="33"/>
    </row>
    <row r="12653" spans="3:14" x14ac:dyDescent="0.3">
      <c r="C12653" s="54"/>
      <c r="N12653" s="33"/>
    </row>
    <row r="12654" spans="3:14" x14ac:dyDescent="0.3">
      <c r="C12654" s="54"/>
      <c r="N12654" s="33"/>
    </row>
    <row r="12655" spans="3:14" x14ac:dyDescent="0.3">
      <c r="C12655" s="54"/>
      <c r="N12655" s="33"/>
    </row>
    <row r="12656" spans="3:14" x14ac:dyDescent="0.3">
      <c r="C12656" s="54"/>
      <c r="N12656" s="33"/>
    </row>
    <row r="12657" spans="3:14" x14ac:dyDescent="0.3">
      <c r="C12657" s="54"/>
      <c r="N12657" s="33"/>
    </row>
    <row r="12658" spans="3:14" x14ac:dyDescent="0.3">
      <c r="C12658" s="54"/>
      <c r="N12658" s="33"/>
    </row>
    <row r="12659" spans="3:14" x14ac:dyDescent="0.3">
      <c r="C12659" s="54"/>
      <c r="N12659" s="33"/>
    </row>
    <row r="12660" spans="3:14" x14ac:dyDescent="0.3">
      <c r="C12660" s="54"/>
      <c r="N12660" s="33"/>
    </row>
    <row r="12661" spans="3:14" x14ac:dyDescent="0.3">
      <c r="C12661" s="54"/>
      <c r="N12661" s="33"/>
    </row>
    <row r="12662" spans="3:14" x14ac:dyDescent="0.3">
      <c r="C12662" s="54"/>
      <c r="N12662" s="33"/>
    </row>
    <row r="12663" spans="3:14" x14ac:dyDescent="0.3">
      <c r="C12663" s="54"/>
      <c r="N12663" s="33"/>
    </row>
    <row r="12664" spans="3:14" x14ac:dyDescent="0.3">
      <c r="C12664" s="54"/>
      <c r="N12664" s="33"/>
    </row>
    <row r="12665" spans="3:14" x14ac:dyDescent="0.3">
      <c r="C12665" s="54"/>
      <c r="N12665" s="33"/>
    </row>
    <row r="12666" spans="3:14" x14ac:dyDescent="0.3">
      <c r="C12666" s="54"/>
      <c r="N12666" s="33"/>
    </row>
    <row r="12667" spans="3:14" x14ac:dyDescent="0.3">
      <c r="C12667" s="54"/>
      <c r="N12667" s="33"/>
    </row>
    <row r="12668" spans="3:14" x14ac:dyDescent="0.3">
      <c r="C12668" s="54"/>
      <c r="N12668" s="33"/>
    </row>
    <row r="12669" spans="3:14" x14ac:dyDescent="0.3">
      <c r="C12669" s="54"/>
      <c r="N12669" s="33"/>
    </row>
    <row r="12670" spans="3:14" x14ac:dyDescent="0.3">
      <c r="C12670" s="54"/>
      <c r="N12670" s="33"/>
    </row>
    <row r="12671" spans="3:14" x14ac:dyDescent="0.3">
      <c r="C12671" s="54"/>
      <c r="N12671" s="33"/>
    </row>
    <row r="12672" spans="3:14" x14ac:dyDescent="0.3">
      <c r="C12672" s="54"/>
      <c r="N12672" s="33"/>
    </row>
    <row r="12673" spans="3:14" x14ac:dyDescent="0.3">
      <c r="C12673" s="54"/>
      <c r="N12673" s="33"/>
    </row>
    <row r="12674" spans="3:14" x14ac:dyDescent="0.3">
      <c r="C12674" s="54"/>
      <c r="N12674" s="33"/>
    </row>
    <row r="12675" spans="3:14" x14ac:dyDescent="0.3">
      <c r="C12675" s="54"/>
      <c r="N12675" s="33"/>
    </row>
    <row r="12676" spans="3:14" x14ac:dyDescent="0.3">
      <c r="C12676" s="54"/>
      <c r="N12676" s="33"/>
    </row>
    <row r="12677" spans="3:14" x14ac:dyDescent="0.3">
      <c r="C12677" s="54"/>
      <c r="N12677" s="33"/>
    </row>
    <row r="12678" spans="3:14" x14ac:dyDescent="0.3">
      <c r="C12678" s="54"/>
      <c r="N12678" s="33"/>
    </row>
    <row r="12679" spans="3:14" x14ac:dyDescent="0.3">
      <c r="C12679" s="54"/>
      <c r="N12679" s="33"/>
    </row>
    <row r="12680" spans="3:14" x14ac:dyDescent="0.3">
      <c r="C12680" s="54"/>
      <c r="N12680" s="33"/>
    </row>
    <row r="12681" spans="3:14" x14ac:dyDescent="0.3">
      <c r="C12681" s="54"/>
      <c r="N12681" s="33"/>
    </row>
    <row r="12682" spans="3:14" x14ac:dyDescent="0.3">
      <c r="C12682" s="54"/>
      <c r="N12682" s="33"/>
    </row>
    <row r="12683" spans="3:14" x14ac:dyDescent="0.3">
      <c r="C12683" s="54"/>
      <c r="N12683" s="33"/>
    </row>
    <row r="12684" spans="3:14" x14ac:dyDescent="0.3">
      <c r="C12684" s="54"/>
      <c r="N12684" s="33"/>
    </row>
    <row r="12685" spans="3:14" x14ac:dyDescent="0.3">
      <c r="C12685" s="54"/>
      <c r="N12685" s="33"/>
    </row>
    <row r="12686" spans="3:14" x14ac:dyDescent="0.3">
      <c r="C12686" s="54"/>
      <c r="N12686" s="33"/>
    </row>
    <row r="12687" spans="3:14" x14ac:dyDescent="0.3">
      <c r="C12687" s="54"/>
      <c r="N12687" s="33"/>
    </row>
    <row r="12688" spans="3:14" x14ac:dyDescent="0.3">
      <c r="C12688" s="54"/>
      <c r="N12688" s="33"/>
    </row>
    <row r="12689" spans="3:14" x14ac:dyDescent="0.3">
      <c r="C12689" s="54"/>
      <c r="N12689" s="33"/>
    </row>
    <row r="12690" spans="3:14" x14ac:dyDescent="0.3">
      <c r="C12690" s="54"/>
      <c r="N12690" s="33"/>
    </row>
    <row r="12691" spans="3:14" x14ac:dyDescent="0.3">
      <c r="C12691" s="54"/>
      <c r="N12691" s="33"/>
    </row>
    <row r="12692" spans="3:14" x14ac:dyDescent="0.3">
      <c r="C12692" s="54"/>
      <c r="N12692" s="33"/>
    </row>
    <row r="12693" spans="3:14" x14ac:dyDescent="0.3">
      <c r="C12693" s="54"/>
      <c r="N12693" s="33"/>
    </row>
    <row r="12694" spans="3:14" x14ac:dyDescent="0.3">
      <c r="C12694" s="54"/>
      <c r="N12694" s="33"/>
    </row>
    <row r="12695" spans="3:14" x14ac:dyDescent="0.3">
      <c r="C12695" s="54"/>
      <c r="N12695" s="33"/>
    </row>
    <row r="12696" spans="3:14" x14ac:dyDescent="0.3">
      <c r="C12696" s="54"/>
      <c r="N12696" s="33"/>
    </row>
    <row r="12697" spans="3:14" x14ac:dyDescent="0.3">
      <c r="C12697" s="54"/>
      <c r="N12697" s="33"/>
    </row>
    <row r="12698" spans="3:14" x14ac:dyDescent="0.3">
      <c r="C12698" s="54"/>
      <c r="N12698" s="33"/>
    </row>
    <row r="12699" spans="3:14" x14ac:dyDescent="0.3">
      <c r="C12699" s="54"/>
      <c r="N12699" s="33"/>
    </row>
    <row r="12700" spans="3:14" x14ac:dyDescent="0.3">
      <c r="C12700" s="54"/>
      <c r="N12700" s="33"/>
    </row>
    <row r="12701" spans="3:14" x14ac:dyDescent="0.3">
      <c r="C12701" s="54"/>
      <c r="N12701" s="33"/>
    </row>
    <row r="12702" spans="3:14" x14ac:dyDescent="0.3">
      <c r="C12702" s="54"/>
      <c r="N12702" s="33"/>
    </row>
    <row r="12703" spans="3:14" x14ac:dyDescent="0.3">
      <c r="C12703" s="54"/>
      <c r="N12703" s="33"/>
    </row>
    <row r="12704" spans="3:14" x14ac:dyDescent="0.3">
      <c r="C12704" s="54"/>
      <c r="N12704" s="33"/>
    </row>
    <row r="12705" spans="3:14" x14ac:dyDescent="0.3">
      <c r="C12705" s="54"/>
      <c r="N12705" s="33"/>
    </row>
    <row r="12706" spans="3:14" x14ac:dyDescent="0.3">
      <c r="C12706" s="54"/>
      <c r="N12706" s="33"/>
    </row>
    <row r="12707" spans="3:14" x14ac:dyDescent="0.3">
      <c r="C12707" s="54"/>
      <c r="N12707" s="33"/>
    </row>
    <row r="12708" spans="3:14" x14ac:dyDescent="0.3">
      <c r="C12708" s="54"/>
      <c r="N12708" s="33"/>
    </row>
    <row r="12709" spans="3:14" x14ac:dyDescent="0.3">
      <c r="C12709" s="54"/>
      <c r="N12709" s="33"/>
    </row>
    <row r="12710" spans="3:14" x14ac:dyDescent="0.3">
      <c r="C12710" s="54"/>
      <c r="N12710" s="33"/>
    </row>
    <row r="12711" spans="3:14" x14ac:dyDescent="0.3">
      <c r="C12711" s="54"/>
      <c r="N12711" s="33"/>
    </row>
    <row r="12712" spans="3:14" x14ac:dyDescent="0.3">
      <c r="C12712" s="54"/>
      <c r="N12712" s="33"/>
    </row>
    <row r="12713" spans="3:14" x14ac:dyDescent="0.3">
      <c r="C12713" s="54"/>
      <c r="N12713" s="33"/>
    </row>
    <row r="12714" spans="3:14" x14ac:dyDescent="0.3">
      <c r="C12714" s="54"/>
      <c r="N12714" s="33"/>
    </row>
    <row r="12715" spans="3:14" x14ac:dyDescent="0.3">
      <c r="C12715" s="54"/>
      <c r="N12715" s="33"/>
    </row>
    <row r="12716" spans="3:14" x14ac:dyDescent="0.3">
      <c r="C12716" s="54"/>
      <c r="N12716" s="33"/>
    </row>
    <row r="12717" spans="3:14" x14ac:dyDescent="0.3">
      <c r="C12717" s="54"/>
      <c r="N12717" s="33"/>
    </row>
    <row r="12718" spans="3:14" x14ac:dyDescent="0.3">
      <c r="C12718" s="54"/>
      <c r="N12718" s="33"/>
    </row>
    <row r="12719" spans="3:14" x14ac:dyDescent="0.3">
      <c r="C12719" s="54"/>
      <c r="N12719" s="33"/>
    </row>
    <row r="12720" spans="3:14" x14ac:dyDescent="0.3">
      <c r="C12720" s="54"/>
      <c r="N12720" s="33"/>
    </row>
    <row r="12721" spans="3:14" x14ac:dyDescent="0.3">
      <c r="C12721" s="54"/>
      <c r="N12721" s="33"/>
    </row>
    <row r="12722" spans="3:14" x14ac:dyDescent="0.3">
      <c r="C12722" s="54"/>
      <c r="N12722" s="33"/>
    </row>
    <row r="12723" spans="3:14" x14ac:dyDescent="0.3">
      <c r="C12723" s="54"/>
      <c r="N12723" s="33"/>
    </row>
    <row r="12724" spans="3:14" x14ac:dyDescent="0.3">
      <c r="C12724" s="54"/>
      <c r="N12724" s="33"/>
    </row>
    <row r="12725" spans="3:14" x14ac:dyDescent="0.3">
      <c r="C12725" s="54"/>
      <c r="N12725" s="33"/>
    </row>
    <row r="12726" spans="3:14" x14ac:dyDescent="0.3">
      <c r="C12726" s="54"/>
      <c r="N12726" s="33"/>
    </row>
    <row r="12727" spans="3:14" x14ac:dyDescent="0.3">
      <c r="C12727" s="54"/>
      <c r="N12727" s="33"/>
    </row>
    <row r="12728" spans="3:14" x14ac:dyDescent="0.3">
      <c r="C12728" s="54"/>
      <c r="N12728" s="33"/>
    </row>
    <row r="12729" spans="3:14" x14ac:dyDescent="0.3">
      <c r="C12729" s="54"/>
      <c r="N12729" s="33"/>
    </row>
    <row r="12730" spans="3:14" x14ac:dyDescent="0.3">
      <c r="C12730" s="54"/>
      <c r="N12730" s="33"/>
    </row>
    <row r="12731" spans="3:14" x14ac:dyDescent="0.3">
      <c r="C12731" s="54"/>
      <c r="N12731" s="33"/>
    </row>
    <row r="12732" spans="3:14" x14ac:dyDescent="0.3">
      <c r="C12732" s="54"/>
      <c r="N12732" s="33"/>
    </row>
    <row r="12733" spans="3:14" x14ac:dyDescent="0.3">
      <c r="C12733" s="54"/>
      <c r="N12733" s="33"/>
    </row>
    <row r="12734" spans="3:14" x14ac:dyDescent="0.3">
      <c r="C12734" s="54"/>
      <c r="N12734" s="33"/>
    </row>
    <row r="12735" spans="3:14" x14ac:dyDescent="0.3">
      <c r="C12735" s="54"/>
      <c r="N12735" s="33"/>
    </row>
    <row r="12736" spans="3:14" x14ac:dyDescent="0.3">
      <c r="C12736" s="54"/>
      <c r="N12736" s="33"/>
    </row>
    <row r="12737" spans="3:14" x14ac:dyDescent="0.3">
      <c r="C12737" s="54"/>
      <c r="N12737" s="33"/>
    </row>
    <row r="12738" spans="3:14" x14ac:dyDescent="0.3">
      <c r="C12738" s="54"/>
      <c r="N12738" s="33"/>
    </row>
    <row r="12739" spans="3:14" x14ac:dyDescent="0.3">
      <c r="C12739" s="54"/>
      <c r="N12739" s="33"/>
    </row>
    <row r="12740" spans="3:14" x14ac:dyDescent="0.3">
      <c r="C12740" s="54"/>
      <c r="N12740" s="33"/>
    </row>
    <row r="12741" spans="3:14" x14ac:dyDescent="0.3">
      <c r="C12741" s="54"/>
      <c r="N12741" s="33"/>
    </row>
    <row r="12742" spans="3:14" x14ac:dyDescent="0.3">
      <c r="C12742" s="54"/>
      <c r="N12742" s="33"/>
    </row>
    <row r="12743" spans="3:14" x14ac:dyDescent="0.3">
      <c r="C12743" s="54"/>
      <c r="N12743" s="33"/>
    </row>
    <row r="12744" spans="3:14" x14ac:dyDescent="0.3">
      <c r="C12744" s="54"/>
      <c r="N12744" s="33"/>
    </row>
    <row r="12745" spans="3:14" x14ac:dyDescent="0.3">
      <c r="C12745" s="54"/>
      <c r="N12745" s="33"/>
    </row>
    <row r="12746" spans="3:14" x14ac:dyDescent="0.3">
      <c r="C12746" s="54"/>
      <c r="N12746" s="33"/>
    </row>
    <row r="12747" spans="3:14" x14ac:dyDescent="0.3">
      <c r="C12747" s="54"/>
      <c r="N12747" s="33"/>
    </row>
    <row r="12748" spans="3:14" x14ac:dyDescent="0.3">
      <c r="C12748" s="54"/>
      <c r="N12748" s="33"/>
    </row>
    <row r="12749" spans="3:14" x14ac:dyDescent="0.3">
      <c r="C12749" s="54"/>
      <c r="N12749" s="33"/>
    </row>
    <row r="12750" spans="3:14" x14ac:dyDescent="0.3">
      <c r="C12750" s="54"/>
      <c r="N12750" s="33"/>
    </row>
    <row r="12751" spans="3:14" x14ac:dyDescent="0.3">
      <c r="C12751" s="54"/>
      <c r="N12751" s="33"/>
    </row>
    <row r="12752" spans="3:14" x14ac:dyDescent="0.3">
      <c r="C12752" s="54"/>
      <c r="N12752" s="33"/>
    </row>
    <row r="12753" spans="3:14" x14ac:dyDescent="0.3">
      <c r="C12753" s="54"/>
      <c r="N12753" s="33"/>
    </row>
    <row r="12754" spans="3:14" x14ac:dyDescent="0.3">
      <c r="C12754" s="54"/>
      <c r="N12754" s="33"/>
    </row>
    <row r="12755" spans="3:14" x14ac:dyDescent="0.3">
      <c r="C12755" s="54"/>
      <c r="N12755" s="33"/>
    </row>
    <row r="12756" spans="3:14" x14ac:dyDescent="0.3">
      <c r="C12756" s="54"/>
      <c r="N12756" s="33"/>
    </row>
    <row r="12757" spans="3:14" x14ac:dyDescent="0.3">
      <c r="C12757" s="54"/>
      <c r="N12757" s="33"/>
    </row>
    <row r="12758" spans="3:14" x14ac:dyDescent="0.3">
      <c r="C12758" s="54"/>
      <c r="N12758" s="33"/>
    </row>
    <row r="12759" spans="3:14" x14ac:dyDescent="0.3">
      <c r="C12759" s="54"/>
      <c r="N12759" s="33"/>
    </row>
    <row r="12760" spans="3:14" x14ac:dyDescent="0.3">
      <c r="C12760" s="54"/>
      <c r="N12760" s="33"/>
    </row>
    <row r="12761" spans="3:14" x14ac:dyDescent="0.3">
      <c r="C12761" s="54"/>
      <c r="N12761" s="33"/>
    </row>
    <row r="12762" spans="3:14" x14ac:dyDescent="0.3">
      <c r="C12762" s="54"/>
      <c r="N12762" s="33"/>
    </row>
    <row r="12763" spans="3:14" x14ac:dyDescent="0.3">
      <c r="C12763" s="54"/>
      <c r="N12763" s="33"/>
    </row>
    <row r="12764" spans="3:14" x14ac:dyDescent="0.3">
      <c r="C12764" s="54"/>
      <c r="N12764" s="33"/>
    </row>
    <row r="12765" spans="3:14" x14ac:dyDescent="0.3">
      <c r="C12765" s="54"/>
      <c r="N12765" s="33"/>
    </row>
    <row r="12766" spans="3:14" x14ac:dyDescent="0.3">
      <c r="C12766" s="54"/>
      <c r="N12766" s="33"/>
    </row>
    <row r="12767" spans="3:14" x14ac:dyDescent="0.3">
      <c r="C12767" s="54"/>
      <c r="N12767" s="33"/>
    </row>
    <row r="12768" spans="3:14" x14ac:dyDescent="0.3">
      <c r="C12768" s="54"/>
      <c r="N12768" s="33"/>
    </row>
    <row r="12769" spans="3:14" x14ac:dyDescent="0.3">
      <c r="C12769" s="54"/>
      <c r="N12769" s="33"/>
    </row>
    <row r="12770" spans="3:14" x14ac:dyDescent="0.3">
      <c r="C12770" s="54"/>
      <c r="N12770" s="33"/>
    </row>
    <row r="12771" spans="3:14" x14ac:dyDescent="0.3">
      <c r="C12771" s="54"/>
      <c r="N12771" s="33"/>
    </row>
    <row r="12772" spans="3:14" x14ac:dyDescent="0.3">
      <c r="C12772" s="54"/>
      <c r="N12772" s="33"/>
    </row>
    <row r="12773" spans="3:14" x14ac:dyDescent="0.3">
      <c r="C12773" s="54"/>
      <c r="N12773" s="33"/>
    </row>
    <row r="12774" spans="3:14" x14ac:dyDescent="0.3">
      <c r="C12774" s="54"/>
      <c r="N12774" s="33"/>
    </row>
    <row r="12775" spans="3:14" x14ac:dyDescent="0.3">
      <c r="C12775" s="54"/>
      <c r="N12775" s="33"/>
    </row>
    <row r="12776" spans="3:14" x14ac:dyDescent="0.3">
      <c r="C12776" s="54"/>
      <c r="N12776" s="33"/>
    </row>
    <row r="12777" spans="3:14" x14ac:dyDescent="0.3">
      <c r="C12777" s="54"/>
      <c r="N12777" s="33"/>
    </row>
    <row r="12778" spans="3:14" x14ac:dyDescent="0.3">
      <c r="C12778" s="54"/>
      <c r="N12778" s="33"/>
    </row>
    <row r="12779" spans="3:14" x14ac:dyDescent="0.3">
      <c r="C12779" s="54"/>
      <c r="N12779" s="33"/>
    </row>
    <row r="12780" spans="3:14" x14ac:dyDescent="0.3">
      <c r="C12780" s="54"/>
      <c r="N12780" s="33"/>
    </row>
    <row r="12781" spans="3:14" x14ac:dyDescent="0.3">
      <c r="C12781" s="54"/>
      <c r="N12781" s="33"/>
    </row>
    <row r="12782" spans="3:14" x14ac:dyDescent="0.3">
      <c r="C12782" s="54"/>
      <c r="N12782" s="33"/>
    </row>
    <row r="12783" spans="3:14" x14ac:dyDescent="0.3">
      <c r="C12783" s="54"/>
      <c r="N12783" s="33"/>
    </row>
    <row r="12784" spans="3:14" x14ac:dyDescent="0.3">
      <c r="C12784" s="54"/>
      <c r="N12784" s="33"/>
    </row>
    <row r="12785" spans="3:14" x14ac:dyDescent="0.3">
      <c r="C12785" s="54"/>
      <c r="N12785" s="33"/>
    </row>
    <row r="12786" spans="3:14" x14ac:dyDescent="0.3">
      <c r="C12786" s="54"/>
      <c r="N12786" s="33"/>
    </row>
    <row r="12787" spans="3:14" x14ac:dyDescent="0.3">
      <c r="C12787" s="54"/>
      <c r="N12787" s="33"/>
    </row>
    <row r="12788" spans="3:14" x14ac:dyDescent="0.3">
      <c r="C12788" s="54"/>
      <c r="N12788" s="33"/>
    </row>
    <row r="12789" spans="3:14" x14ac:dyDescent="0.3">
      <c r="C12789" s="54"/>
      <c r="N12789" s="33"/>
    </row>
    <row r="12790" spans="3:14" x14ac:dyDescent="0.3">
      <c r="C12790" s="54"/>
      <c r="N12790" s="33"/>
    </row>
    <row r="12791" spans="3:14" x14ac:dyDescent="0.3">
      <c r="C12791" s="54"/>
      <c r="N12791" s="33"/>
    </row>
    <row r="12792" spans="3:14" x14ac:dyDescent="0.3">
      <c r="C12792" s="54"/>
      <c r="N12792" s="33"/>
    </row>
    <row r="12793" spans="3:14" x14ac:dyDescent="0.3">
      <c r="C12793" s="54"/>
      <c r="N12793" s="33"/>
    </row>
    <row r="12794" spans="3:14" x14ac:dyDescent="0.3">
      <c r="C12794" s="54"/>
      <c r="N12794" s="33"/>
    </row>
    <row r="12795" spans="3:14" x14ac:dyDescent="0.3">
      <c r="C12795" s="54"/>
      <c r="N12795" s="33"/>
    </row>
    <row r="12796" spans="3:14" x14ac:dyDescent="0.3">
      <c r="C12796" s="54"/>
      <c r="N12796" s="33"/>
    </row>
    <row r="12797" spans="3:14" x14ac:dyDescent="0.3">
      <c r="C12797" s="54"/>
      <c r="N12797" s="33"/>
    </row>
    <row r="12798" spans="3:14" x14ac:dyDescent="0.3">
      <c r="C12798" s="54"/>
      <c r="N12798" s="33"/>
    </row>
    <row r="12799" spans="3:14" x14ac:dyDescent="0.3">
      <c r="C12799" s="54"/>
      <c r="N12799" s="33"/>
    </row>
    <row r="12800" spans="3:14" x14ac:dyDescent="0.3">
      <c r="C12800" s="54"/>
      <c r="N12800" s="33"/>
    </row>
    <row r="12801" spans="3:14" x14ac:dyDescent="0.3">
      <c r="C12801" s="54"/>
      <c r="N12801" s="33"/>
    </row>
    <row r="12802" spans="3:14" x14ac:dyDescent="0.3">
      <c r="C12802" s="54"/>
      <c r="N12802" s="33"/>
    </row>
    <row r="12803" spans="3:14" x14ac:dyDescent="0.3">
      <c r="C12803" s="54"/>
      <c r="N12803" s="33"/>
    </row>
    <row r="12804" spans="3:14" x14ac:dyDescent="0.3">
      <c r="C12804" s="54"/>
      <c r="N12804" s="33"/>
    </row>
    <row r="12805" spans="3:14" x14ac:dyDescent="0.3">
      <c r="C12805" s="54"/>
      <c r="N12805" s="33"/>
    </row>
    <row r="12806" spans="3:14" x14ac:dyDescent="0.3">
      <c r="C12806" s="54"/>
      <c r="N12806" s="33"/>
    </row>
    <row r="12807" spans="3:14" x14ac:dyDescent="0.3">
      <c r="C12807" s="54"/>
      <c r="N12807" s="33"/>
    </row>
    <row r="12808" spans="3:14" x14ac:dyDescent="0.3">
      <c r="C12808" s="54"/>
      <c r="N12808" s="33"/>
    </row>
    <row r="12809" spans="3:14" x14ac:dyDescent="0.3">
      <c r="C12809" s="54"/>
      <c r="N12809" s="33"/>
    </row>
    <row r="12810" spans="3:14" x14ac:dyDescent="0.3">
      <c r="C12810" s="54"/>
      <c r="N12810" s="33"/>
    </row>
    <row r="12811" spans="3:14" x14ac:dyDescent="0.3">
      <c r="C12811" s="54"/>
      <c r="N12811" s="33"/>
    </row>
    <row r="12812" spans="3:14" x14ac:dyDescent="0.3">
      <c r="C12812" s="54"/>
      <c r="N12812" s="33"/>
    </row>
    <row r="12813" spans="3:14" x14ac:dyDescent="0.3">
      <c r="C12813" s="54"/>
      <c r="N12813" s="33"/>
    </row>
    <row r="12814" spans="3:14" x14ac:dyDescent="0.3">
      <c r="C12814" s="54"/>
      <c r="N12814" s="33"/>
    </row>
    <row r="12815" spans="3:14" x14ac:dyDescent="0.3">
      <c r="C12815" s="54"/>
      <c r="N12815" s="33"/>
    </row>
    <row r="12816" spans="3:14" x14ac:dyDescent="0.3">
      <c r="C12816" s="54"/>
      <c r="N12816" s="33"/>
    </row>
    <row r="12817" spans="3:14" x14ac:dyDescent="0.3">
      <c r="C12817" s="54"/>
      <c r="N12817" s="33"/>
    </row>
    <row r="12818" spans="3:14" x14ac:dyDescent="0.3">
      <c r="C12818" s="54"/>
      <c r="N12818" s="33"/>
    </row>
    <row r="12819" spans="3:14" x14ac:dyDescent="0.3">
      <c r="C12819" s="54"/>
      <c r="N12819" s="33"/>
    </row>
    <row r="12820" spans="3:14" x14ac:dyDescent="0.3">
      <c r="C12820" s="54"/>
      <c r="N12820" s="33"/>
    </row>
    <row r="12821" spans="3:14" x14ac:dyDescent="0.3">
      <c r="C12821" s="54"/>
      <c r="N12821" s="33"/>
    </row>
    <row r="12822" spans="3:14" x14ac:dyDescent="0.3">
      <c r="C12822" s="54"/>
      <c r="N12822" s="33"/>
    </row>
    <row r="12823" spans="3:14" x14ac:dyDescent="0.3">
      <c r="C12823" s="54"/>
      <c r="N12823" s="33"/>
    </row>
    <row r="12824" spans="3:14" x14ac:dyDescent="0.3">
      <c r="C12824" s="54"/>
      <c r="N12824" s="33"/>
    </row>
    <row r="12825" spans="3:14" x14ac:dyDescent="0.3">
      <c r="C12825" s="54"/>
      <c r="N12825" s="33"/>
    </row>
    <row r="12826" spans="3:14" x14ac:dyDescent="0.3">
      <c r="C12826" s="54"/>
      <c r="N12826" s="33"/>
    </row>
    <row r="12827" spans="3:14" x14ac:dyDescent="0.3">
      <c r="C12827" s="54"/>
      <c r="N12827" s="33"/>
    </row>
    <row r="12828" spans="3:14" x14ac:dyDescent="0.3">
      <c r="C12828" s="54"/>
      <c r="N12828" s="33"/>
    </row>
    <row r="12829" spans="3:14" x14ac:dyDescent="0.3">
      <c r="C12829" s="54"/>
      <c r="N12829" s="33"/>
    </row>
    <row r="12830" spans="3:14" x14ac:dyDescent="0.3">
      <c r="C12830" s="54"/>
      <c r="N12830" s="33"/>
    </row>
    <row r="12831" spans="3:14" x14ac:dyDescent="0.3">
      <c r="C12831" s="54"/>
      <c r="N12831" s="33"/>
    </row>
    <row r="12832" spans="3:14" x14ac:dyDescent="0.3">
      <c r="C12832" s="54"/>
      <c r="N12832" s="33"/>
    </row>
    <row r="12833" spans="3:14" x14ac:dyDescent="0.3">
      <c r="C12833" s="54"/>
      <c r="N12833" s="33"/>
    </row>
    <row r="12834" spans="3:14" x14ac:dyDescent="0.3">
      <c r="C12834" s="54"/>
      <c r="N12834" s="33"/>
    </row>
    <row r="12835" spans="3:14" x14ac:dyDescent="0.3">
      <c r="C12835" s="54"/>
      <c r="N12835" s="33"/>
    </row>
    <row r="12836" spans="3:14" x14ac:dyDescent="0.3">
      <c r="C12836" s="54"/>
      <c r="N12836" s="33"/>
    </row>
    <row r="12837" spans="3:14" x14ac:dyDescent="0.3">
      <c r="C12837" s="54"/>
      <c r="N12837" s="33"/>
    </row>
    <row r="12838" spans="3:14" x14ac:dyDescent="0.3">
      <c r="C12838" s="54"/>
      <c r="N12838" s="33"/>
    </row>
    <row r="12839" spans="3:14" x14ac:dyDescent="0.3">
      <c r="C12839" s="54"/>
      <c r="N12839" s="33"/>
    </row>
    <row r="12840" spans="3:14" x14ac:dyDescent="0.3">
      <c r="C12840" s="54"/>
      <c r="N12840" s="33"/>
    </row>
    <row r="12841" spans="3:14" x14ac:dyDescent="0.3">
      <c r="C12841" s="54"/>
      <c r="N12841" s="33"/>
    </row>
    <row r="12842" spans="3:14" x14ac:dyDescent="0.3">
      <c r="C12842" s="54"/>
      <c r="N12842" s="33"/>
    </row>
    <row r="12843" spans="3:14" x14ac:dyDescent="0.3">
      <c r="C12843" s="54"/>
      <c r="N12843" s="33"/>
    </row>
    <row r="12844" spans="3:14" x14ac:dyDescent="0.3">
      <c r="C12844" s="54"/>
      <c r="N12844" s="33"/>
    </row>
    <row r="12845" spans="3:14" x14ac:dyDescent="0.3">
      <c r="C12845" s="54"/>
      <c r="N12845" s="33"/>
    </row>
    <row r="12846" spans="3:14" x14ac:dyDescent="0.3">
      <c r="C12846" s="54"/>
      <c r="N12846" s="33"/>
    </row>
    <row r="12847" spans="3:14" x14ac:dyDescent="0.3">
      <c r="C12847" s="54"/>
      <c r="N12847" s="33"/>
    </row>
    <row r="12848" spans="3:14" x14ac:dyDescent="0.3">
      <c r="C12848" s="54"/>
      <c r="N12848" s="33"/>
    </row>
    <row r="12849" spans="3:14" x14ac:dyDescent="0.3">
      <c r="C12849" s="54"/>
      <c r="N12849" s="33"/>
    </row>
    <row r="12850" spans="3:14" x14ac:dyDescent="0.3">
      <c r="C12850" s="54"/>
      <c r="N12850" s="33"/>
    </row>
    <row r="12851" spans="3:14" x14ac:dyDescent="0.3">
      <c r="C12851" s="54"/>
      <c r="N12851" s="33"/>
    </row>
    <row r="12852" spans="3:14" x14ac:dyDescent="0.3">
      <c r="C12852" s="54"/>
      <c r="N12852" s="33"/>
    </row>
    <row r="12853" spans="3:14" x14ac:dyDescent="0.3">
      <c r="C12853" s="54"/>
      <c r="N12853" s="33"/>
    </row>
    <row r="12854" spans="3:14" x14ac:dyDescent="0.3">
      <c r="C12854" s="54"/>
      <c r="N12854" s="33"/>
    </row>
    <row r="12855" spans="3:14" x14ac:dyDescent="0.3">
      <c r="C12855" s="54"/>
      <c r="N12855" s="33"/>
    </row>
    <row r="12856" spans="3:14" x14ac:dyDescent="0.3">
      <c r="C12856" s="54"/>
      <c r="N12856" s="33"/>
    </row>
    <row r="12857" spans="3:14" x14ac:dyDescent="0.3">
      <c r="C12857" s="54"/>
      <c r="N12857" s="33"/>
    </row>
    <row r="12858" spans="3:14" x14ac:dyDescent="0.3">
      <c r="C12858" s="54"/>
      <c r="N12858" s="33"/>
    </row>
    <row r="12859" spans="3:14" x14ac:dyDescent="0.3">
      <c r="C12859" s="54"/>
      <c r="N12859" s="33"/>
    </row>
    <row r="12860" spans="3:14" x14ac:dyDescent="0.3">
      <c r="C12860" s="54"/>
      <c r="N12860" s="33"/>
    </row>
    <row r="12861" spans="3:14" x14ac:dyDescent="0.3">
      <c r="C12861" s="54"/>
      <c r="N12861" s="33"/>
    </row>
    <row r="12862" spans="3:14" x14ac:dyDescent="0.3">
      <c r="C12862" s="54"/>
      <c r="N12862" s="33"/>
    </row>
    <row r="12863" spans="3:14" x14ac:dyDescent="0.3">
      <c r="C12863" s="54"/>
      <c r="N12863" s="33"/>
    </row>
    <row r="12864" spans="3:14" x14ac:dyDescent="0.3">
      <c r="C12864" s="54"/>
      <c r="N12864" s="33"/>
    </row>
    <row r="12865" spans="3:14" x14ac:dyDescent="0.3">
      <c r="C12865" s="54"/>
      <c r="N12865" s="33"/>
    </row>
    <row r="12866" spans="3:14" x14ac:dyDescent="0.3">
      <c r="C12866" s="54"/>
      <c r="N12866" s="33"/>
    </row>
    <row r="12867" spans="3:14" x14ac:dyDescent="0.3">
      <c r="C12867" s="54"/>
      <c r="N12867" s="33"/>
    </row>
    <row r="12868" spans="3:14" x14ac:dyDescent="0.3">
      <c r="C12868" s="54"/>
      <c r="N12868" s="33"/>
    </row>
    <row r="12869" spans="3:14" x14ac:dyDescent="0.3">
      <c r="C12869" s="54"/>
      <c r="N12869" s="33"/>
    </row>
    <row r="12870" spans="3:14" x14ac:dyDescent="0.3">
      <c r="C12870" s="54"/>
      <c r="N12870" s="33"/>
    </row>
    <row r="12871" spans="3:14" x14ac:dyDescent="0.3">
      <c r="C12871" s="54"/>
      <c r="N12871" s="33"/>
    </row>
    <row r="12872" spans="3:14" x14ac:dyDescent="0.3">
      <c r="C12872" s="54"/>
      <c r="N12872" s="33"/>
    </row>
    <row r="12873" spans="3:14" x14ac:dyDescent="0.3">
      <c r="C12873" s="54"/>
      <c r="N12873" s="33"/>
    </row>
    <row r="12874" spans="3:14" x14ac:dyDescent="0.3">
      <c r="C12874" s="54"/>
      <c r="N12874" s="33"/>
    </row>
    <row r="12875" spans="3:14" x14ac:dyDescent="0.3">
      <c r="C12875" s="54"/>
      <c r="N12875" s="33"/>
    </row>
    <row r="12876" spans="3:14" x14ac:dyDescent="0.3">
      <c r="C12876" s="54"/>
      <c r="N12876" s="33"/>
    </row>
    <row r="12877" spans="3:14" x14ac:dyDescent="0.3">
      <c r="C12877" s="54"/>
      <c r="N12877" s="33"/>
    </row>
    <row r="12878" spans="3:14" x14ac:dyDescent="0.3">
      <c r="C12878" s="54"/>
      <c r="N12878" s="33"/>
    </row>
    <row r="12879" spans="3:14" x14ac:dyDescent="0.3">
      <c r="C12879" s="54"/>
      <c r="N12879" s="33"/>
    </row>
    <row r="12880" spans="3:14" x14ac:dyDescent="0.3">
      <c r="C12880" s="54"/>
      <c r="N12880" s="33"/>
    </row>
    <row r="12881" spans="3:14" x14ac:dyDescent="0.3">
      <c r="C12881" s="54"/>
      <c r="N12881" s="33"/>
    </row>
    <row r="12882" spans="3:14" x14ac:dyDescent="0.3">
      <c r="C12882" s="54"/>
      <c r="N12882" s="33"/>
    </row>
    <row r="12883" spans="3:14" x14ac:dyDescent="0.3">
      <c r="C12883" s="54"/>
      <c r="N12883" s="33"/>
    </row>
    <row r="12884" spans="3:14" x14ac:dyDescent="0.3">
      <c r="C12884" s="54"/>
      <c r="N12884" s="33"/>
    </row>
    <row r="12885" spans="3:14" x14ac:dyDescent="0.3">
      <c r="C12885" s="54"/>
      <c r="N12885" s="33"/>
    </row>
    <row r="12886" spans="3:14" x14ac:dyDescent="0.3">
      <c r="C12886" s="54"/>
      <c r="N12886" s="33"/>
    </row>
    <row r="12887" spans="3:14" x14ac:dyDescent="0.3">
      <c r="C12887" s="54"/>
      <c r="N12887" s="33"/>
    </row>
    <row r="12888" spans="3:14" x14ac:dyDescent="0.3">
      <c r="C12888" s="54"/>
      <c r="N12888" s="33"/>
    </row>
    <row r="12889" spans="3:14" x14ac:dyDescent="0.3">
      <c r="C12889" s="54"/>
      <c r="N12889" s="33"/>
    </row>
    <row r="12890" spans="3:14" x14ac:dyDescent="0.3">
      <c r="C12890" s="54"/>
      <c r="N12890" s="33"/>
    </row>
    <row r="12891" spans="3:14" x14ac:dyDescent="0.3">
      <c r="C12891" s="54"/>
      <c r="N12891" s="33"/>
    </row>
    <row r="12892" spans="3:14" x14ac:dyDescent="0.3">
      <c r="C12892" s="54"/>
      <c r="N12892" s="33"/>
    </row>
    <row r="12893" spans="3:14" x14ac:dyDescent="0.3">
      <c r="C12893" s="54"/>
      <c r="N12893" s="33"/>
    </row>
    <row r="12894" spans="3:14" x14ac:dyDescent="0.3">
      <c r="C12894" s="54"/>
      <c r="N12894" s="33"/>
    </row>
    <row r="12895" spans="3:14" x14ac:dyDescent="0.3">
      <c r="C12895" s="54"/>
      <c r="N12895" s="33"/>
    </row>
    <row r="12896" spans="3:14" x14ac:dyDescent="0.3">
      <c r="C12896" s="54"/>
      <c r="N12896" s="33"/>
    </row>
    <row r="12897" spans="3:14" x14ac:dyDescent="0.3">
      <c r="C12897" s="54"/>
      <c r="N12897" s="33"/>
    </row>
    <row r="12898" spans="3:14" x14ac:dyDescent="0.3">
      <c r="C12898" s="54"/>
      <c r="N12898" s="33"/>
    </row>
    <row r="12899" spans="3:14" x14ac:dyDescent="0.3">
      <c r="C12899" s="54"/>
      <c r="N12899" s="33"/>
    </row>
    <row r="12900" spans="3:14" x14ac:dyDescent="0.3">
      <c r="C12900" s="54"/>
      <c r="N12900" s="33"/>
    </row>
    <row r="12901" spans="3:14" x14ac:dyDescent="0.3">
      <c r="C12901" s="54"/>
      <c r="N12901" s="33"/>
    </row>
    <row r="12902" spans="3:14" x14ac:dyDescent="0.3">
      <c r="C12902" s="54"/>
      <c r="N12902" s="33"/>
    </row>
    <row r="12903" spans="3:14" x14ac:dyDescent="0.3">
      <c r="C12903" s="54"/>
      <c r="N12903" s="33"/>
    </row>
    <row r="12904" spans="3:14" x14ac:dyDescent="0.3">
      <c r="C12904" s="54"/>
      <c r="N12904" s="33"/>
    </row>
    <row r="12905" spans="3:14" x14ac:dyDescent="0.3">
      <c r="C12905" s="54"/>
      <c r="N12905" s="33"/>
    </row>
    <row r="12906" spans="3:14" x14ac:dyDescent="0.3">
      <c r="C12906" s="54"/>
      <c r="N12906" s="33"/>
    </row>
    <row r="12907" spans="3:14" x14ac:dyDescent="0.3">
      <c r="C12907" s="54"/>
      <c r="N12907" s="33"/>
    </row>
    <row r="12908" spans="3:14" x14ac:dyDescent="0.3">
      <c r="C12908" s="54"/>
      <c r="N12908" s="33"/>
    </row>
    <row r="12909" spans="3:14" x14ac:dyDescent="0.3">
      <c r="C12909" s="54"/>
      <c r="N12909" s="33"/>
    </row>
    <row r="12910" spans="3:14" x14ac:dyDescent="0.3">
      <c r="C12910" s="54"/>
      <c r="N12910" s="33"/>
    </row>
    <row r="12911" spans="3:14" x14ac:dyDescent="0.3">
      <c r="C12911" s="54"/>
      <c r="N12911" s="33"/>
    </row>
    <row r="12912" spans="3:14" x14ac:dyDescent="0.3">
      <c r="C12912" s="54"/>
      <c r="N12912" s="33"/>
    </row>
    <row r="12913" spans="3:14" x14ac:dyDescent="0.3">
      <c r="C12913" s="54"/>
      <c r="N12913" s="33"/>
    </row>
    <row r="12914" spans="3:14" x14ac:dyDescent="0.3">
      <c r="C12914" s="54"/>
      <c r="N12914" s="33"/>
    </row>
    <row r="12915" spans="3:14" x14ac:dyDescent="0.3">
      <c r="C12915" s="54"/>
      <c r="N12915" s="33"/>
    </row>
    <row r="12916" spans="3:14" x14ac:dyDescent="0.3">
      <c r="C12916" s="54"/>
      <c r="N12916" s="33"/>
    </row>
    <row r="12917" spans="3:14" x14ac:dyDescent="0.3">
      <c r="C12917" s="54"/>
      <c r="N12917" s="33"/>
    </row>
    <row r="12918" spans="3:14" x14ac:dyDescent="0.3">
      <c r="C12918" s="54"/>
      <c r="N12918" s="33"/>
    </row>
    <row r="12919" spans="3:14" x14ac:dyDescent="0.3">
      <c r="C12919" s="54"/>
      <c r="N12919" s="33"/>
    </row>
    <row r="12920" spans="3:14" x14ac:dyDescent="0.3">
      <c r="C12920" s="54"/>
      <c r="N12920" s="33"/>
    </row>
    <row r="12921" spans="3:14" x14ac:dyDescent="0.3">
      <c r="C12921" s="54"/>
      <c r="N12921" s="33"/>
    </row>
    <row r="12922" spans="3:14" x14ac:dyDescent="0.3">
      <c r="C12922" s="54"/>
      <c r="N12922" s="33"/>
    </row>
    <row r="12923" spans="3:14" x14ac:dyDescent="0.3">
      <c r="C12923" s="54"/>
      <c r="N12923" s="33"/>
    </row>
    <row r="12924" spans="3:14" x14ac:dyDescent="0.3">
      <c r="C12924" s="54"/>
      <c r="N12924" s="33"/>
    </row>
    <row r="12925" spans="3:14" x14ac:dyDescent="0.3">
      <c r="C12925" s="54"/>
      <c r="N12925" s="33"/>
    </row>
    <row r="12926" spans="3:14" x14ac:dyDescent="0.3">
      <c r="C12926" s="54"/>
      <c r="N12926" s="33"/>
    </row>
    <row r="12927" spans="3:14" x14ac:dyDescent="0.3">
      <c r="C12927" s="54"/>
      <c r="N12927" s="33"/>
    </row>
    <row r="12928" spans="3:14" x14ac:dyDescent="0.3">
      <c r="C12928" s="54"/>
      <c r="N12928" s="33"/>
    </row>
    <row r="12929" spans="3:14" x14ac:dyDescent="0.3">
      <c r="C12929" s="54"/>
      <c r="N12929" s="33"/>
    </row>
    <row r="12930" spans="3:14" x14ac:dyDescent="0.3">
      <c r="C12930" s="54"/>
      <c r="N12930" s="33"/>
    </row>
    <row r="12931" spans="3:14" x14ac:dyDescent="0.3">
      <c r="C12931" s="54"/>
      <c r="N12931" s="33"/>
    </row>
    <row r="12932" spans="3:14" x14ac:dyDescent="0.3">
      <c r="C12932" s="54"/>
      <c r="N12932" s="33"/>
    </row>
    <row r="12933" spans="3:14" x14ac:dyDescent="0.3">
      <c r="C12933" s="54"/>
      <c r="N12933" s="33"/>
    </row>
    <row r="12934" spans="3:14" x14ac:dyDescent="0.3">
      <c r="C12934" s="54"/>
      <c r="N12934" s="33"/>
    </row>
    <row r="12935" spans="3:14" x14ac:dyDescent="0.3">
      <c r="C12935" s="54"/>
      <c r="N12935" s="33"/>
    </row>
    <row r="12936" spans="3:14" x14ac:dyDescent="0.3">
      <c r="C12936" s="54"/>
      <c r="N12936" s="33"/>
    </row>
    <row r="12937" spans="3:14" x14ac:dyDescent="0.3">
      <c r="C12937" s="54"/>
      <c r="N12937" s="33"/>
    </row>
    <row r="12938" spans="3:14" x14ac:dyDescent="0.3">
      <c r="C12938" s="54"/>
      <c r="N12938" s="33"/>
    </row>
    <row r="12939" spans="3:14" x14ac:dyDescent="0.3">
      <c r="C12939" s="54"/>
      <c r="N12939" s="33"/>
    </row>
    <row r="12940" spans="3:14" x14ac:dyDescent="0.3">
      <c r="C12940" s="54"/>
      <c r="N12940" s="33"/>
    </row>
    <row r="12941" spans="3:14" x14ac:dyDescent="0.3">
      <c r="C12941" s="54"/>
      <c r="N12941" s="33"/>
    </row>
    <row r="12942" spans="3:14" x14ac:dyDescent="0.3">
      <c r="C12942" s="54"/>
      <c r="N12942" s="33"/>
    </row>
    <row r="12943" spans="3:14" x14ac:dyDescent="0.3">
      <c r="C12943" s="54"/>
      <c r="N12943" s="33"/>
    </row>
    <row r="12944" spans="3:14" x14ac:dyDescent="0.3">
      <c r="C12944" s="54"/>
      <c r="N12944" s="33"/>
    </row>
    <row r="12945" spans="3:14" x14ac:dyDescent="0.3">
      <c r="C12945" s="54"/>
      <c r="N12945" s="33"/>
    </row>
    <row r="12946" spans="3:14" x14ac:dyDescent="0.3">
      <c r="C12946" s="54"/>
      <c r="N12946" s="33"/>
    </row>
    <row r="12947" spans="3:14" x14ac:dyDescent="0.3">
      <c r="C12947" s="54"/>
      <c r="N12947" s="33"/>
    </row>
    <row r="12948" spans="3:14" x14ac:dyDescent="0.3">
      <c r="C12948" s="54"/>
      <c r="N12948" s="33"/>
    </row>
    <row r="12949" spans="3:14" x14ac:dyDescent="0.3">
      <c r="C12949" s="54"/>
      <c r="N12949" s="33"/>
    </row>
    <row r="12950" spans="3:14" x14ac:dyDescent="0.3">
      <c r="C12950" s="54"/>
      <c r="N12950" s="33"/>
    </row>
    <row r="12951" spans="3:14" x14ac:dyDescent="0.3">
      <c r="C12951" s="54"/>
      <c r="N12951" s="33"/>
    </row>
    <row r="12952" spans="3:14" x14ac:dyDescent="0.3">
      <c r="C12952" s="54"/>
      <c r="N12952" s="33"/>
    </row>
    <row r="12953" spans="3:14" x14ac:dyDescent="0.3">
      <c r="C12953" s="54"/>
      <c r="N12953" s="33"/>
    </row>
    <row r="12954" spans="3:14" x14ac:dyDescent="0.3">
      <c r="C12954" s="54"/>
      <c r="N12954" s="33"/>
    </row>
    <row r="12955" spans="3:14" x14ac:dyDescent="0.3">
      <c r="C12955" s="54"/>
      <c r="N12955" s="33"/>
    </row>
    <row r="12956" spans="3:14" x14ac:dyDescent="0.3">
      <c r="C12956" s="54"/>
      <c r="N12956" s="33"/>
    </row>
    <row r="12957" spans="3:14" x14ac:dyDescent="0.3">
      <c r="C12957" s="54"/>
      <c r="N12957" s="33"/>
    </row>
    <row r="12958" spans="3:14" x14ac:dyDescent="0.3">
      <c r="C12958" s="54"/>
      <c r="N12958" s="33"/>
    </row>
    <row r="12959" spans="3:14" x14ac:dyDescent="0.3">
      <c r="C12959" s="54"/>
      <c r="N12959" s="33"/>
    </row>
    <row r="12960" spans="3:14" x14ac:dyDescent="0.3">
      <c r="C12960" s="54"/>
      <c r="N12960" s="33"/>
    </row>
    <row r="12961" spans="3:14" x14ac:dyDescent="0.3">
      <c r="C12961" s="54"/>
      <c r="N12961" s="33"/>
    </row>
    <row r="12962" spans="3:14" x14ac:dyDescent="0.3">
      <c r="C12962" s="54"/>
      <c r="N12962" s="33"/>
    </row>
    <row r="12963" spans="3:14" x14ac:dyDescent="0.3">
      <c r="C12963" s="54"/>
      <c r="N12963" s="33"/>
    </row>
    <row r="12964" spans="3:14" x14ac:dyDescent="0.3">
      <c r="C12964" s="54"/>
      <c r="N12964" s="33"/>
    </row>
    <row r="12965" spans="3:14" x14ac:dyDescent="0.3">
      <c r="C12965" s="54"/>
      <c r="N12965" s="33"/>
    </row>
    <row r="12966" spans="3:14" x14ac:dyDescent="0.3">
      <c r="C12966" s="54"/>
      <c r="N12966" s="33"/>
    </row>
    <row r="12967" spans="3:14" x14ac:dyDescent="0.3">
      <c r="C12967" s="54"/>
      <c r="N12967" s="33"/>
    </row>
    <row r="12968" spans="3:14" x14ac:dyDescent="0.3">
      <c r="C12968" s="54"/>
      <c r="N12968" s="33"/>
    </row>
    <row r="12969" spans="3:14" x14ac:dyDescent="0.3">
      <c r="C12969" s="54"/>
      <c r="N12969" s="33"/>
    </row>
    <row r="12970" spans="3:14" x14ac:dyDescent="0.3">
      <c r="C12970" s="54"/>
      <c r="N12970" s="33"/>
    </row>
    <row r="12971" spans="3:14" x14ac:dyDescent="0.3">
      <c r="C12971" s="54"/>
      <c r="N12971" s="33"/>
    </row>
    <row r="12972" spans="3:14" x14ac:dyDescent="0.3">
      <c r="C12972" s="54"/>
      <c r="N12972" s="33"/>
    </row>
    <row r="12973" spans="3:14" x14ac:dyDescent="0.3">
      <c r="C12973" s="54"/>
      <c r="N12973" s="33"/>
    </row>
    <row r="12974" spans="3:14" x14ac:dyDescent="0.3">
      <c r="C12974" s="54"/>
      <c r="N12974" s="33"/>
    </row>
    <row r="12975" spans="3:14" x14ac:dyDescent="0.3">
      <c r="C12975" s="54"/>
      <c r="N12975" s="33"/>
    </row>
    <row r="12976" spans="3:14" x14ac:dyDescent="0.3">
      <c r="C12976" s="54"/>
      <c r="N12976" s="33"/>
    </row>
    <row r="12977" spans="3:14" x14ac:dyDescent="0.3">
      <c r="C12977" s="54"/>
      <c r="N12977" s="33"/>
    </row>
    <row r="12978" spans="3:14" x14ac:dyDescent="0.3">
      <c r="C12978" s="54"/>
      <c r="N12978" s="33"/>
    </row>
    <row r="12979" spans="3:14" x14ac:dyDescent="0.3">
      <c r="C12979" s="54"/>
      <c r="N12979" s="33"/>
    </row>
    <row r="12980" spans="3:14" x14ac:dyDescent="0.3">
      <c r="C12980" s="54"/>
      <c r="N12980" s="33"/>
    </row>
    <row r="12981" spans="3:14" x14ac:dyDescent="0.3">
      <c r="C12981" s="54"/>
      <c r="N12981" s="33"/>
    </row>
    <row r="12982" spans="3:14" x14ac:dyDescent="0.3">
      <c r="C12982" s="54"/>
      <c r="N12982" s="33"/>
    </row>
    <row r="12983" spans="3:14" x14ac:dyDescent="0.3">
      <c r="C12983" s="54"/>
      <c r="N12983" s="33"/>
    </row>
    <row r="12984" spans="3:14" x14ac:dyDescent="0.3">
      <c r="C12984" s="54"/>
      <c r="N12984" s="33"/>
    </row>
    <row r="12985" spans="3:14" x14ac:dyDescent="0.3">
      <c r="C12985" s="54"/>
      <c r="N12985" s="33"/>
    </row>
    <row r="12986" spans="3:14" x14ac:dyDescent="0.3">
      <c r="C12986" s="54"/>
      <c r="N12986" s="33"/>
    </row>
    <row r="12987" spans="3:14" x14ac:dyDescent="0.3">
      <c r="C12987" s="54"/>
      <c r="N12987" s="33"/>
    </row>
    <row r="12988" spans="3:14" x14ac:dyDescent="0.3">
      <c r="C12988" s="54"/>
      <c r="N12988" s="33"/>
    </row>
    <row r="12989" spans="3:14" x14ac:dyDescent="0.3">
      <c r="C12989" s="54"/>
      <c r="N12989" s="33"/>
    </row>
    <row r="12990" spans="3:14" x14ac:dyDescent="0.3">
      <c r="C12990" s="54"/>
      <c r="N12990" s="33"/>
    </row>
    <row r="12991" spans="3:14" x14ac:dyDescent="0.3">
      <c r="C12991" s="54"/>
      <c r="N12991" s="33"/>
    </row>
    <row r="12992" spans="3:14" x14ac:dyDescent="0.3">
      <c r="C12992" s="54"/>
      <c r="N12992" s="33"/>
    </row>
    <row r="12993" spans="3:14" x14ac:dyDescent="0.3">
      <c r="C12993" s="54"/>
      <c r="N12993" s="33"/>
    </row>
    <row r="12994" spans="3:14" x14ac:dyDescent="0.3">
      <c r="C12994" s="54"/>
      <c r="N12994" s="33"/>
    </row>
    <row r="12995" spans="3:14" x14ac:dyDescent="0.3">
      <c r="C12995" s="54"/>
      <c r="N12995" s="33"/>
    </row>
    <row r="12996" spans="3:14" x14ac:dyDescent="0.3">
      <c r="C12996" s="54"/>
      <c r="N12996" s="33"/>
    </row>
    <row r="12997" spans="3:14" x14ac:dyDescent="0.3">
      <c r="C12997" s="54"/>
      <c r="N12997" s="33"/>
    </row>
    <row r="12998" spans="3:14" x14ac:dyDescent="0.3">
      <c r="C12998" s="54"/>
      <c r="N12998" s="33"/>
    </row>
    <row r="12999" spans="3:14" x14ac:dyDescent="0.3">
      <c r="C12999" s="54"/>
      <c r="N12999" s="33"/>
    </row>
    <row r="13000" spans="3:14" x14ac:dyDescent="0.3">
      <c r="C13000" s="54"/>
      <c r="N13000" s="33"/>
    </row>
    <row r="13001" spans="3:14" x14ac:dyDescent="0.3">
      <c r="C13001" s="54"/>
      <c r="N13001" s="33"/>
    </row>
    <row r="13002" spans="3:14" x14ac:dyDescent="0.3">
      <c r="C13002" s="54"/>
      <c r="N13002" s="33"/>
    </row>
    <row r="13003" spans="3:14" x14ac:dyDescent="0.3">
      <c r="C13003" s="54"/>
      <c r="N13003" s="33"/>
    </row>
    <row r="13004" spans="3:14" x14ac:dyDescent="0.3">
      <c r="C13004" s="54"/>
      <c r="N13004" s="33"/>
    </row>
    <row r="13005" spans="3:14" x14ac:dyDescent="0.3">
      <c r="C13005" s="54"/>
      <c r="N13005" s="33"/>
    </row>
    <row r="13006" spans="3:14" x14ac:dyDescent="0.3">
      <c r="C13006" s="54"/>
      <c r="N13006" s="33"/>
    </row>
    <row r="13007" spans="3:14" x14ac:dyDescent="0.3">
      <c r="C13007" s="54"/>
      <c r="N13007" s="33"/>
    </row>
    <row r="13008" spans="3:14" x14ac:dyDescent="0.3">
      <c r="C13008" s="54"/>
      <c r="N13008" s="33"/>
    </row>
    <row r="13009" spans="3:14" x14ac:dyDescent="0.3">
      <c r="C13009" s="54"/>
      <c r="N13009" s="33"/>
    </row>
    <row r="13010" spans="3:14" x14ac:dyDescent="0.3">
      <c r="C13010" s="54"/>
      <c r="N13010" s="33"/>
    </row>
    <row r="13011" spans="3:14" x14ac:dyDescent="0.3">
      <c r="C13011" s="54"/>
      <c r="N13011" s="33"/>
    </row>
    <row r="13012" spans="3:14" x14ac:dyDescent="0.3">
      <c r="C13012" s="54"/>
      <c r="N13012" s="33"/>
    </row>
    <row r="13013" spans="3:14" x14ac:dyDescent="0.3">
      <c r="C13013" s="54"/>
      <c r="N13013" s="33"/>
    </row>
    <row r="13014" spans="3:14" x14ac:dyDescent="0.3">
      <c r="C13014" s="54"/>
      <c r="N13014" s="33"/>
    </row>
    <row r="13015" spans="3:14" x14ac:dyDescent="0.3">
      <c r="C13015" s="54"/>
      <c r="N13015" s="33"/>
    </row>
    <row r="13016" spans="3:14" x14ac:dyDescent="0.3">
      <c r="C13016" s="54"/>
      <c r="N13016" s="33"/>
    </row>
    <row r="13017" spans="3:14" x14ac:dyDescent="0.3">
      <c r="C13017" s="54"/>
      <c r="N13017" s="33"/>
    </row>
    <row r="13018" spans="3:14" x14ac:dyDescent="0.3">
      <c r="C13018" s="54"/>
      <c r="N13018" s="33"/>
    </row>
    <row r="13019" spans="3:14" x14ac:dyDescent="0.3">
      <c r="C13019" s="54"/>
      <c r="N13019" s="33"/>
    </row>
    <row r="13020" spans="3:14" x14ac:dyDescent="0.3">
      <c r="C13020" s="54"/>
      <c r="N13020" s="33"/>
    </row>
    <row r="13021" spans="3:14" x14ac:dyDescent="0.3">
      <c r="C13021" s="54"/>
      <c r="N13021" s="33"/>
    </row>
    <row r="13022" spans="3:14" x14ac:dyDescent="0.3">
      <c r="C13022" s="54"/>
      <c r="N13022" s="33"/>
    </row>
    <row r="13023" spans="3:14" x14ac:dyDescent="0.3">
      <c r="C13023" s="54"/>
      <c r="N13023" s="33"/>
    </row>
    <row r="13024" spans="3:14" x14ac:dyDescent="0.3">
      <c r="C13024" s="54"/>
      <c r="N13024" s="33"/>
    </row>
    <row r="13025" spans="3:14" x14ac:dyDescent="0.3">
      <c r="C13025" s="54"/>
      <c r="N13025" s="33"/>
    </row>
    <row r="13026" spans="3:14" x14ac:dyDescent="0.3">
      <c r="C13026" s="54"/>
      <c r="N13026" s="33"/>
    </row>
    <row r="13027" spans="3:14" x14ac:dyDescent="0.3">
      <c r="C13027" s="54"/>
      <c r="N13027" s="33"/>
    </row>
    <row r="13028" spans="3:14" x14ac:dyDescent="0.3">
      <c r="C13028" s="54"/>
      <c r="N13028" s="33"/>
    </row>
    <row r="13029" spans="3:14" x14ac:dyDescent="0.3">
      <c r="C13029" s="54"/>
      <c r="N13029" s="33"/>
    </row>
    <row r="13030" spans="3:14" x14ac:dyDescent="0.3">
      <c r="C13030" s="54"/>
      <c r="N13030" s="33"/>
    </row>
    <row r="13031" spans="3:14" x14ac:dyDescent="0.3">
      <c r="C13031" s="54"/>
      <c r="N13031" s="33"/>
    </row>
    <row r="13032" spans="3:14" x14ac:dyDescent="0.3">
      <c r="C13032" s="54"/>
      <c r="N13032" s="33"/>
    </row>
    <row r="13033" spans="3:14" x14ac:dyDescent="0.3">
      <c r="C13033" s="54"/>
      <c r="N13033" s="33"/>
    </row>
    <row r="13034" spans="3:14" x14ac:dyDescent="0.3">
      <c r="C13034" s="54"/>
      <c r="N13034" s="33"/>
    </row>
    <row r="13035" spans="3:14" x14ac:dyDescent="0.3">
      <c r="C13035" s="54"/>
      <c r="N13035" s="33"/>
    </row>
    <row r="13036" spans="3:14" x14ac:dyDescent="0.3">
      <c r="C13036" s="54"/>
      <c r="N13036" s="33"/>
    </row>
    <row r="13037" spans="3:14" x14ac:dyDescent="0.3">
      <c r="C13037" s="54"/>
      <c r="N13037" s="33"/>
    </row>
    <row r="13038" spans="3:14" x14ac:dyDescent="0.3">
      <c r="C13038" s="54"/>
      <c r="N13038" s="33"/>
    </row>
    <row r="13039" spans="3:14" x14ac:dyDescent="0.3">
      <c r="C13039" s="54"/>
      <c r="N13039" s="33"/>
    </row>
    <row r="13040" spans="3:14" x14ac:dyDescent="0.3">
      <c r="C13040" s="54"/>
      <c r="N13040" s="33"/>
    </row>
    <row r="13041" spans="3:14" x14ac:dyDescent="0.3">
      <c r="C13041" s="54"/>
      <c r="N13041" s="33"/>
    </row>
    <row r="13042" spans="3:14" x14ac:dyDescent="0.3">
      <c r="C13042" s="54"/>
      <c r="N13042" s="33"/>
    </row>
    <row r="13043" spans="3:14" x14ac:dyDescent="0.3">
      <c r="C13043" s="54"/>
      <c r="N13043" s="33"/>
    </row>
    <row r="13044" spans="3:14" x14ac:dyDescent="0.3">
      <c r="C13044" s="54"/>
      <c r="N13044" s="33"/>
    </row>
    <row r="13045" spans="3:14" x14ac:dyDescent="0.3">
      <c r="C13045" s="54"/>
      <c r="N13045" s="33"/>
    </row>
    <row r="13046" spans="3:14" x14ac:dyDescent="0.3">
      <c r="C13046" s="54"/>
      <c r="N13046" s="33"/>
    </row>
    <row r="13047" spans="3:14" x14ac:dyDescent="0.3">
      <c r="C13047" s="54"/>
      <c r="N13047" s="33"/>
    </row>
    <row r="13048" spans="3:14" x14ac:dyDescent="0.3">
      <c r="C13048" s="54"/>
      <c r="N13048" s="33"/>
    </row>
    <row r="13049" spans="3:14" x14ac:dyDescent="0.3">
      <c r="C13049" s="54"/>
      <c r="N13049" s="33"/>
    </row>
    <row r="13050" spans="3:14" x14ac:dyDescent="0.3">
      <c r="C13050" s="54"/>
      <c r="N13050" s="33"/>
    </row>
    <row r="13051" spans="3:14" x14ac:dyDescent="0.3">
      <c r="C13051" s="54"/>
      <c r="N13051" s="33"/>
    </row>
    <row r="13052" spans="3:14" x14ac:dyDescent="0.3">
      <c r="C13052" s="54"/>
      <c r="N13052" s="33"/>
    </row>
    <row r="13053" spans="3:14" x14ac:dyDescent="0.3">
      <c r="C13053" s="54"/>
      <c r="N13053" s="33"/>
    </row>
    <row r="13054" spans="3:14" x14ac:dyDescent="0.3">
      <c r="C13054" s="54"/>
      <c r="N13054" s="33"/>
    </row>
    <row r="13055" spans="3:14" x14ac:dyDescent="0.3">
      <c r="C13055" s="54"/>
      <c r="N13055" s="33"/>
    </row>
    <row r="13056" spans="3:14" x14ac:dyDescent="0.3">
      <c r="C13056" s="54"/>
      <c r="N13056" s="33"/>
    </row>
    <row r="13057" spans="3:14" x14ac:dyDescent="0.3">
      <c r="C13057" s="54"/>
      <c r="N13057" s="33"/>
    </row>
    <row r="13058" spans="3:14" x14ac:dyDescent="0.3">
      <c r="C13058" s="54"/>
      <c r="N13058" s="33"/>
    </row>
    <row r="13059" spans="3:14" x14ac:dyDescent="0.3">
      <c r="C13059" s="54"/>
      <c r="N13059" s="33"/>
    </row>
    <row r="13060" spans="3:14" x14ac:dyDescent="0.3">
      <c r="C13060" s="54"/>
      <c r="N13060" s="33"/>
    </row>
    <row r="13061" spans="3:14" x14ac:dyDescent="0.3">
      <c r="C13061" s="54"/>
      <c r="N13061" s="33"/>
    </row>
    <row r="13062" spans="3:14" x14ac:dyDescent="0.3">
      <c r="C13062" s="54"/>
      <c r="N13062" s="33"/>
    </row>
    <row r="13063" spans="3:14" x14ac:dyDescent="0.3">
      <c r="C13063" s="54"/>
      <c r="N13063" s="33"/>
    </row>
    <row r="13064" spans="3:14" x14ac:dyDescent="0.3">
      <c r="C13064" s="54"/>
      <c r="N13064" s="33"/>
    </row>
    <row r="13065" spans="3:14" x14ac:dyDescent="0.3">
      <c r="C13065" s="54"/>
      <c r="N13065" s="33"/>
    </row>
    <row r="13066" spans="3:14" x14ac:dyDescent="0.3">
      <c r="C13066" s="54"/>
      <c r="N13066" s="33"/>
    </row>
    <row r="13067" spans="3:14" x14ac:dyDescent="0.3">
      <c r="C13067" s="54"/>
      <c r="N13067" s="33"/>
    </row>
    <row r="13068" spans="3:14" x14ac:dyDescent="0.3">
      <c r="C13068" s="54"/>
      <c r="N13068" s="33"/>
    </row>
    <row r="13069" spans="3:14" x14ac:dyDescent="0.3">
      <c r="C13069" s="54"/>
      <c r="N13069" s="33"/>
    </row>
    <row r="13070" spans="3:14" x14ac:dyDescent="0.3">
      <c r="C13070" s="54"/>
      <c r="N13070" s="33"/>
    </row>
    <row r="13071" spans="3:14" x14ac:dyDescent="0.3">
      <c r="C13071" s="54"/>
      <c r="N13071" s="33"/>
    </row>
    <row r="13072" spans="3:14" x14ac:dyDescent="0.3">
      <c r="C13072" s="54"/>
      <c r="N13072" s="33"/>
    </row>
    <row r="13073" spans="3:14" x14ac:dyDescent="0.3">
      <c r="C13073" s="54"/>
      <c r="N13073" s="33"/>
    </row>
    <row r="13074" spans="3:14" x14ac:dyDescent="0.3">
      <c r="C13074" s="54"/>
      <c r="N13074" s="33"/>
    </row>
    <row r="13075" spans="3:14" x14ac:dyDescent="0.3">
      <c r="C13075" s="54"/>
      <c r="N13075" s="33"/>
    </row>
    <row r="13076" spans="3:14" x14ac:dyDescent="0.3">
      <c r="C13076" s="54"/>
      <c r="N13076" s="33"/>
    </row>
    <row r="13077" spans="3:14" x14ac:dyDescent="0.3">
      <c r="C13077" s="54"/>
      <c r="N13077" s="33"/>
    </row>
    <row r="13078" spans="3:14" x14ac:dyDescent="0.3">
      <c r="C13078" s="54"/>
      <c r="N13078" s="33"/>
    </row>
    <row r="13079" spans="3:14" x14ac:dyDescent="0.3">
      <c r="C13079" s="54"/>
      <c r="N13079" s="33"/>
    </row>
    <row r="13080" spans="3:14" x14ac:dyDescent="0.3">
      <c r="C13080" s="54"/>
      <c r="N13080" s="33"/>
    </row>
    <row r="13081" spans="3:14" x14ac:dyDescent="0.3">
      <c r="C13081" s="54"/>
      <c r="N13081" s="33"/>
    </row>
    <row r="13082" spans="3:14" x14ac:dyDescent="0.3">
      <c r="C13082" s="54"/>
      <c r="N13082" s="33"/>
    </row>
    <row r="13083" spans="3:14" x14ac:dyDescent="0.3">
      <c r="C13083" s="54"/>
      <c r="N13083" s="33"/>
    </row>
    <row r="13084" spans="3:14" x14ac:dyDescent="0.3">
      <c r="C13084" s="54"/>
      <c r="N13084" s="33"/>
    </row>
    <row r="13085" spans="3:14" x14ac:dyDescent="0.3">
      <c r="C13085" s="54"/>
      <c r="N13085" s="33"/>
    </row>
    <row r="13086" spans="3:14" x14ac:dyDescent="0.3">
      <c r="C13086" s="54"/>
      <c r="N13086" s="33"/>
    </row>
    <row r="13087" spans="3:14" x14ac:dyDescent="0.3">
      <c r="C13087" s="54"/>
      <c r="N13087" s="33"/>
    </row>
    <row r="13088" spans="3:14" x14ac:dyDescent="0.3">
      <c r="C13088" s="54"/>
      <c r="N13088" s="33"/>
    </row>
    <row r="13089" spans="3:14" x14ac:dyDescent="0.3">
      <c r="C13089" s="54"/>
      <c r="N13089" s="33"/>
    </row>
    <row r="13090" spans="3:14" x14ac:dyDescent="0.3">
      <c r="C13090" s="54"/>
      <c r="N13090" s="33"/>
    </row>
    <row r="13091" spans="3:14" x14ac:dyDescent="0.3">
      <c r="C13091" s="54"/>
      <c r="N13091" s="33"/>
    </row>
    <row r="13092" spans="3:14" x14ac:dyDescent="0.3">
      <c r="C13092" s="54"/>
      <c r="N13092" s="33"/>
    </row>
    <row r="13093" spans="3:14" x14ac:dyDescent="0.3">
      <c r="C13093" s="54"/>
      <c r="N13093" s="33"/>
    </row>
    <row r="13094" spans="3:14" x14ac:dyDescent="0.3">
      <c r="C13094" s="54"/>
      <c r="N13094" s="33"/>
    </row>
    <row r="13095" spans="3:14" x14ac:dyDescent="0.3">
      <c r="C13095" s="54"/>
      <c r="N13095" s="33"/>
    </row>
    <row r="13096" spans="3:14" x14ac:dyDescent="0.3">
      <c r="C13096" s="54"/>
      <c r="N13096" s="33"/>
    </row>
    <row r="13097" spans="3:14" x14ac:dyDescent="0.3">
      <c r="C13097" s="54"/>
      <c r="N13097" s="33"/>
    </row>
    <row r="13098" spans="3:14" x14ac:dyDescent="0.3">
      <c r="C13098" s="54"/>
      <c r="N13098" s="33"/>
    </row>
    <row r="13099" spans="3:14" x14ac:dyDescent="0.3">
      <c r="C13099" s="54"/>
      <c r="N13099" s="33"/>
    </row>
    <row r="13100" spans="3:14" x14ac:dyDescent="0.3">
      <c r="C13100" s="54"/>
      <c r="N13100" s="33"/>
    </row>
    <row r="13101" spans="3:14" x14ac:dyDescent="0.3">
      <c r="C13101" s="54"/>
      <c r="N13101" s="33"/>
    </row>
    <row r="13102" spans="3:14" x14ac:dyDescent="0.3">
      <c r="C13102" s="54"/>
      <c r="N13102" s="33"/>
    </row>
    <row r="13103" spans="3:14" x14ac:dyDescent="0.3">
      <c r="C13103" s="54"/>
      <c r="N13103" s="33"/>
    </row>
    <row r="13104" spans="3:14" x14ac:dyDescent="0.3">
      <c r="C13104" s="54"/>
      <c r="N13104" s="33"/>
    </row>
    <row r="13105" spans="3:14" x14ac:dyDescent="0.3">
      <c r="C13105" s="54"/>
      <c r="N13105" s="33"/>
    </row>
    <row r="13106" spans="3:14" x14ac:dyDescent="0.3">
      <c r="C13106" s="54"/>
      <c r="N13106" s="33"/>
    </row>
    <row r="13107" spans="3:14" x14ac:dyDescent="0.3">
      <c r="C13107" s="54"/>
      <c r="N13107" s="33"/>
    </row>
    <row r="13108" spans="3:14" x14ac:dyDescent="0.3">
      <c r="C13108" s="54"/>
      <c r="N13108" s="33"/>
    </row>
    <row r="13109" spans="3:14" x14ac:dyDescent="0.3">
      <c r="C13109" s="54"/>
      <c r="N13109" s="33"/>
    </row>
    <row r="13110" spans="3:14" x14ac:dyDescent="0.3">
      <c r="C13110" s="54"/>
      <c r="N13110" s="33"/>
    </row>
    <row r="13111" spans="3:14" x14ac:dyDescent="0.3">
      <c r="C13111" s="54"/>
      <c r="N13111" s="33"/>
    </row>
    <row r="13112" spans="3:14" x14ac:dyDescent="0.3">
      <c r="C13112" s="54"/>
      <c r="N13112" s="33"/>
    </row>
    <row r="13113" spans="3:14" x14ac:dyDescent="0.3">
      <c r="C13113" s="54"/>
      <c r="N13113" s="33"/>
    </row>
    <row r="13114" spans="3:14" x14ac:dyDescent="0.3">
      <c r="C13114" s="54"/>
      <c r="N13114" s="33"/>
    </row>
    <row r="13115" spans="3:14" x14ac:dyDescent="0.3">
      <c r="C13115" s="54"/>
      <c r="N13115" s="33"/>
    </row>
    <row r="13116" spans="3:14" x14ac:dyDescent="0.3">
      <c r="C13116" s="54"/>
      <c r="N13116" s="33"/>
    </row>
    <row r="13117" spans="3:14" x14ac:dyDescent="0.3">
      <c r="C13117" s="54"/>
      <c r="N13117" s="33"/>
    </row>
    <row r="13118" spans="3:14" x14ac:dyDescent="0.3">
      <c r="C13118" s="54"/>
      <c r="N13118" s="33"/>
    </row>
    <row r="13119" spans="3:14" x14ac:dyDescent="0.3">
      <c r="C13119" s="54"/>
      <c r="N13119" s="33"/>
    </row>
    <row r="13120" spans="3:14" x14ac:dyDescent="0.3">
      <c r="C13120" s="54"/>
      <c r="N13120" s="33"/>
    </row>
    <row r="13121" spans="3:14" x14ac:dyDescent="0.3">
      <c r="C13121" s="54"/>
      <c r="N13121" s="33"/>
    </row>
    <row r="13122" spans="3:14" x14ac:dyDescent="0.3">
      <c r="C13122" s="54"/>
      <c r="N13122" s="33"/>
    </row>
    <row r="13123" spans="3:14" x14ac:dyDescent="0.3">
      <c r="C13123" s="54"/>
      <c r="N13123" s="33"/>
    </row>
    <row r="13124" spans="3:14" x14ac:dyDescent="0.3">
      <c r="C13124" s="54"/>
      <c r="N13124" s="33"/>
    </row>
    <row r="13125" spans="3:14" x14ac:dyDescent="0.3">
      <c r="C13125" s="54"/>
      <c r="N13125" s="33"/>
    </row>
    <row r="13126" spans="3:14" x14ac:dyDescent="0.3">
      <c r="C13126" s="54"/>
      <c r="N13126" s="33"/>
    </row>
    <row r="13127" spans="3:14" x14ac:dyDescent="0.3">
      <c r="C13127" s="54"/>
      <c r="N13127" s="33"/>
    </row>
    <row r="13128" spans="3:14" x14ac:dyDescent="0.3">
      <c r="C13128" s="54"/>
      <c r="N13128" s="33"/>
    </row>
    <row r="13129" spans="3:14" x14ac:dyDescent="0.3">
      <c r="C13129" s="54"/>
      <c r="N13129" s="33"/>
    </row>
    <row r="13130" spans="3:14" x14ac:dyDescent="0.3">
      <c r="C13130" s="54"/>
      <c r="N13130" s="33"/>
    </row>
    <row r="13131" spans="3:14" x14ac:dyDescent="0.3">
      <c r="C13131" s="54"/>
      <c r="N13131" s="33"/>
    </row>
    <row r="13132" spans="3:14" x14ac:dyDescent="0.3">
      <c r="C13132" s="54"/>
      <c r="N13132" s="33"/>
    </row>
    <row r="13133" spans="3:14" x14ac:dyDescent="0.3">
      <c r="C13133" s="54"/>
      <c r="N13133" s="33"/>
    </row>
    <row r="13134" spans="3:14" x14ac:dyDescent="0.3">
      <c r="C13134" s="54"/>
      <c r="N13134" s="33"/>
    </row>
    <row r="13135" spans="3:14" x14ac:dyDescent="0.3">
      <c r="C13135" s="54"/>
      <c r="N13135" s="33"/>
    </row>
    <row r="13136" spans="3:14" x14ac:dyDescent="0.3">
      <c r="C13136" s="54"/>
      <c r="N13136" s="33"/>
    </row>
    <row r="13137" spans="3:14" x14ac:dyDescent="0.3">
      <c r="C13137" s="54"/>
      <c r="N13137" s="33"/>
    </row>
    <row r="13138" spans="3:14" x14ac:dyDescent="0.3">
      <c r="C13138" s="54"/>
      <c r="N13138" s="33"/>
    </row>
    <row r="13139" spans="3:14" x14ac:dyDescent="0.3">
      <c r="C13139" s="54"/>
      <c r="N13139" s="33"/>
    </row>
    <row r="13140" spans="3:14" x14ac:dyDescent="0.3">
      <c r="C13140" s="54"/>
      <c r="N13140" s="33"/>
    </row>
    <row r="13141" spans="3:14" x14ac:dyDescent="0.3">
      <c r="C13141" s="54"/>
      <c r="N13141" s="33"/>
    </row>
    <row r="13142" spans="3:14" x14ac:dyDescent="0.3">
      <c r="C13142" s="54"/>
      <c r="N13142" s="33"/>
    </row>
    <row r="13143" spans="3:14" x14ac:dyDescent="0.3">
      <c r="C13143" s="54"/>
      <c r="N13143" s="33"/>
    </row>
    <row r="13144" spans="3:14" x14ac:dyDescent="0.3">
      <c r="C13144" s="54"/>
      <c r="N13144" s="33"/>
    </row>
    <row r="13145" spans="3:14" x14ac:dyDescent="0.3">
      <c r="C13145" s="54"/>
      <c r="N13145" s="33"/>
    </row>
    <row r="13146" spans="3:14" x14ac:dyDescent="0.3">
      <c r="C13146" s="54"/>
      <c r="N13146" s="33"/>
    </row>
    <row r="13147" spans="3:14" x14ac:dyDescent="0.3">
      <c r="C13147" s="54"/>
      <c r="N13147" s="33"/>
    </row>
    <row r="13148" spans="3:14" x14ac:dyDescent="0.3">
      <c r="C13148" s="54"/>
      <c r="N13148" s="33"/>
    </row>
    <row r="13149" spans="3:14" x14ac:dyDescent="0.3">
      <c r="C13149" s="54"/>
      <c r="N13149" s="33"/>
    </row>
    <row r="13150" spans="3:14" x14ac:dyDescent="0.3">
      <c r="C13150" s="54"/>
      <c r="N13150" s="33"/>
    </row>
    <row r="13151" spans="3:14" x14ac:dyDescent="0.3">
      <c r="C13151" s="54"/>
      <c r="N13151" s="33"/>
    </row>
    <row r="13152" spans="3:14" x14ac:dyDescent="0.3">
      <c r="C13152" s="54"/>
      <c r="N13152" s="33"/>
    </row>
    <row r="13153" spans="3:14" x14ac:dyDescent="0.3">
      <c r="C13153" s="54"/>
      <c r="N13153" s="33"/>
    </row>
    <row r="13154" spans="3:14" x14ac:dyDescent="0.3">
      <c r="C13154" s="54"/>
      <c r="N13154" s="33"/>
    </row>
    <row r="13155" spans="3:14" x14ac:dyDescent="0.3">
      <c r="C13155" s="54"/>
      <c r="N13155" s="33"/>
    </row>
    <row r="13156" spans="3:14" x14ac:dyDescent="0.3">
      <c r="C13156" s="54"/>
      <c r="N13156" s="33"/>
    </row>
    <row r="13157" spans="3:14" x14ac:dyDescent="0.3">
      <c r="C13157" s="54"/>
      <c r="N13157" s="33"/>
    </row>
    <row r="13158" spans="3:14" x14ac:dyDescent="0.3">
      <c r="C13158" s="54"/>
      <c r="N13158" s="33"/>
    </row>
    <row r="13159" spans="3:14" x14ac:dyDescent="0.3">
      <c r="C13159" s="54"/>
      <c r="N13159" s="33"/>
    </row>
    <row r="13160" spans="3:14" x14ac:dyDescent="0.3">
      <c r="C13160" s="54"/>
      <c r="N13160" s="33"/>
    </row>
    <row r="13161" spans="3:14" x14ac:dyDescent="0.3">
      <c r="C13161" s="54"/>
      <c r="N13161" s="33"/>
    </row>
    <row r="13162" spans="3:14" x14ac:dyDescent="0.3">
      <c r="C13162" s="54"/>
      <c r="N13162" s="33"/>
    </row>
    <row r="13163" spans="3:14" x14ac:dyDescent="0.3">
      <c r="C13163" s="54"/>
      <c r="N13163" s="33"/>
    </row>
    <row r="13164" spans="3:14" x14ac:dyDescent="0.3">
      <c r="C13164" s="54"/>
      <c r="N13164" s="33"/>
    </row>
    <row r="13165" spans="3:14" x14ac:dyDescent="0.3">
      <c r="C13165" s="54"/>
      <c r="N13165" s="33"/>
    </row>
    <row r="13166" spans="3:14" x14ac:dyDescent="0.3">
      <c r="C13166" s="54"/>
      <c r="N13166" s="33"/>
    </row>
    <row r="13167" spans="3:14" x14ac:dyDescent="0.3">
      <c r="C13167" s="54"/>
      <c r="N13167" s="33"/>
    </row>
    <row r="13168" spans="3:14" x14ac:dyDescent="0.3">
      <c r="C13168" s="54"/>
      <c r="N13168" s="33"/>
    </row>
    <row r="13169" spans="3:14" x14ac:dyDescent="0.3">
      <c r="C13169" s="54"/>
      <c r="N13169" s="33"/>
    </row>
    <row r="13170" spans="3:14" x14ac:dyDescent="0.3">
      <c r="C13170" s="54"/>
      <c r="N13170" s="33"/>
    </row>
    <row r="13171" spans="3:14" x14ac:dyDescent="0.3">
      <c r="C13171" s="54"/>
      <c r="N13171" s="33"/>
    </row>
    <row r="13172" spans="3:14" x14ac:dyDescent="0.3">
      <c r="C13172" s="54"/>
      <c r="N13172" s="33"/>
    </row>
    <row r="13173" spans="3:14" x14ac:dyDescent="0.3">
      <c r="C13173" s="54"/>
      <c r="N13173" s="33"/>
    </row>
    <row r="13174" spans="3:14" x14ac:dyDescent="0.3">
      <c r="C13174" s="54"/>
      <c r="N13174" s="33"/>
    </row>
    <row r="13175" spans="3:14" x14ac:dyDescent="0.3">
      <c r="C13175" s="54"/>
      <c r="N13175" s="33"/>
    </row>
    <row r="13176" spans="3:14" x14ac:dyDescent="0.3">
      <c r="C13176" s="54"/>
      <c r="N13176" s="33"/>
    </row>
    <row r="13177" spans="3:14" x14ac:dyDescent="0.3">
      <c r="C13177" s="54"/>
      <c r="N13177" s="33"/>
    </row>
    <row r="13178" spans="3:14" x14ac:dyDescent="0.3">
      <c r="C13178" s="54"/>
      <c r="N13178" s="33"/>
    </row>
    <row r="13179" spans="3:14" x14ac:dyDescent="0.3">
      <c r="C13179" s="54"/>
      <c r="N13179" s="33"/>
    </row>
    <row r="13180" spans="3:14" x14ac:dyDescent="0.3">
      <c r="C13180" s="54"/>
      <c r="N13180" s="33"/>
    </row>
    <row r="13181" spans="3:14" x14ac:dyDescent="0.3">
      <c r="C13181" s="54"/>
      <c r="N13181" s="33"/>
    </row>
    <row r="13182" spans="3:14" x14ac:dyDescent="0.3">
      <c r="C13182" s="54"/>
      <c r="N13182" s="33"/>
    </row>
    <row r="13183" spans="3:14" x14ac:dyDescent="0.3">
      <c r="C13183" s="54"/>
      <c r="N13183" s="33"/>
    </row>
    <row r="13184" spans="3:14" x14ac:dyDescent="0.3">
      <c r="C13184" s="54"/>
      <c r="N13184" s="33"/>
    </row>
    <row r="13185" spans="3:14" x14ac:dyDescent="0.3">
      <c r="C13185" s="54"/>
      <c r="N13185" s="33"/>
    </row>
    <row r="13186" spans="3:14" x14ac:dyDescent="0.3">
      <c r="C13186" s="54"/>
      <c r="N13186" s="33"/>
    </row>
    <row r="13187" spans="3:14" x14ac:dyDescent="0.3">
      <c r="C13187" s="54"/>
      <c r="N13187" s="33"/>
    </row>
    <row r="13188" spans="3:14" x14ac:dyDescent="0.3">
      <c r="C13188" s="54"/>
      <c r="N13188" s="33"/>
    </row>
    <row r="13189" spans="3:14" x14ac:dyDescent="0.3">
      <c r="C13189" s="54"/>
      <c r="N13189" s="33"/>
    </row>
    <row r="13190" spans="3:14" x14ac:dyDescent="0.3">
      <c r="C13190" s="54"/>
      <c r="N13190" s="33"/>
    </row>
    <row r="13191" spans="3:14" x14ac:dyDescent="0.3">
      <c r="C13191" s="54"/>
      <c r="N13191" s="33"/>
    </row>
    <row r="13192" spans="3:14" x14ac:dyDescent="0.3">
      <c r="C13192" s="54"/>
      <c r="N13192" s="33"/>
    </row>
    <row r="13193" spans="3:14" x14ac:dyDescent="0.3">
      <c r="C13193" s="54"/>
      <c r="N13193" s="33"/>
    </row>
    <row r="13194" spans="3:14" x14ac:dyDescent="0.3">
      <c r="C13194" s="54"/>
      <c r="N13194" s="33"/>
    </row>
    <row r="13195" spans="3:14" x14ac:dyDescent="0.3">
      <c r="C13195" s="54"/>
      <c r="N13195" s="33"/>
    </row>
    <row r="13196" spans="3:14" x14ac:dyDescent="0.3">
      <c r="C13196" s="54"/>
      <c r="N13196" s="33"/>
    </row>
    <row r="13197" spans="3:14" x14ac:dyDescent="0.3">
      <c r="C13197" s="54"/>
      <c r="N13197" s="33"/>
    </row>
    <row r="13198" spans="3:14" x14ac:dyDescent="0.3">
      <c r="C13198" s="54"/>
      <c r="N13198" s="33"/>
    </row>
    <row r="13199" spans="3:14" x14ac:dyDescent="0.3">
      <c r="C13199" s="54"/>
      <c r="N13199" s="33"/>
    </row>
    <row r="13200" spans="3:14" x14ac:dyDescent="0.3">
      <c r="C13200" s="54"/>
      <c r="N13200" s="33"/>
    </row>
    <row r="13201" spans="3:14" x14ac:dyDescent="0.3">
      <c r="C13201" s="54"/>
      <c r="N13201" s="33"/>
    </row>
    <row r="13202" spans="3:14" x14ac:dyDescent="0.3">
      <c r="C13202" s="54"/>
      <c r="N13202" s="33"/>
    </row>
    <row r="13203" spans="3:14" x14ac:dyDescent="0.3">
      <c r="C13203" s="54"/>
      <c r="N13203" s="33"/>
    </row>
    <row r="13204" spans="3:14" x14ac:dyDescent="0.3">
      <c r="C13204" s="54"/>
      <c r="N13204" s="33"/>
    </row>
    <row r="13205" spans="3:14" x14ac:dyDescent="0.3">
      <c r="C13205" s="54"/>
      <c r="N13205" s="33"/>
    </row>
    <row r="13206" spans="3:14" x14ac:dyDescent="0.3">
      <c r="C13206" s="54"/>
      <c r="N13206" s="33"/>
    </row>
    <row r="13207" spans="3:14" x14ac:dyDescent="0.3">
      <c r="C13207" s="54"/>
      <c r="N13207" s="33"/>
    </row>
    <row r="13208" spans="3:14" x14ac:dyDescent="0.3">
      <c r="C13208" s="54"/>
      <c r="N13208" s="33"/>
    </row>
    <row r="13209" spans="3:14" x14ac:dyDescent="0.3">
      <c r="C13209" s="54"/>
      <c r="N13209" s="33"/>
    </row>
    <row r="13210" spans="3:14" x14ac:dyDescent="0.3">
      <c r="C13210" s="54"/>
      <c r="N13210" s="33"/>
    </row>
    <row r="13211" spans="3:14" x14ac:dyDescent="0.3">
      <c r="C13211" s="54"/>
      <c r="N13211" s="33"/>
    </row>
    <row r="13212" spans="3:14" x14ac:dyDescent="0.3">
      <c r="C13212" s="54"/>
      <c r="N13212" s="33"/>
    </row>
    <row r="13213" spans="3:14" x14ac:dyDescent="0.3">
      <c r="C13213" s="54"/>
      <c r="N13213" s="33"/>
    </row>
    <row r="13214" spans="3:14" x14ac:dyDescent="0.3">
      <c r="C13214" s="54"/>
      <c r="N13214" s="33"/>
    </row>
    <row r="13215" spans="3:14" x14ac:dyDescent="0.3">
      <c r="C13215" s="54"/>
      <c r="N13215" s="33"/>
    </row>
    <row r="13216" spans="3:14" x14ac:dyDescent="0.3">
      <c r="C13216" s="54"/>
      <c r="N13216" s="33"/>
    </row>
    <row r="13217" spans="3:14" x14ac:dyDescent="0.3">
      <c r="C13217" s="54"/>
      <c r="N13217" s="33"/>
    </row>
    <row r="13218" spans="3:14" x14ac:dyDescent="0.3">
      <c r="C13218" s="54"/>
      <c r="N13218" s="33"/>
    </row>
    <row r="13219" spans="3:14" x14ac:dyDescent="0.3">
      <c r="C13219" s="54"/>
      <c r="N13219" s="33"/>
    </row>
    <row r="13220" spans="3:14" x14ac:dyDescent="0.3">
      <c r="C13220" s="54"/>
      <c r="N13220" s="33"/>
    </row>
    <row r="13221" spans="3:14" x14ac:dyDescent="0.3">
      <c r="C13221" s="54"/>
      <c r="N13221" s="33"/>
    </row>
    <row r="13222" spans="3:14" x14ac:dyDescent="0.3">
      <c r="C13222" s="54"/>
      <c r="N13222" s="33"/>
    </row>
    <row r="13223" spans="3:14" x14ac:dyDescent="0.3">
      <c r="C13223" s="54"/>
      <c r="N13223" s="33"/>
    </row>
    <row r="13224" spans="3:14" x14ac:dyDescent="0.3">
      <c r="C13224" s="54"/>
      <c r="N13224" s="33"/>
    </row>
    <row r="13225" spans="3:14" x14ac:dyDescent="0.3">
      <c r="C13225" s="54"/>
      <c r="N13225" s="33"/>
    </row>
    <row r="13226" spans="3:14" x14ac:dyDescent="0.3">
      <c r="C13226" s="54"/>
      <c r="N13226" s="33"/>
    </row>
    <row r="13227" spans="3:14" x14ac:dyDescent="0.3">
      <c r="C13227" s="54"/>
      <c r="N13227" s="33"/>
    </row>
    <row r="13228" spans="3:14" x14ac:dyDescent="0.3">
      <c r="C13228" s="54"/>
      <c r="N13228" s="33"/>
    </row>
    <row r="13229" spans="3:14" x14ac:dyDescent="0.3">
      <c r="C13229" s="54"/>
      <c r="N13229" s="33"/>
    </row>
    <row r="13230" spans="3:14" x14ac:dyDescent="0.3">
      <c r="C13230" s="54"/>
      <c r="N13230" s="33"/>
    </row>
    <row r="13231" spans="3:14" x14ac:dyDescent="0.3">
      <c r="C13231" s="54"/>
      <c r="N13231" s="33"/>
    </row>
    <row r="13232" spans="3:14" x14ac:dyDescent="0.3">
      <c r="C13232" s="54"/>
      <c r="N13232" s="33"/>
    </row>
    <row r="13233" spans="3:14" x14ac:dyDescent="0.3">
      <c r="C13233" s="54"/>
      <c r="N13233" s="33"/>
    </row>
    <row r="13234" spans="3:14" x14ac:dyDescent="0.3">
      <c r="C13234" s="54"/>
      <c r="N13234" s="33"/>
    </row>
    <row r="13235" spans="3:14" x14ac:dyDescent="0.3">
      <c r="C13235" s="54"/>
      <c r="N13235" s="33"/>
    </row>
    <row r="13236" spans="3:14" x14ac:dyDescent="0.3">
      <c r="C13236" s="54"/>
      <c r="N13236" s="33"/>
    </row>
    <row r="13237" spans="3:14" x14ac:dyDescent="0.3">
      <c r="C13237" s="54"/>
      <c r="N13237" s="33"/>
    </row>
    <row r="13238" spans="3:14" x14ac:dyDescent="0.3">
      <c r="C13238" s="54"/>
      <c r="N13238" s="33"/>
    </row>
    <row r="13239" spans="3:14" x14ac:dyDescent="0.3">
      <c r="C13239" s="54"/>
      <c r="N13239" s="33"/>
    </row>
    <row r="13240" spans="3:14" x14ac:dyDescent="0.3">
      <c r="C13240" s="54"/>
      <c r="N13240" s="33"/>
    </row>
    <row r="13241" spans="3:14" x14ac:dyDescent="0.3">
      <c r="C13241" s="54"/>
      <c r="N13241" s="33"/>
    </row>
    <row r="13242" spans="3:14" x14ac:dyDescent="0.3">
      <c r="C13242" s="54"/>
      <c r="N13242" s="33"/>
    </row>
    <row r="13243" spans="3:14" x14ac:dyDescent="0.3">
      <c r="C13243" s="54"/>
      <c r="N13243" s="33"/>
    </row>
    <row r="13244" spans="3:14" x14ac:dyDescent="0.3">
      <c r="C13244" s="54"/>
      <c r="N13244" s="33"/>
    </row>
    <row r="13245" spans="3:14" x14ac:dyDescent="0.3">
      <c r="C13245" s="54"/>
      <c r="N13245" s="33"/>
    </row>
    <row r="13246" spans="3:14" x14ac:dyDescent="0.3">
      <c r="C13246" s="54"/>
      <c r="N13246" s="33"/>
    </row>
    <row r="13247" spans="3:14" x14ac:dyDescent="0.3">
      <c r="C13247" s="54"/>
      <c r="N13247" s="33"/>
    </row>
    <row r="13248" spans="3:14" x14ac:dyDescent="0.3">
      <c r="C13248" s="54"/>
      <c r="N13248" s="33"/>
    </row>
    <row r="13249" spans="3:14" x14ac:dyDescent="0.3">
      <c r="C13249" s="54"/>
      <c r="N13249" s="33"/>
    </row>
    <row r="13250" spans="3:14" x14ac:dyDescent="0.3">
      <c r="C13250" s="54"/>
      <c r="N13250" s="33"/>
    </row>
    <row r="13251" spans="3:14" x14ac:dyDescent="0.3">
      <c r="C13251" s="54"/>
      <c r="N13251" s="33"/>
    </row>
    <row r="13252" spans="3:14" x14ac:dyDescent="0.3">
      <c r="C13252" s="54"/>
      <c r="N13252" s="33"/>
    </row>
    <row r="13253" spans="3:14" x14ac:dyDescent="0.3">
      <c r="C13253" s="54"/>
      <c r="N13253" s="33"/>
    </row>
    <row r="13254" spans="3:14" x14ac:dyDescent="0.3">
      <c r="C13254" s="54"/>
      <c r="N13254" s="33"/>
    </row>
    <row r="13255" spans="3:14" x14ac:dyDescent="0.3">
      <c r="C13255" s="54"/>
      <c r="N13255" s="33"/>
    </row>
    <row r="13256" spans="3:14" x14ac:dyDescent="0.3">
      <c r="C13256" s="54"/>
      <c r="N13256" s="33"/>
    </row>
    <row r="13257" spans="3:14" x14ac:dyDescent="0.3">
      <c r="C13257" s="54"/>
      <c r="N13257" s="33"/>
    </row>
    <row r="13258" spans="3:14" x14ac:dyDescent="0.3">
      <c r="C13258" s="54"/>
      <c r="N13258" s="33"/>
    </row>
    <row r="13259" spans="3:14" x14ac:dyDescent="0.3">
      <c r="C13259" s="54"/>
      <c r="N13259" s="33"/>
    </row>
    <row r="13260" spans="3:14" x14ac:dyDescent="0.3">
      <c r="C13260" s="54"/>
      <c r="N13260" s="33"/>
    </row>
    <row r="13261" spans="3:14" x14ac:dyDescent="0.3">
      <c r="C13261" s="54"/>
      <c r="N13261" s="33"/>
    </row>
    <row r="13262" spans="3:14" x14ac:dyDescent="0.3">
      <c r="C13262" s="54"/>
      <c r="N13262" s="33"/>
    </row>
    <row r="13263" spans="3:14" x14ac:dyDescent="0.3">
      <c r="C13263" s="54"/>
      <c r="N13263" s="33"/>
    </row>
    <row r="13264" spans="3:14" x14ac:dyDescent="0.3">
      <c r="C13264" s="54"/>
      <c r="N13264" s="33"/>
    </row>
    <row r="13265" spans="3:14" x14ac:dyDescent="0.3">
      <c r="C13265" s="54"/>
      <c r="N13265" s="33"/>
    </row>
    <row r="13266" spans="3:14" x14ac:dyDescent="0.3">
      <c r="C13266" s="54"/>
      <c r="N13266" s="33"/>
    </row>
    <row r="13267" spans="3:14" x14ac:dyDescent="0.3">
      <c r="C13267" s="54"/>
      <c r="N13267" s="33"/>
    </row>
    <row r="13268" spans="3:14" x14ac:dyDescent="0.3">
      <c r="C13268" s="54"/>
      <c r="N13268" s="33"/>
    </row>
    <row r="13269" spans="3:14" x14ac:dyDescent="0.3">
      <c r="C13269" s="54"/>
      <c r="N13269" s="33"/>
    </row>
    <row r="13270" spans="3:14" x14ac:dyDescent="0.3">
      <c r="C13270" s="54"/>
      <c r="N13270" s="33"/>
    </row>
    <row r="13271" spans="3:14" x14ac:dyDescent="0.3">
      <c r="C13271" s="54"/>
      <c r="N13271" s="33"/>
    </row>
    <row r="13272" spans="3:14" x14ac:dyDescent="0.3">
      <c r="C13272" s="54"/>
      <c r="N13272" s="33"/>
    </row>
    <row r="13273" spans="3:14" x14ac:dyDescent="0.3">
      <c r="C13273" s="54"/>
      <c r="N13273" s="33"/>
    </row>
    <row r="13274" spans="3:14" x14ac:dyDescent="0.3">
      <c r="C13274" s="54"/>
      <c r="N13274" s="33"/>
    </row>
    <row r="13275" spans="3:14" x14ac:dyDescent="0.3">
      <c r="C13275" s="54"/>
      <c r="N13275" s="33"/>
    </row>
    <row r="13276" spans="3:14" x14ac:dyDescent="0.3">
      <c r="C13276" s="54"/>
      <c r="N13276" s="33"/>
    </row>
    <row r="13277" spans="3:14" x14ac:dyDescent="0.3">
      <c r="C13277" s="54"/>
      <c r="N13277" s="33"/>
    </row>
    <row r="13278" spans="3:14" x14ac:dyDescent="0.3">
      <c r="C13278" s="54"/>
      <c r="N13278" s="33"/>
    </row>
    <row r="13279" spans="3:14" x14ac:dyDescent="0.3">
      <c r="C13279" s="54"/>
      <c r="N13279" s="33"/>
    </row>
    <row r="13280" spans="3:14" x14ac:dyDescent="0.3">
      <c r="C13280" s="54"/>
      <c r="N13280" s="33"/>
    </row>
    <row r="13281" spans="3:14" x14ac:dyDescent="0.3">
      <c r="C13281" s="54"/>
      <c r="N13281" s="33"/>
    </row>
    <row r="13282" spans="3:14" x14ac:dyDescent="0.3">
      <c r="C13282" s="54"/>
      <c r="N13282" s="33"/>
    </row>
    <row r="13283" spans="3:14" x14ac:dyDescent="0.3">
      <c r="C13283" s="54"/>
      <c r="N13283" s="33"/>
    </row>
    <row r="13284" spans="3:14" x14ac:dyDescent="0.3">
      <c r="C13284" s="54"/>
      <c r="N13284" s="33"/>
    </row>
    <row r="13285" spans="3:14" x14ac:dyDescent="0.3">
      <c r="C13285" s="54"/>
      <c r="N13285" s="33"/>
    </row>
    <row r="13286" spans="3:14" x14ac:dyDescent="0.3">
      <c r="C13286" s="54"/>
      <c r="N13286" s="33"/>
    </row>
    <row r="13287" spans="3:14" x14ac:dyDescent="0.3">
      <c r="C13287" s="54"/>
      <c r="N13287" s="33"/>
    </row>
    <row r="13288" spans="3:14" x14ac:dyDescent="0.3">
      <c r="C13288" s="54"/>
      <c r="N13288" s="33"/>
    </row>
    <row r="13289" spans="3:14" x14ac:dyDescent="0.3">
      <c r="C13289" s="54"/>
      <c r="N13289" s="33"/>
    </row>
    <row r="13290" spans="3:14" x14ac:dyDescent="0.3">
      <c r="C13290" s="54"/>
      <c r="N13290" s="33"/>
    </row>
    <row r="13291" spans="3:14" x14ac:dyDescent="0.3">
      <c r="C13291" s="54"/>
      <c r="N13291" s="33"/>
    </row>
    <row r="13292" spans="3:14" x14ac:dyDescent="0.3">
      <c r="C13292" s="54"/>
      <c r="N13292" s="33"/>
    </row>
    <row r="13293" spans="3:14" x14ac:dyDescent="0.3">
      <c r="C13293" s="54"/>
      <c r="N13293" s="33"/>
    </row>
    <row r="13294" spans="3:14" x14ac:dyDescent="0.3">
      <c r="C13294" s="54"/>
      <c r="N13294" s="33"/>
    </row>
    <row r="13295" spans="3:14" x14ac:dyDescent="0.3">
      <c r="C13295" s="54"/>
      <c r="N13295" s="33"/>
    </row>
    <row r="13296" spans="3:14" x14ac:dyDescent="0.3">
      <c r="C13296" s="54"/>
      <c r="N13296" s="33"/>
    </row>
    <row r="13297" spans="3:14" x14ac:dyDescent="0.3">
      <c r="C13297" s="54"/>
      <c r="N13297" s="33"/>
    </row>
    <row r="13298" spans="3:14" x14ac:dyDescent="0.3">
      <c r="C13298" s="54"/>
      <c r="N13298" s="33"/>
    </row>
    <row r="13299" spans="3:14" x14ac:dyDescent="0.3">
      <c r="C13299" s="54"/>
      <c r="N13299" s="33"/>
    </row>
    <row r="13300" spans="3:14" x14ac:dyDescent="0.3">
      <c r="C13300" s="54"/>
      <c r="N13300" s="33"/>
    </row>
    <row r="13301" spans="3:14" x14ac:dyDescent="0.3">
      <c r="C13301" s="54"/>
      <c r="N13301" s="33"/>
    </row>
    <row r="13302" spans="3:14" x14ac:dyDescent="0.3">
      <c r="C13302" s="54"/>
      <c r="N13302" s="33"/>
    </row>
    <row r="13303" spans="3:14" x14ac:dyDescent="0.3">
      <c r="C13303" s="54"/>
      <c r="N13303" s="33"/>
    </row>
    <row r="13304" spans="3:14" x14ac:dyDescent="0.3">
      <c r="C13304" s="54"/>
      <c r="N13304" s="33"/>
    </row>
    <row r="13305" spans="3:14" x14ac:dyDescent="0.3">
      <c r="C13305" s="54"/>
      <c r="N13305" s="33"/>
    </row>
    <row r="13306" spans="3:14" x14ac:dyDescent="0.3">
      <c r="C13306" s="54"/>
      <c r="N13306" s="33"/>
    </row>
    <row r="13307" spans="3:14" x14ac:dyDescent="0.3">
      <c r="C13307" s="54"/>
      <c r="N13307" s="33"/>
    </row>
    <row r="13308" spans="3:14" x14ac:dyDescent="0.3">
      <c r="C13308" s="54"/>
      <c r="N13308" s="33"/>
    </row>
    <row r="13309" spans="3:14" x14ac:dyDescent="0.3">
      <c r="C13309" s="54"/>
      <c r="N13309" s="33"/>
    </row>
    <row r="13310" spans="3:14" x14ac:dyDescent="0.3">
      <c r="C13310" s="54"/>
      <c r="N13310" s="33"/>
    </row>
    <row r="13311" spans="3:14" x14ac:dyDescent="0.3">
      <c r="C13311" s="54"/>
      <c r="N13311" s="33"/>
    </row>
    <row r="13312" spans="3:14" x14ac:dyDescent="0.3">
      <c r="C13312" s="54"/>
      <c r="N13312" s="33"/>
    </row>
    <row r="13313" spans="3:14" x14ac:dyDescent="0.3">
      <c r="C13313" s="54"/>
      <c r="N13313" s="33"/>
    </row>
    <row r="13314" spans="3:14" x14ac:dyDescent="0.3">
      <c r="C13314" s="54"/>
      <c r="N13314" s="33"/>
    </row>
    <row r="13315" spans="3:14" x14ac:dyDescent="0.3">
      <c r="C13315" s="54"/>
      <c r="N13315" s="33"/>
    </row>
    <row r="13316" spans="3:14" x14ac:dyDescent="0.3">
      <c r="C13316" s="54"/>
      <c r="N13316" s="33"/>
    </row>
    <row r="13317" spans="3:14" x14ac:dyDescent="0.3">
      <c r="C13317" s="54"/>
      <c r="N13317" s="33"/>
    </row>
    <row r="13318" spans="3:14" x14ac:dyDescent="0.3">
      <c r="C13318" s="54"/>
      <c r="N13318" s="33"/>
    </row>
    <row r="13319" spans="3:14" x14ac:dyDescent="0.3">
      <c r="C13319" s="54"/>
      <c r="N13319" s="33"/>
    </row>
    <row r="13320" spans="3:14" x14ac:dyDescent="0.3">
      <c r="C13320" s="54"/>
      <c r="N13320" s="33"/>
    </row>
    <row r="13321" spans="3:14" x14ac:dyDescent="0.3">
      <c r="C13321" s="54"/>
      <c r="N13321" s="33"/>
    </row>
    <row r="13322" spans="3:14" x14ac:dyDescent="0.3">
      <c r="C13322" s="54"/>
      <c r="N13322" s="33"/>
    </row>
    <row r="13323" spans="3:14" x14ac:dyDescent="0.3">
      <c r="C13323" s="54"/>
      <c r="N13323" s="33"/>
    </row>
    <row r="13324" spans="3:14" x14ac:dyDescent="0.3">
      <c r="C13324" s="54"/>
      <c r="N13324" s="33"/>
    </row>
    <row r="13325" spans="3:14" x14ac:dyDescent="0.3">
      <c r="C13325" s="54"/>
      <c r="N13325" s="33"/>
    </row>
    <row r="13326" spans="3:14" x14ac:dyDescent="0.3">
      <c r="C13326" s="54"/>
      <c r="N13326" s="33"/>
    </row>
    <row r="13327" spans="3:14" x14ac:dyDescent="0.3">
      <c r="C13327" s="54"/>
      <c r="N13327" s="33"/>
    </row>
    <row r="13328" spans="3:14" x14ac:dyDescent="0.3">
      <c r="C13328" s="54"/>
      <c r="N13328" s="33"/>
    </row>
    <row r="13329" spans="3:14" x14ac:dyDescent="0.3">
      <c r="C13329" s="54"/>
      <c r="N13329" s="33"/>
    </row>
    <row r="13330" spans="3:14" x14ac:dyDescent="0.3">
      <c r="C13330" s="54"/>
      <c r="N13330" s="33"/>
    </row>
    <row r="13331" spans="3:14" x14ac:dyDescent="0.3">
      <c r="C13331" s="54"/>
      <c r="N13331" s="33"/>
    </row>
    <row r="13332" spans="3:14" x14ac:dyDescent="0.3">
      <c r="C13332" s="54"/>
      <c r="N13332" s="33"/>
    </row>
    <row r="13333" spans="3:14" x14ac:dyDescent="0.3">
      <c r="C13333" s="54"/>
      <c r="N13333" s="33"/>
    </row>
    <row r="13334" spans="3:14" x14ac:dyDescent="0.3">
      <c r="C13334" s="54"/>
      <c r="N13334" s="33"/>
    </row>
    <row r="13335" spans="3:14" x14ac:dyDescent="0.3">
      <c r="C13335" s="54"/>
      <c r="N13335" s="33"/>
    </row>
    <row r="13336" spans="3:14" x14ac:dyDescent="0.3">
      <c r="C13336" s="54"/>
      <c r="N13336" s="33"/>
    </row>
    <row r="13337" spans="3:14" x14ac:dyDescent="0.3">
      <c r="C13337" s="54"/>
      <c r="N13337" s="33"/>
    </row>
    <row r="13338" spans="3:14" x14ac:dyDescent="0.3">
      <c r="C13338" s="54"/>
      <c r="N13338" s="33"/>
    </row>
    <row r="13339" spans="3:14" x14ac:dyDescent="0.3">
      <c r="C13339" s="54"/>
      <c r="N13339" s="33"/>
    </row>
    <row r="13340" spans="3:14" x14ac:dyDescent="0.3">
      <c r="C13340" s="54"/>
      <c r="N13340" s="33"/>
    </row>
    <row r="13341" spans="3:14" x14ac:dyDescent="0.3">
      <c r="C13341" s="54"/>
      <c r="N13341" s="33"/>
    </row>
    <row r="13342" spans="3:14" x14ac:dyDescent="0.3">
      <c r="C13342" s="54"/>
      <c r="N13342" s="33"/>
    </row>
    <row r="13343" spans="3:14" x14ac:dyDescent="0.3">
      <c r="C13343" s="54"/>
      <c r="N13343" s="33"/>
    </row>
    <row r="13344" spans="3:14" x14ac:dyDescent="0.3">
      <c r="C13344" s="54"/>
      <c r="N13344" s="33"/>
    </row>
    <row r="13345" spans="3:14" x14ac:dyDescent="0.3">
      <c r="C13345" s="54"/>
      <c r="N13345" s="33"/>
    </row>
    <row r="13346" spans="3:14" x14ac:dyDescent="0.3">
      <c r="C13346" s="54"/>
      <c r="N13346" s="33"/>
    </row>
    <row r="13347" spans="3:14" x14ac:dyDescent="0.3">
      <c r="C13347" s="54"/>
      <c r="N13347" s="33"/>
    </row>
    <row r="13348" spans="3:14" x14ac:dyDescent="0.3">
      <c r="C13348" s="54"/>
      <c r="N13348" s="33"/>
    </row>
    <row r="13349" spans="3:14" x14ac:dyDescent="0.3">
      <c r="C13349" s="54"/>
      <c r="N13349" s="33"/>
    </row>
    <row r="13350" spans="3:14" x14ac:dyDescent="0.3">
      <c r="C13350" s="54"/>
      <c r="N13350" s="33"/>
    </row>
    <row r="13351" spans="3:14" x14ac:dyDescent="0.3">
      <c r="C13351" s="54"/>
      <c r="N13351" s="33"/>
    </row>
    <row r="13352" spans="3:14" x14ac:dyDescent="0.3">
      <c r="C13352" s="54"/>
      <c r="N13352" s="33"/>
    </row>
    <row r="13353" spans="3:14" x14ac:dyDescent="0.3">
      <c r="C13353" s="54"/>
      <c r="N13353" s="33"/>
    </row>
    <row r="13354" spans="3:14" x14ac:dyDescent="0.3">
      <c r="C13354" s="54"/>
      <c r="N13354" s="33"/>
    </row>
    <row r="13355" spans="3:14" x14ac:dyDescent="0.3">
      <c r="C13355" s="54"/>
      <c r="N13355" s="33"/>
    </row>
    <row r="13356" spans="3:14" x14ac:dyDescent="0.3">
      <c r="C13356" s="54"/>
      <c r="N13356" s="33"/>
    </row>
    <row r="13357" spans="3:14" x14ac:dyDescent="0.3">
      <c r="C13357" s="54"/>
      <c r="N13357" s="33"/>
    </row>
    <row r="13358" spans="3:14" x14ac:dyDescent="0.3">
      <c r="C13358" s="54"/>
      <c r="N13358" s="33"/>
    </row>
    <row r="13359" spans="3:14" x14ac:dyDescent="0.3">
      <c r="C13359" s="54"/>
      <c r="N13359" s="33"/>
    </row>
    <row r="13360" spans="3:14" x14ac:dyDescent="0.3">
      <c r="C13360" s="54"/>
      <c r="N13360" s="33"/>
    </row>
    <row r="13361" spans="3:14" x14ac:dyDescent="0.3">
      <c r="C13361" s="54"/>
      <c r="N13361" s="33"/>
    </row>
    <row r="13362" spans="3:14" x14ac:dyDescent="0.3">
      <c r="C13362" s="54"/>
      <c r="N13362" s="33"/>
    </row>
    <row r="13363" spans="3:14" x14ac:dyDescent="0.3">
      <c r="C13363" s="54"/>
      <c r="N13363" s="33"/>
    </row>
    <row r="13364" spans="3:14" x14ac:dyDescent="0.3">
      <c r="C13364" s="54"/>
      <c r="N13364" s="33"/>
    </row>
    <row r="13365" spans="3:14" x14ac:dyDescent="0.3">
      <c r="C13365" s="54"/>
      <c r="N13365" s="33"/>
    </row>
    <row r="13366" spans="3:14" x14ac:dyDescent="0.3">
      <c r="C13366" s="54"/>
      <c r="N13366" s="33"/>
    </row>
    <row r="13367" spans="3:14" x14ac:dyDescent="0.3">
      <c r="C13367" s="54"/>
      <c r="N13367" s="33"/>
    </row>
    <row r="13368" spans="3:14" x14ac:dyDescent="0.3">
      <c r="C13368" s="54"/>
      <c r="N13368" s="33"/>
    </row>
    <row r="13369" spans="3:14" x14ac:dyDescent="0.3">
      <c r="C13369" s="54"/>
      <c r="N13369" s="33"/>
    </row>
    <row r="13370" spans="3:14" x14ac:dyDescent="0.3">
      <c r="C13370" s="54"/>
      <c r="N13370" s="33"/>
    </row>
    <row r="13371" spans="3:14" x14ac:dyDescent="0.3">
      <c r="C13371" s="54"/>
      <c r="N13371" s="33"/>
    </row>
    <row r="13372" spans="3:14" x14ac:dyDescent="0.3">
      <c r="C13372" s="54"/>
      <c r="N13372" s="33"/>
    </row>
    <row r="13373" spans="3:14" x14ac:dyDescent="0.3">
      <c r="C13373" s="54"/>
      <c r="N13373" s="33"/>
    </row>
    <row r="13374" spans="3:14" x14ac:dyDescent="0.3">
      <c r="C13374" s="54"/>
      <c r="N13374" s="33"/>
    </row>
    <row r="13375" spans="3:14" x14ac:dyDescent="0.3">
      <c r="C13375" s="54"/>
      <c r="N13375" s="33"/>
    </row>
    <row r="13376" spans="3:14" x14ac:dyDescent="0.3">
      <c r="C13376" s="54"/>
      <c r="N13376" s="33"/>
    </row>
    <row r="13377" spans="3:14" x14ac:dyDescent="0.3">
      <c r="C13377" s="54"/>
      <c r="N13377" s="33"/>
    </row>
    <row r="13378" spans="3:14" x14ac:dyDescent="0.3">
      <c r="C13378" s="54"/>
      <c r="N13378" s="33"/>
    </row>
    <row r="13379" spans="3:14" x14ac:dyDescent="0.3">
      <c r="C13379" s="54"/>
      <c r="N13379" s="33"/>
    </row>
    <row r="13380" spans="3:14" x14ac:dyDescent="0.3">
      <c r="C13380" s="54"/>
      <c r="N13380" s="33"/>
    </row>
    <row r="13381" spans="3:14" x14ac:dyDescent="0.3">
      <c r="C13381" s="54"/>
      <c r="N13381" s="33"/>
    </row>
    <row r="13382" spans="3:14" x14ac:dyDescent="0.3">
      <c r="C13382" s="54"/>
      <c r="N13382" s="33"/>
    </row>
    <row r="13383" spans="3:14" x14ac:dyDescent="0.3">
      <c r="C13383" s="54"/>
      <c r="N13383" s="33"/>
    </row>
    <row r="13384" spans="3:14" x14ac:dyDescent="0.3">
      <c r="C13384" s="54"/>
      <c r="N13384" s="33"/>
    </row>
    <row r="13385" spans="3:14" x14ac:dyDescent="0.3">
      <c r="C13385" s="54"/>
      <c r="N13385" s="33"/>
    </row>
    <row r="13386" spans="3:14" x14ac:dyDescent="0.3">
      <c r="C13386" s="54"/>
      <c r="N13386" s="33"/>
    </row>
    <row r="13387" spans="3:14" x14ac:dyDescent="0.3">
      <c r="C13387" s="54"/>
      <c r="N13387" s="33"/>
    </row>
    <row r="13388" spans="3:14" x14ac:dyDescent="0.3">
      <c r="C13388" s="54"/>
      <c r="N13388" s="33"/>
    </row>
    <row r="13389" spans="3:14" x14ac:dyDescent="0.3">
      <c r="C13389" s="54"/>
      <c r="N13389" s="33"/>
    </row>
    <row r="13390" spans="3:14" x14ac:dyDescent="0.3">
      <c r="C13390" s="54"/>
      <c r="N13390" s="33"/>
    </row>
    <row r="13391" spans="3:14" x14ac:dyDescent="0.3">
      <c r="C13391" s="54"/>
      <c r="N13391" s="33"/>
    </row>
    <row r="13392" spans="3:14" x14ac:dyDescent="0.3">
      <c r="C13392" s="54"/>
      <c r="N13392" s="33"/>
    </row>
    <row r="13393" spans="3:14" x14ac:dyDescent="0.3">
      <c r="C13393" s="54"/>
      <c r="N13393" s="33"/>
    </row>
    <row r="13394" spans="3:14" x14ac:dyDescent="0.3">
      <c r="C13394" s="54"/>
      <c r="N13394" s="33"/>
    </row>
    <row r="13395" spans="3:14" x14ac:dyDescent="0.3">
      <c r="C13395" s="54"/>
      <c r="N13395" s="33"/>
    </row>
    <row r="13396" spans="3:14" x14ac:dyDescent="0.3">
      <c r="C13396" s="54"/>
      <c r="N13396" s="33"/>
    </row>
    <row r="13397" spans="3:14" x14ac:dyDescent="0.3">
      <c r="C13397" s="54"/>
      <c r="N13397" s="33"/>
    </row>
    <row r="13398" spans="3:14" x14ac:dyDescent="0.3">
      <c r="C13398" s="54"/>
      <c r="N13398" s="33"/>
    </row>
    <row r="13399" spans="3:14" x14ac:dyDescent="0.3">
      <c r="C13399" s="54"/>
      <c r="N13399" s="33"/>
    </row>
    <row r="13400" spans="3:14" x14ac:dyDescent="0.3">
      <c r="C13400" s="54"/>
      <c r="N13400" s="33"/>
    </row>
    <row r="13401" spans="3:14" x14ac:dyDescent="0.3">
      <c r="C13401" s="54"/>
      <c r="N13401" s="33"/>
    </row>
    <row r="13402" spans="3:14" x14ac:dyDescent="0.3">
      <c r="C13402" s="54"/>
      <c r="N13402" s="33"/>
    </row>
    <row r="13403" spans="3:14" x14ac:dyDescent="0.3">
      <c r="C13403" s="54"/>
      <c r="N13403" s="33"/>
    </row>
    <row r="13404" spans="3:14" x14ac:dyDescent="0.3">
      <c r="C13404" s="54"/>
      <c r="N13404" s="33"/>
    </row>
    <row r="13405" spans="3:14" x14ac:dyDescent="0.3">
      <c r="C13405" s="54"/>
      <c r="N13405" s="33"/>
    </row>
    <row r="13406" spans="3:14" x14ac:dyDescent="0.3">
      <c r="C13406" s="54"/>
      <c r="N13406" s="33"/>
    </row>
    <row r="13407" spans="3:14" x14ac:dyDescent="0.3">
      <c r="C13407" s="54"/>
      <c r="N13407" s="33"/>
    </row>
    <row r="13408" spans="3:14" x14ac:dyDescent="0.3">
      <c r="C13408" s="54"/>
      <c r="N13408" s="33"/>
    </row>
    <row r="13409" spans="3:14" x14ac:dyDescent="0.3">
      <c r="C13409" s="54"/>
      <c r="N13409" s="33"/>
    </row>
    <row r="13410" spans="3:14" x14ac:dyDescent="0.3">
      <c r="C13410" s="54"/>
      <c r="N13410" s="33"/>
    </row>
    <row r="13411" spans="3:14" x14ac:dyDescent="0.3">
      <c r="C13411" s="54"/>
      <c r="N13411" s="33"/>
    </row>
    <row r="13412" spans="3:14" x14ac:dyDescent="0.3">
      <c r="C13412" s="54"/>
      <c r="N13412" s="33"/>
    </row>
    <row r="13413" spans="3:14" x14ac:dyDescent="0.3">
      <c r="C13413" s="54"/>
      <c r="N13413" s="33"/>
    </row>
    <row r="13414" spans="3:14" x14ac:dyDescent="0.3">
      <c r="C13414" s="54"/>
      <c r="N13414" s="33"/>
    </row>
    <row r="13415" spans="3:14" x14ac:dyDescent="0.3">
      <c r="C13415" s="54"/>
      <c r="N13415" s="33"/>
    </row>
    <row r="13416" spans="3:14" x14ac:dyDescent="0.3">
      <c r="C13416" s="54"/>
      <c r="N13416" s="33"/>
    </row>
    <row r="13417" spans="3:14" x14ac:dyDescent="0.3">
      <c r="C13417" s="54"/>
      <c r="N13417" s="33"/>
    </row>
    <row r="13418" spans="3:14" x14ac:dyDescent="0.3">
      <c r="C13418" s="54"/>
      <c r="N13418" s="33"/>
    </row>
    <row r="13419" spans="3:14" x14ac:dyDescent="0.3">
      <c r="C13419" s="54"/>
      <c r="N13419" s="33"/>
    </row>
    <row r="13420" spans="3:14" x14ac:dyDescent="0.3">
      <c r="C13420" s="54"/>
      <c r="N13420" s="33"/>
    </row>
    <row r="13421" spans="3:14" x14ac:dyDescent="0.3">
      <c r="C13421" s="54"/>
      <c r="N13421" s="33"/>
    </row>
    <row r="13422" spans="3:14" x14ac:dyDescent="0.3">
      <c r="C13422" s="54"/>
      <c r="N13422" s="33"/>
    </row>
    <row r="13423" spans="3:14" x14ac:dyDescent="0.3">
      <c r="C13423" s="54"/>
      <c r="N13423" s="33"/>
    </row>
    <row r="13424" spans="3:14" x14ac:dyDescent="0.3">
      <c r="C13424" s="54"/>
      <c r="N13424" s="33"/>
    </row>
    <row r="13425" spans="3:14" x14ac:dyDescent="0.3">
      <c r="C13425" s="54"/>
      <c r="N13425" s="33"/>
    </row>
    <row r="13426" spans="3:14" x14ac:dyDescent="0.3">
      <c r="C13426" s="54"/>
      <c r="N13426" s="33"/>
    </row>
    <row r="13427" spans="3:14" x14ac:dyDescent="0.3">
      <c r="C13427" s="54"/>
      <c r="N13427" s="33"/>
    </row>
    <row r="13428" spans="3:14" x14ac:dyDescent="0.3">
      <c r="C13428" s="54"/>
      <c r="N13428" s="33"/>
    </row>
    <row r="13429" spans="3:14" x14ac:dyDescent="0.3">
      <c r="C13429" s="54"/>
      <c r="N13429" s="33"/>
    </row>
    <row r="13430" spans="3:14" x14ac:dyDescent="0.3">
      <c r="C13430" s="54"/>
      <c r="N13430" s="33"/>
    </row>
    <row r="13431" spans="3:14" x14ac:dyDescent="0.3">
      <c r="C13431" s="54"/>
      <c r="N13431" s="33"/>
    </row>
    <row r="13432" spans="3:14" x14ac:dyDescent="0.3">
      <c r="C13432" s="54"/>
      <c r="N13432" s="33"/>
    </row>
    <row r="13433" spans="3:14" x14ac:dyDescent="0.3">
      <c r="C13433" s="54"/>
      <c r="N13433" s="33"/>
    </row>
    <row r="13434" spans="3:14" x14ac:dyDescent="0.3">
      <c r="C13434" s="54"/>
      <c r="N13434" s="33"/>
    </row>
    <row r="13435" spans="3:14" x14ac:dyDescent="0.3">
      <c r="C13435" s="54"/>
      <c r="N13435" s="33"/>
    </row>
    <row r="13436" spans="3:14" x14ac:dyDescent="0.3">
      <c r="C13436" s="54"/>
      <c r="N13436" s="33"/>
    </row>
    <row r="13437" spans="3:14" x14ac:dyDescent="0.3">
      <c r="C13437" s="54"/>
      <c r="N13437" s="33"/>
    </row>
    <row r="13438" spans="3:14" x14ac:dyDescent="0.3">
      <c r="C13438" s="54"/>
      <c r="N13438" s="33"/>
    </row>
    <row r="13439" spans="3:14" x14ac:dyDescent="0.3">
      <c r="C13439" s="54"/>
      <c r="N13439" s="33"/>
    </row>
    <row r="13440" spans="3:14" x14ac:dyDescent="0.3">
      <c r="C13440" s="54"/>
      <c r="N13440" s="33"/>
    </row>
    <row r="13441" spans="3:14" x14ac:dyDescent="0.3">
      <c r="C13441" s="54"/>
      <c r="N13441" s="33"/>
    </row>
    <row r="13442" spans="3:14" x14ac:dyDescent="0.3">
      <c r="C13442" s="54"/>
      <c r="N13442" s="33"/>
    </row>
    <row r="13443" spans="3:14" x14ac:dyDescent="0.3">
      <c r="C13443" s="54"/>
      <c r="N13443" s="33"/>
    </row>
    <row r="13444" spans="3:14" x14ac:dyDescent="0.3">
      <c r="C13444" s="54"/>
      <c r="N13444" s="33"/>
    </row>
    <row r="13445" spans="3:14" x14ac:dyDescent="0.3">
      <c r="C13445" s="54"/>
      <c r="N13445" s="33"/>
    </row>
    <row r="13446" spans="3:14" x14ac:dyDescent="0.3">
      <c r="C13446" s="54"/>
      <c r="N13446" s="33"/>
    </row>
    <row r="13447" spans="3:14" x14ac:dyDescent="0.3">
      <c r="C13447" s="54"/>
      <c r="N13447" s="33"/>
    </row>
    <row r="13448" spans="3:14" x14ac:dyDescent="0.3">
      <c r="C13448" s="54"/>
      <c r="N13448" s="33"/>
    </row>
    <row r="13449" spans="3:14" x14ac:dyDescent="0.3">
      <c r="C13449" s="54"/>
      <c r="N13449" s="33"/>
    </row>
    <row r="13450" spans="3:14" x14ac:dyDescent="0.3">
      <c r="C13450" s="54"/>
      <c r="N13450" s="33"/>
    </row>
    <row r="13451" spans="3:14" x14ac:dyDescent="0.3">
      <c r="C13451" s="54"/>
      <c r="N13451" s="33"/>
    </row>
    <row r="13452" spans="3:14" x14ac:dyDescent="0.3">
      <c r="C13452" s="54"/>
      <c r="N13452" s="33"/>
    </row>
    <row r="13453" spans="3:14" x14ac:dyDescent="0.3">
      <c r="C13453" s="54"/>
      <c r="N13453" s="33"/>
    </row>
    <row r="13454" spans="3:14" x14ac:dyDescent="0.3">
      <c r="C13454" s="54"/>
      <c r="N13454" s="33"/>
    </row>
    <row r="13455" spans="3:14" x14ac:dyDescent="0.3">
      <c r="C13455" s="54"/>
      <c r="N13455" s="33"/>
    </row>
    <row r="13456" spans="3:14" x14ac:dyDescent="0.3">
      <c r="C13456" s="54"/>
      <c r="N13456" s="33"/>
    </row>
    <row r="13457" spans="3:14" x14ac:dyDescent="0.3">
      <c r="C13457" s="54"/>
      <c r="N13457" s="33"/>
    </row>
    <row r="13458" spans="3:14" x14ac:dyDescent="0.3">
      <c r="C13458" s="54"/>
      <c r="N13458" s="33"/>
    </row>
    <row r="13459" spans="3:14" x14ac:dyDescent="0.3">
      <c r="C13459" s="54"/>
      <c r="N13459" s="33"/>
    </row>
    <row r="13460" spans="3:14" x14ac:dyDescent="0.3">
      <c r="C13460" s="54"/>
      <c r="N13460" s="33"/>
    </row>
    <row r="13461" spans="3:14" x14ac:dyDescent="0.3">
      <c r="C13461" s="54"/>
      <c r="N13461" s="33"/>
    </row>
    <row r="13462" spans="3:14" x14ac:dyDescent="0.3">
      <c r="C13462" s="54"/>
      <c r="N13462" s="33"/>
    </row>
    <row r="13463" spans="3:14" x14ac:dyDescent="0.3">
      <c r="C13463" s="54"/>
      <c r="N13463" s="33"/>
    </row>
    <row r="13464" spans="3:14" x14ac:dyDescent="0.3">
      <c r="C13464" s="54"/>
      <c r="N13464" s="33"/>
    </row>
    <row r="13465" spans="3:14" x14ac:dyDescent="0.3">
      <c r="C13465" s="54"/>
      <c r="N13465" s="33"/>
    </row>
    <row r="13466" spans="3:14" x14ac:dyDescent="0.3">
      <c r="C13466" s="54"/>
      <c r="N13466" s="33"/>
    </row>
    <row r="13467" spans="3:14" x14ac:dyDescent="0.3">
      <c r="C13467" s="54"/>
      <c r="N13467" s="33"/>
    </row>
    <row r="13468" spans="3:14" x14ac:dyDescent="0.3">
      <c r="C13468" s="54"/>
      <c r="N13468" s="33"/>
    </row>
    <row r="13469" spans="3:14" x14ac:dyDescent="0.3">
      <c r="C13469" s="54"/>
      <c r="N13469" s="33"/>
    </row>
    <row r="13470" spans="3:14" x14ac:dyDescent="0.3">
      <c r="C13470" s="54"/>
      <c r="N13470" s="33"/>
    </row>
    <row r="13471" spans="3:14" x14ac:dyDescent="0.3">
      <c r="C13471" s="54"/>
      <c r="N13471" s="33"/>
    </row>
    <row r="13472" spans="3:14" x14ac:dyDescent="0.3">
      <c r="C13472" s="54"/>
      <c r="N13472" s="33"/>
    </row>
    <row r="13473" spans="3:14" x14ac:dyDescent="0.3">
      <c r="C13473" s="54"/>
      <c r="N13473" s="33"/>
    </row>
    <row r="13474" spans="3:14" x14ac:dyDescent="0.3">
      <c r="C13474" s="54"/>
      <c r="N13474" s="33"/>
    </row>
    <row r="13475" spans="3:14" x14ac:dyDescent="0.3">
      <c r="C13475" s="54"/>
      <c r="N13475" s="33"/>
    </row>
    <row r="13476" spans="3:14" x14ac:dyDescent="0.3">
      <c r="C13476" s="54"/>
      <c r="N13476" s="33"/>
    </row>
    <row r="13477" spans="3:14" x14ac:dyDescent="0.3">
      <c r="C13477" s="54"/>
      <c r="N13477" s="33"/>
    </row>
    <row r="13478" spans="3:14" x14ac:dyDescent="0.3">
      <c r="C13478" s="54"/>
      <c r="N13478" s="33"/>
    </row>
    <row r="13479" spans="3:14" x14ac:dyDescent="0.3">
      <c r="C13479" s="54"/>
      <c r="N13479" s="33"/>
    </row>
    <row r="13480" spans="3:14" x14ac:dyDescent="0.3">
      <c r="C13480" s="54"/>
      <c r="N13480" s="33"/>
    </row>
    <row r="13481" spans="3:14" x14ac:dyDescent="0.3">
      <c r="C13481" s="54"/>
      <c r="N13481" s="33"/>
    </row>
    <row r="13482" spans="3:14" x14ac:dyDescent="0.3">
      <c r="C13482" s="54"/>
      <c r="N13482" s="33"/>
    </row>
    <row r="13483" spans="3:14" x14ac:dyDescent="0.3">
      <c r="C13483" s="54"/>
      <c r="N13483" s="33"/>
    </row>
    <row r="13484" spans="3:14" x14ac:dyDescent="0.3">
      <c r="C13484" s="54"/>
      <c r="N13484" s="33"/>
    </row>
    <row r="13485" spans="3:14" x14ac:dyDescent="0.3">
      <c r="C13485" s="54"/>
      <c r="N13485" s="33"/>
    </row>
    <row r="13486" spans="3:14" x14ac:dyDescent="0.3">
      <c r="C13486" s="54"/>
      <c r="N13486" s="33"/>
    </row>
    <row r="13487" spans="3:14" x14ac:dyDescent="0.3">
      <c r="C13487" s="54"/>
      <c r="N13487" s="33"/>
    </row>
    <row r="13488" spans="3:14" x14ac:dyDescent="0.3">
      <c r="C13488" s="54"/>
      <c r="N13488" s="33"/>
    </row>
    <row r="13489" spans="3:14" x14ac:dyDescent="0.3">
      <c r="C13489" s="54"/>
      <c r="N13489" s="33"/>
    </row>
    <row r="13490" spans="3:14" x14ac:dyDescent="0.3">
      <c r="C13490" s="54"/>
      <c r="N13490" s="33"/>
    </row>
    <row r="13491" spans="3:14" x14ac:dyDescent="0.3">
      <c r="C13491" s="54"/>
      <c r="N13491" s="33"/>
    </row>
    <row r="13492" spans="3:14" x14ac:dyDescent="0.3">
      <c r="C13492" s="54"/>
      <c r="N13492" s="33"/>
    </row>
    <row r="13493" spans="3:14" x14ac:dyDescent="0.3">
      <c r="C13493" s="54"/>
      <c r="N13493" s="33"/>
    </row>
    <row r="13494" spans="3:14" x14ac:dyDescent="0.3">
      <c r="C13494" s="54"/>
      <c r="N13494" s="33"/>
    </row>
    <row r="13495" spans="3:14" x14ac:dyDescent="0.3">
      <c r="C13495" s="54"/>
      <c r="N13495" s="33"/>
    </row>
    <row r="13496" spans="3:14" x14ac:dyDescent="0.3">
      <c r="C13496" s="54"/>
      <c r="N13496" s="33"/>
    </row>
    <row r="13497" spans="3:14" x14ac:dyDescent="0.3">
      <c r="C13497" s="54"/>
      <c r="N13497" s="33"/>
    </row>
    <row r="13498" spans="3:14" x14ac:dyDescent="0.3">
      <c r="C13498" s="54"/>
      <c r="N13498" s="33"/>
    </row>
    <row r="13499" spans="3:14" x14ac:dyDescent="0.3">
      <c r="C13499" s="54"/>
      <c r="N13499" s="33"/>
    </row>
    <row r="13500" spans="3:14" x14ac:dyDescent="0.3">
      <c r="C13500" s="54"/>
      <c r="N13500" s="33"/>
    </row>
    <row r="13501" spans="3:14" x14ac:dyDescent="0.3">
      <c r="C13501" s="54"/>
      <c r="N13501" s="33"/>
    </row>
    <row r="13502" spans="3:14" x14ac:dyDescent="0.3">
      <c r="C13502" s="54"/>
      <c r="N13502" s="33"/>
    </row>
    <row r="13503" spans="3:14" x14ac:dyDescent="0.3">
      <c r="C13503" s="54"/>
      <c r="N13503" s="33"/>
    </row>
    <row r="13504" spans="3:14" x14ac:dyDescent="0.3">
      <c r="C13504" s="54"/>
      <c r="N13504" s="33"/>
    </row>
    <row r="13505" spans="3:14" x14ac:dyDescent="0.3">
      <c r="C13505" s="54"/>
      <c r="N13505" s="33"/>
    </row>
    <row r="13506" spans="3:14" x14ac:dyDescent="0.3">
      <c r="C13506" s="54"/>
      <c r="N13506" s="33"/>
    </row>
    <row r="13507" spans="3:14" x14ac:dyDescent="0.3">
      <c r="C13507" s="54"/>
      <c r="N13507" s="33"/>
    </row>
    <row r="13508" spans="3:14" x14ac:dyDescent="0.3">
      <c r="C13508" s="54"/>
      <c r="N13508" s="33"/>
    </row>
    <row r="13509" spans="3:14" x14ac:dyDescent="0.3">
      <c r="C13509" s="54"/>
      <c r="N13509" s="33"/>
    </row>
    <row r="13510" spans="3:14" x14ac:dyDescent="0.3">
      <c r="C13510" s="54"/>
      <c r="N13510" s="33"/>
    </row>
    <row r="13511" spans="3:14" x14ac:dyDescent="0.3">
      <c r="C13511" s="54"/>
      <c r="N13511" s="33"/>
    </row>
    <row r="13512" spans="3:14" x14ac:dyDescent="0.3">
      <c r="C13512" s="54"/>
      <c r="N13512" s="33"/>
    </row>
    <row r="13513" spans="3:14" x14ac:dyDescent="0.3">
      <c r="C13513" s="54"/>
      <c r="N13513" s="33"/>
    </row>
    <row r="13514" spans="3:14" x14ac:dyDescent="0.3">
      <c r="C13514" s="54"/>
      <c r="N13514" s="33"/>
    </row>
    <row r="13515" spans="3:14" x14ac:dyDescent="0.3">
      <c r="C13515" s="54"/>
      <c r="N13515" s="33"/>
    </row>
    <row r="13516" spans="3:14" x14ac:dyDescent="0.3">
      <c r="C13516" s="54"/>
      <c r="N13516" s="33"/>
    </row>
    <row r="13517" spans="3:14" x14ac:dyDescent="0.3">
      <c r="C13517" s="54"/>
      <c r="N13517" s="33"/>
    </row>
    <row r="13518" spans="3:14" x14ac:dyDescent="0.3">
      <c r="C13518" s="54"/>
      <c r="N13518" s="33"/>
    </row>
    <row r="13519" spans="3:14" x14ac:dyDescent="0.3">
      <c r="C13519" s="54"/>
      <c r="N13519" s="33"/>
    </row>
    <row r="13520" spans="3:14" x14ac:dyDescent="0.3">
      <c r="C13520" s="54"/>
      <c r="N13520" s="33"/>
    </row>
    <row r="13521" spans="3:14" x14ac:dyDescent="0.3">
      <c r="C13521" s="54"/>
      <c r="N13521" s="33"/>
    </row>
    <row r="13522" spans="3:14" x14ac:dyDescent="0.3">
      <c r="C13522" s="54"/>
      <c r="N13522" s="33"/>
    </row>
    <row r="13523" spans="3:14" x14ac:dyDescent="0.3">
      <c r="C13523" s="54"/>
      <c r="N13523" s="33"/>
    </row>
    <row r="13524" spans="3:14" x14ac:dyDescent="0.3">
      <c r="C13524" s="54"/>
      <c r="N13524" s="33"/>
    </row>
    <row r="13525" spans="3:14" x14ac:dyDescent="0.3">
      <c r="C13525" s="54"/>
      <c r="N13525" s="33"/>
    </row>
    <row r="13526" spans="3:14" x14ac:dyDescent="0.3">
      <c r="C13526" s="54"/>
      <c r="N13526" s="33"/>
    </row>
    <row r="13527" spans="3:14" x14ac:dyDescent="0.3">
      <c r="C13527" s="54"/>
      <c r="N13527" s="33"/>
    </row>
    <row r="13528" spans="3:14" x14ac:dyDescent="0.3">
      <c r="C13528" s="54"/>
      <c r="N13528" s="33"/>
    </row>
    <row r="13529" spans="3:14" x14ac:dyDescent="0.3">
      <c r="C13529" s="54"/>
      <c r="N13529" s="33"/>
    </row>
    <row r="13530" spans="3:14" x14ac:dyDescent="0.3">
      <c r="C13530" s="54"/>
      <c r="N13530" s="33"/>
    </row>
    <row r="13531" spans="3:14" x14ac:dyDescent="0.3">
      <c r="C13531" s="54"/>
      <c r="N13531" s="33"/>
    </row>
    <row r="13532" spans="3:14" x14ac:dyDescent="0.3">
      <c r="C13532" s="54"/>
      <c r="N13532" s="33"/>
    </row>
    <row r="13533" spans="3:14" x14ac:dyDescent="0.3">
      <c r="C13533" s="54"/>
      <c r="N13533" s="33"/>
    </row>
    <row r="13534" spans="3:14" x14ac:dyDescent="0.3">
      <c r="C13534" s="54"/>
      <c r="N13534" s="33"/>
    </row>
    <row r="13535" spans="3:14" x14ac:dyDescent="0.3">
      <c r="C13535" s="54"/>
      <c r="N13535" s="33"/>
    </row>
    <row r="13536" spans="3:14" x14ac:dyDescent="0.3">
      <c r="C13536" s="54"/>
      <c r="N13536" s="33"/>
    </row>
    <row r="13537" spans="3:14" x14ac:dyDescent="0.3">
      <c r="C13537" s="54"/>
      <c r="N13537" s="33"/>
    </row>
    <row r="13538" spans="3:14" x14ac:dyDescent="0.3">
      <c r="C13538" s="54"/>
      <c r="N13538" s="33"/>
    </row>
    <row r="13539" spans="3:14" x14ac:dyDescent="0.3">
      <c r="C13539" s="54"/>
      <c r="N13539" s="33"/>
    </row>
    <row r="13540" spans="3:14" x14ac:dyDescent="0.3">
      <c r="C13540" s="54"/>
      <c r="N13540" s="33"/>
    </row>
    <row r="13541" spans="3:14" x14ac:dyDescent="0.3">
      <c r="C13541" s="54"/>
      <c r="N13541" s="33"/>
    </row>
    <row r="13542" spans="3:14" x14ac:dyDescent="0.3">
      <c r="C13542" s="54"/>
      <c r="N13542" s="33"/>
    </row>
    <row r="13543" spans="3:14" x14ac:dyDescent="0.3">
      <c r="C13543" s="54"/>
      <c r="N13543" s="33"/>
    </row>
    <row r="13544" spans="3:14" x14ac:dyDescent="0.3">
      <c r="C13544" s="54"/>
      <c r="N13544" s="33"/>
    </row>
    <row r="13545" spans="3:14" x14ac:dyDescent="0.3">
      <c r="C13545" s="54"/>
      <c r="N13545" s="33"/>
    </row>
    <row r="13546" spans="3:14" x14ac:dyDescent="0.3">
      <c r="C13546" s="54"/>
      <c r="N13546" s="33"/>
    </row>
    <row r="13547" spans="3:14" x14ac:dyDescent="0.3">
      <c r="C13547" s="54"/>
      <c r="N13547" s="33"/>
    </row>
    <row r="13548" spans="3:14" x14ac:dyDescent="0.3">
      <c r="C13548" s="54"/>
      <c r="N13548" s="33"/>
    </row>
    <row r="13549" spans="3:14" x14ac:dyDescent="0.3">
      <c r="C13549" s="54"/>
      <c r="N13549" s="33"/>
    </row>
    <row r="13550" spans="3:14" x14ac:dyDescent="0.3">
      <c r="C13550" s="54"/>
      <c r="N13550" s="33"/>
    </row>
    <row r="13551" spans="3:14" x14ac:dyDescent="0.3">
      <c r="C13551" s="54"/>
      <c r="N13551" s="33"/>
    </row>
    <row r="13552" spans="3:14" x14ac:dyDescent="0.3">
      <c r="C13552" s="54"/>
      <c r="N13552" s="33"/>
    </row>
    <row r="13553" spans="3:14" x14ac:dyDescent="0.3">
      <c r="C13553" s="54"/>
      <c r="N13553" s="33"/>
    </row>
    <row r="13554" spans="3:14" x14ac:dyDescent="0.3">
      <c r="C13554" s="54"/>
      <c r="N13554" s="33"/>
    </row>
    <row r="13555" spans="3:14" x14ac:dyDescent="0.3">
      <c r="C13555" s="54"/>
      <c r="N13555" s="33"/>
    </row>
    <row r="13556" spans="3:14" x14ac:dyDescent="0.3">
      <c r="C13556" s="54"/>
      <c r="N13556" s="33"/>
    </row>
    <row r="13557" spans="3:14" x14ac:dyDescent="0.3">
      <c r="C13557" s="54"/>
      <c r="N13557" s="33"/>
    </row>
    <row r="13558" spans="3:14" x14ac:dyDescent="0.3">
      <c r="C13558" s="54"/>
      <c r="N13558" s="33"/>
    </row>
    <row r="13559" spans="3:14" x14ac:dyDescent="0.3">
      <c r="C13559" s="54"/>
      <c r="N13559" s="33"/>
    </row>
    <row r="13560" spans="3:14" x14ac:dyDescent="0.3">
      <c r="C13560" s="54"/>
      <c r="N13560" s="33"/>
    </row>
    <row r="13561" spans="3:14" x14ac:dyDescent="0.3">
      <c r="C13561" s="54"/>
      <c r="N13561" s="33"/>
    </row>
    <row r="13562" spans="3:14" x14ac:dyDescent="0.3">
      <c r="C13562" s="54"/>
      <c r="N13562" s="33"/>
    </row>
    <row r="13563" spans="3:14" x14ac:dyDescent="0.3">
      <c r="C13563" s="54"/>
      <c r="N13563" s="33"/>
    </row>
    <row r="13564" spans="3:14" x14ac:dyDescent="0.3">
      <c r="C13564" s="54"/>
      <c r="N13564" s="33"/>
    </row>
    <row r="13565" spans="3:14" x14ac:dyDescent="0.3">
      <c r="C13565" s="54"/>
      <c r="N13565" s="33"/>
    </row>
    <row r="13566" spans="3:14" x14ac:dyDescent="0.3">
      <c r="C13566" s="54"/>
      <c r="N13566" s="33"/>
    </row>
    <row r="13567" spans="3:14" x14ac:dyDescent="0.3">
      <c r="C13567" s="54"/>
      <c r="N13567" s="33"/>
    </row>
    <row r="13568" spans="3:14" x14ac:dyDescent="0.3">
      <c r="C13568" s="54"/>
      <c r="N13568" s="33"/>
    </row>
    <row r="13569" spans="3:14" x14ac:dyDescent="0.3">
      <c r="C13569" s="54"/>
      <c r="N13569" s="33"/>
    </row>
    <row r="13570" spans="3:14" x14ac:dyDescent="0.3">
      <c r="C13570" s="54"/>
      <c r="N13570" s="33"/>
    </row>
    <row r="13571" spans="3:14" x14ac:dyDescent="0.3">
      <c r="C13571" s="54"/>
      <c r="N13571" s="33"/>
    </row>
    <row r="13572" spans="3:14" x14ac:dyDescent="0.3">
      <c r="C13572" s="54"/>
      <c r="N13572" s="33"/>
    </row>
    <row r="13573" spans="3:14" x14ac:dyDescent="0.3">
      <c r="C13573" s="54"/>
      <c r="N13573" s="33"/>
    </row>
    <row r="13574" spans="3:14" x14ac:dyDescent="0.3">
      <c r="C13574" s="54"/>
      <c r="N13574" s="33"/>
    </row>
    <row r="13575" spans="3:14" x14ac:dyDescent="0.3">
      <c r="C13575" s="54"/>
      <c r="N13575" s="33"/>
    </row>
    <row r="13576" spans="3:14" x14ac:dyDescent="0.3">
      <c r="C13576" s="54"/>
      <c r="N13576" s="33"/>
    </row>
    <row r="13577" spans="3:14" x14ac:dyDescent="0.3">
      <c r="C13577" s="54"/>
      <c r="N13577" s="33"/>
    </row>
    <row r="13578" spans="3:14" x14ac:dyDescent="0.3">
      <c r="C13578" s="54"/>
      <c r="N13578" s="33"/>
    </row>
    <row r="13579" spans="3:14" x14ac:dyDescent="0.3">
      <c r="C13579" s="54"/>
      <c r="N13579" s="33"/>
    </row>
    <row r="13580" spans="3:14" x14ac:dyDescent="0.3">
      <c r="C13580" s="54"/>
      <c r="N13580" s="33"/>
    </row>
    <row r="13581" spans="3:14" x14ac:dyDescent="0.3">
      <c r="C13581" s="54"/>
      <c r="N13581" s="33"/>
    </row>
    <row r="13582" spans="3:14" x14ac:dyDescent="0.3">
      <c r="C13582" s="54"/>
      <c r="N13582" s="33"/>
    </row>
    <row r="13583" spans="3:14" x14ac:dyDescent="0.3">
      <c r="C13583" s="54"/>
      <c r="N13583" s="33"/>
    </row>
    <row r="13584" spans="3:14" x14ac:dyDescent="0.3">
      <c r="C13584" s="54"/>
      <c r="N13584" s="33"/>
    </row>
    <row r="13585" spans="3:14" x14ac:dyDescent="0.3">
      <c r="C13585" s="54"/>
      <c r="N13585" s="33"/>
    </row>
    <row r="13586" spans="3:14" x14ac:dyDescent="0.3">
      <c r="C13586" s="54"/>
      <c r="N13586" s="33"/>
    </row>
    <row r="13587" spans="3:14" x14ac:dyDescent="0.3">
      <c r="C13587" s="54"/>
      <c r="N13587" s="33"/>
    </row>
    <row r="13588" spans="3:14" x14ac:dyDescent="0.3">
      <c r="C13588" s="54"/>
      <c r="N13588" s="33"/>
    </row>
    <row r="13589" spans="3:14" x14ac:dyDescent="0.3">
      <c r="C13589" s="54"/>
      <c r="N13589" s="33"/>
    </row>
    <row r="13590" spans="3:14" x14ac:dyDescent="0.3">
      <c r="C13590" s="54"/>
      <c r="N13590" s="33"/>
    </row>
    <row r="13591" spans="3:14" x14ac:dyDescent="0.3">
      <c r="C13591" s="54"/>
      <c r="N13591" s="33"/>
    </row>
    <row r="13592" spans="3:14" x14ac:dyDescent="0.3">
      <c r="C13592" s="54"/>
      <c r="N13592" s="33"/>
    </row>
    <row r="13593" spans="3:14" x14ac:dyDescent="0.3">
      <c r="C13593" s="54"/>
      <c r="N13593" s="33"/>
    </row>
    <row r="13594" spans="3:14" x14ac:dyDescent="0.3">
      <c r="C13594" s="54"/>
      <c r="N13594" s="33"/>
    </row>
    <row r="13595" spans="3:14" x14ac:dyDescent="0.3">
      <c r="C13595" s="54"/>
      <c r="N13595" s="33"/>
    </row>
    <row r="13596" spans="3:14" x14ac:dyDescent="0.3">
      <c r="C13596" s="54"/>
      <c r="N13596" s="33"/>
    </row>
    <row r="13597" spans="3:14" x14ac:dyDescent="0.3">
      <c r="C13597" s="54"/>
      <c r="N13597" s="33"/>
    </row>
    <row r="13598" spans="3:14" x14ac:dyDescent="0.3">
      <c r="C13598" s="54"/>
      <c r="N13598" s="33"/>
    </row>
    <row r="13599" spans="3:14" x14ac:dyDescent="0.3">
      <c r="C13599" s="54"/>
      <c r="N13599" s="33"/>
    </row>
    <row r="13600" spans="3:14" x14ac:dyDescent="0.3">
      <c r="C13600" s="54"/>
      <c r="N13600" s="33"/>
    </row>
    <row r="13601" spans="3:14" x14ac:dyDescent="0.3">
      <c r="C13601" s="54"/>
      <c r="N13601" s="33"/>
    </row>
    <row r="13602" spans="3:14" x14ac:dyDescent="0.3">
      <c r="C13602" s="54"/>
      <c r="N13602" s="33"/>
    </row>
    <row r="13603" spans="3:14" x14ac:dyDescent="0.3">
      <c r="C13603" s="54"/>
      <c r="N13603" s="33"/>
    </row>
    <row r="13604" spans="3:14" x14ac:dyDescent="0.3">
      <c r="C13604" s="54"/>
      <c r="N13604" s="33"/>
    </row>
    <row r="13605" spans="3:14" x14ac:dyDescent="0.3">
      <c r="C13605" s="54"/>
      <c r="N13605" s="33"/>
    </row>
    <row r="13606" spans="3:14" x14ac:dyDescent="0.3">
      <c r="C13606" s="54"/>
      <c r="N13606" s="33"/>
    </row>
    <row r="13607" spans="3:14" x14ac:dyDescent="0.3">
      <c r="C13607" s="54"/>
      <c r="N13607" s="33"/>
    </row>
    <row r="13608" spans="3:14" x14ac:dyDescent="0.3">
      <c r="C13608" s="54"/>
      <c r="N13608" s="33"/>
    </row>
    <row r="13609" spans="3:14" x14ac:dyDescent="0.3">
      <c r="C13609" s="54"/>
      <c r="N13609" s="33"/>
    </row>
    <row r="13610" spans="3:14" x14ac:dyDescent="0.3">
      <c r="C13610" s="54"/>
      <c r="N13610" s="33"/>
    </row>
    <row r="13611" spans="3:14" x14ac:dyDescent="0.3">
      <c r="C13611" s="54"/>
      <c r="N13611" s="33"/>
    </row>
    <row r="13612" spans="3:14" x14ac:dyDescent="0.3">
      <c r="C13612" s="54"/>
      <c r="N13612" s="33"/>
    </row>
    <row r="13613" spans="3:14" x14ac:dyDescent="0.3">
      <c r="C13613" s="54"/>
      <c r="N13613" s="33"/>
    </row>
    <row r="13614" spans="3:14" x14ac:dyDescent="0.3">
      <c r="C13614" s="54"/>
      <c r="N13614" s="33"/>
    </row>
    <row r="13615" spans="3:14" x14ac:dyDescent="0.3">
      <c r="C13615" s="54"/>
      <c r="N13615" s="33"/>
    </row>
    <row r="13616" spans="3:14" x14ac:dyDescent="0.3">
      <c r="C13616" s="54"/>
      <c r="N13616" s="33"/>
    </row>
    <row r="13617" spans="3:14" x14ac:dyDescent="0.3">
      <c r="C13617" s="54"/>
      <c r="N13617" s="33"/>
    </row>
    <row r="13618" spans="3:14" x14ac:dyDescent="0.3">
      <c r="C13618" s="54"/>
      <c r="N13618" s="33"/>
    </row>
    <row r="13619" spans="3:14" x14ac:dyDescent="0.3">
      <c r="C13619" s="54"/>
      <c r="N13619" s="33"/>
    </row>
    <row r="13620" spans="3:14" x14ac:dyDescent="0.3">
      <c r="C13620" s="54"/>
      <c r="N13620" s="33"/>
    </row>
    <row r="13621" spans="3:14" x14ac:dyDescent="0.3">
      <c r="C13621" s="54"/>
      <c r="N13621" s="33"/>
    </row>
    <row r="13622" spans="3:14" x14ac:dyDescent="0.3">
      <c r="C13622" s="54"/>
      <c r="N13622" s="33"/>
    </row>
    <row r="13623" spans="3:14" x14ac:dyDescent="0.3">
      <c r="C13623" s="54"/>
      <c r="N13623" s="33"/>
    </row>
    <row r="13624" spans="3:14" x14ac:dyDescent="0.3">
      <c r="C13624" s="54"/>
      <c r="N13624" s="33"/>
    </row>
    <row r="13625" spans="3:14" x14ac:dyDescent="0.3">
      <c r="C13625" s="54"/>
      <c r="N13625" s="33"/>
    </row>
    <row r="13626" spans="3:14" x14ac:dyDescent="0.3">
      <c r="C13626" s="54"/>
      <c r="N13626" s="33"/>
    </row>
    <row r="13627" spans="3:14" x14ac:dyDescent="0.3">
      <c r="C13627" s="54"/>
      <c r="N13627" s="33"/>
    </row>
    <row r="13628" spans="3:14" x14ac:dyDescent="0.3">
      <c r="C13628" s="54"/>
      <c r="N13628" s="33"/>
    </row>
    <row r="13629" spans="3:14" x14ac:dyDescent="0.3">
      <c r="C13629" s="54"/>
      <c r="N13629" s="33"/>
    </row>
    <row r="13630" spans="3:14" x14ac:dyDescent="0.3">
      <c r="C13630" s="54"/>
      <c r="N13630" s="33"/>
    </row>
    <row r="13631" spans="3:14" x14ac:dyDescent="0.3">
      <c r="C13631" s="54"/>
      <c r="N13631" s="33"/>
    </row>
    <row r="13632" spans="3:14" x14ac:dyDescent="0.3">
      <c r="C13632" s="54"/>
      <c r="N13632" s="33"/>
    </row>
    <row r="13633" spans="3:14" x14ac:dyDescent="0.3">
      <c r="C13633" s="54"/>
      <c r="N13633" s="33"/>
    </row>
    <row r="13634" spans="3:14" x14ac:dyDescent="0.3">
      <c r="C13634" s="54"/>
      <c r="N13634" s="33"/>
    </row>
    <row r="13635" spans="3:14" x14ac:dyDescent="0.3">
      <c r="C13635" s="54"/>
      <c r="N13635" s="33"/>
    </row>
    <row r="13636" spans="3:14" x14ac:dyDescent="0.3">
      <c r="C13636" s="54"/>
      <c r="N13636" s="33"/>
    </row>
    <row r="13637" spans="3:14" x14ac:dyDescent="0.3">
      <c r="C13637" s="54"/>
      <c r="N13637" s="33"/>
    </row>
    <row r="13638" spans="3:14" x14ac:dyDescent="0.3">
      <c r="C13638" s="54"/>
      <c r="N13638" s="33"/>
    </row>
    <row r="13639" spans="3:14" x14ac:dyDescent="0.3">
      <c r="C13639" s="54"/>
      <c r="N13639" s="33"/>
    </row>
    <row r="13640" spans="3:14" x14ac:dyDescent="0.3">
      <c r="C13640" s="54"/>
      <c r="N13640" s="33"/>
    </row>
    <row r="13641" spans="3:14" x14ac:dyDescent="0.3">
      <c r="C13641" s="54"/>
      <c r="N13641" s="33"/>
    </row>
    <row r="13642" spans="3:14" x14ac:dyDescent="0.3">
      <c r="C13642" s="54"/>
      <c r="N13642" s="33"/>
    </row>
    <row r="13643" spans="3:14" x14ac:dyDescent="0.3">
      <c r="C13643" s="54"/>
      <c r="N13643" s="33"/>
    </row>
    <row r="13644" spans="3:14" x14ac:dyDescent="0.3">
      <c r="C13644" s="54"/>
      <c r="N13644" s="33"/>
    </row>
    <row r="13645" spans="3:14" x14ac:dyDescent="0.3">
      <c r="C13645" s="54"/>
      <c r="N13645" s="33"/>
    </row>
    <row r="13646" spans="3:14" x14ac:dyDescent="0.3">
      <c r="C13646" s="54"/>
      <c r="N13646" s="33"/>
    </row>
    <row r="13647" spans="3:14" x14ac:dyDescent="0.3">
      <c r="C13647" s="54"/>
      <c r="N13647" s="33"/>
    </row>
    <row r="13648" spans="3:14" x14ac:dyDescent="0.3">
      <c r="C13648" s="54"/>
      <c r="N13648" s="33"/>
    </row>
    <row r="13649" spans="3:14" x14ac:dyDescent="0.3">
      <c r="C13649" s="54"/>
      <c r="N13649" s="33"/>
    </row>
    <row r="13650" spans="3:14" x14ac:dyDescent="0.3">
      <c r="C13650" s="54"/>
      <c r="N13650" s="33"/>
    </row>
    <row r="13651" spans="3:14" x14ac:dyDescent="0.3">
      <c r="C13651" s="54"/>
      <c r="N13651" s="33"/>
    </row>
    <row r="13652" spans="3:14" x14ac:dyDescent="0.3">
      <c r="C13652" s="54"/>
      <c r="N13652" s="33"/>
    </row>
    <row r="13653" spans="3:14" x14ac:dyDescent="0.3">
      <c r="C13653" s="54"/>
      <c r="N13653" s="33"/>
    </row>
    <row r="13654" spans="3:14" x14ac:dyDescent="0.3">
      <c r="C13654" s="54"/>
      <c r="N13654" s="33"/>
    </row>
    <row r="13655" spans="3:14" x14ac:dyDescent="0.3">
      <c r="C13655" s="54"/>
      <c r="N13655" s="33"/>
    </row>
    <row r="13656" spans="3:14" x14ac:dyDescent="0.3">
      <c r="C13656" s="54"/>
      <c r="N13656" s="33"/>
    </row>
    <row r="13657" spans="3:14" x14ac:dyDescent="0.3">
      <c r="C13657" s="54"/>
      <c r="N13657" s="33"/>
    </row>
    <row r="13658" spans="3:14" x14ac:dyDescent="0.3">
      <c r="C13658" s="54"/>
      <c r="N13658" s="33"/>
    </row>
    <row r="13659" spans="3:14" x14ac:dyDescent="0.3">
      <c r="C13659" s="54"/>
      <c r="N13659" s="33"/>
    </row>
    <row r="13660" spans="3:14" x14ac:dyDescent="0.3">
      <c r="C13660" s="54"/>
      <c r="N13660" s="33"/>
    </row>
    <row r="13661" spans="3:14" x14ac:dyDescent="0.3">
      <c r="C13661" s="54"/>
      <c r="N13661" s="33"/>
    </row>
    <row r="13662" spans="3:14" x14ac:dyDescent="0.3">
      <c r="C13662" s="54"/>
      <c r="N13662" s="33"/>
    </row>
    <row r="13663" spans="3:14" x14ac:dyDescent="0.3">
      <c r="C13663" s="54"/>
      <c r="N13663" s="33"/>
    </row>
    <row r="13664" spans="3:14" x14ac:dyDescent="0.3">
      <c r="C13664" s="54"/>
      <c r="N13664" s="33"/>
    </row>
    <row r="13665" spans="3:14" x14ac:dyDescent="0.3">
      <c r="C13665" s="54"/>
      <c r="N13665" s="33"/>
    </row>
    <row r="13666" spans="3:14" x14ac:dyDescent="0.3">
      <c r="C13666" s="54"/>
      <c r="N13666" s="33"/>
    </row>
    <row r="13667" spans="3:14" x14ac:dyDescent="0.3">
      <c r="C13667" s="54"/>
      <c r="N13667" s="33"/>
    </row>
    <row r="13668" spans="3:14" x14ac:dyDescent="0.3">
      <c r="C13668" s="54"/>
      <c r="N13668" s="33"/>
    </row>
    <row r="13669" spans="3:14" x14ac:dyDescent="0.3">
      <c r="C13669" s="54"/>
      <c r="N13669" s="33"/>
    </row>
    <row r="13670" spans="3:14" x14ac:dyDescent="0.3">
      <c r="C13670" s="54"/>
      <c r="N13670" s="33"/>
    </row>
    <row r="13671" spans="3:14" x14ac:dyDescent="0.3">
      <c r="C13671" s="54"/>
      <c r="N13671" s="33"/>
    </row>
    <row r="13672" spans="3:14" x14ac:dyDescent="0.3">
      <c r="C13672" s="54"/>
      <c r="N13672" s="33"/>
    </row>
    <row r="13673" spans="3:14" x14ac:dyDescent="0.3">
      <c r="C13673" s="54"/>
      <c r="N13673" s="33"/>
    </row>
    <row r="13674" spans="3:14" x14ac:dyDescent="0.3">
      <c r="C13674" s="54"/>
      <c r="N13674" s="33"/>
    </row>
    <row r="13675" spans="3:14" x14ac:dyDescent="0.3">
      <c r="C13675" s="54"/>
      <c r="N13675" s="33"/>
    </row>
    <row r="13676" spans="3:14" x14ac:dyDescent="0.3">
      <c r="C13676" s="54"/>
      <c r="N13676" s="33"/>
    </row>
    <row r="13677" spans="3:14" x14ac:dyDescent="0.3">
      <c r="C13677" s="54"/>
      <c r="N13677" s="33"/>
    </row>
    <row r="13678" spans="3:14" x14ac:dyDescent="0.3">
      <c r="C13678" s="54"/>
      <c r="N13678" s="33"/>
    </row>
    <row r="13679" spans="3:14" x14ac:dyDescent="0.3">
      <c r="C13679" s="54"/>
      <c r="N13679" s="33"/>
    </row>
    <row r="13680" spans="3:14" x14ac:dyDescent="0.3">
      <c r="C13680" s="54"/>
      <c r="N13680" s="33"/>
    </row>
    <row r="13681" spans="3:14" x14ac:dyDescent="0.3">
      <c r="C13681" s="54"/>
      <c r="N13681" s="33"/>
    </row>
    <row r="13682" spans="3:14" x14ac:dyDescent="0.3">
      <c r="C13682" s="54"/>
      <c r="N13682" s="33"/>
    </row>
    <row r="13683" spans="3:14" x14ac:dyDescent="0.3">
      <c r="C13683" s="54"/>
      <c r="N13683" s="33"/>
    </row>
    <row r="13684" spans="3:14" x14ac:dyDescent="0.3">
      <c r="C13684" s="54"/>
      <c r="N13684" s="33"/>
    </row>
    <row r="13685" spans="3:14" x14ac:dyDescent="0.3">
      <c r="C13685" s="54"/>
      <c r="N13685" s="33"/>
    </row>
    <row r="13686" spans="3:14" x14ac:dyDescent="0.3">
      <c r="C13686" s="54"/>
      <c r="N13686" s="33"/>
    </row>
    <row r="13687" spans="3:14" x14ac:dyDescent="0.3">
      <c r="C13687" s="54"/>
      <c r="N13687" s="33"/>
    </row>
    <row r="13688" spans="3:14" x14ac:dyDescent="0.3">
      <c r="C13688" s="54"/>
      <c r="N13688" s="33"/>
    </row>
    <row r="13689" spans="3:14" x14ac:dyDescent="0.3">
      <c r="C13689" s="54"/>
      <c r="N13689" s="33"/>
    </row>
    <row r="13690" spans="3:14" x14ac:dyDescent="0.3">
      <c r="C13690" s="54"/>
      <c r="N13690" s="33"/>
    </row>
    <row r="13691" spans="3:14" x14ac:dyDescent="0.3">
      <c r="C13691" s="54"/>
      <c r="N13691" s="33"/>
    </row>
    <row r="13692" spans="3:14" x14ac:dyDescent="0.3">
      <c r="C13692" s="54"/>
      <c r="N13692" s="33"/>
    </row>
    <row r="13693" spans="3:14" x14ac:dyDescent="0.3">
      <c r="C13693" s="54"/>
      <c r="N13693" s="33"/>
    </row>
    <row r="13694" spans="3:14" x14ac:dyDescent="0.3">
      <c r="C13694" s="54"/>
      <c r="N13694" s="33"/>
    </row>
    <row r="13695" spans="3:14" x14ac:dyDescent="0.3">
      <c r="C13695" s="54"/>
      <c r="N13695" s="33"/>
    </row>
    <row r="13696" spans="3:14" x14ac:dyDescent="0.3">
      <c r="C13696" s="54"/>
      <c r="N13696" s="33"/>
    </row>
    <row r="13697" spans="3:14" x14ac:dyDescent="0.3">
      <c r="C13697" s="54"/>
      <c r="N13697" s="33"/>
    </row>
    <row r="13698" spans="3:14" x14ac:dyDescent="0.3">
      <c r="C13698" s="54"/>
      <c r="N13698" s="33"/>
    </row>
    <row r="13699" spans="3:14" x14ac:dyDescent="0.3">
      <c r="C13699" s="54"/>
      <c r="N13699" s="33"/>
    </row>
    <row r="13700" spans="3:14" x14ac:dyDescent="0.3">
      <c r="C13700" s="54"/>
      <c r="N13700" s="33"/>
    </row>
    <row r="13701" spans="3:14" x14ac:dyDescent="0.3">
      <c r="C13701" s="54"/>
      <c r="N13701" s="33"/>
    </row>
    <row r="13702" spans="3:14" x14ac:dyDescent="0.3">
      <c r="C13702" s="54"/>
      <c r="N13702" s="33"/>
    </row>
    <row r="13703" spans="3:14" x14ac:dyDescent="0.3">
      <c r="C13703" s="54"/>
      <c r="N13703" s="33"/>
    </row>
    <row r="13704" spans="3:14" x14ac:dyDescent="0.3">
      <c r="C13704" s="54"/>
      <c r="N13704" s="33"/>
    </row>
    <row r="13705" spans="3:14" x14ac:dyDescent="0.3">
      <c r="C13705" s="54"/>
      <c r="N13705" s="33"/>
    </row>
    <row r="13706" spans="3:14" x14ac:dyDescent="0.3">
      <c r="C13706" s="54"/>
      <c r="N13706" s="33"/>
    </row>
    <row r="13707" spans="3:14" x14ac:dyDescent="0.3">
      <c r="C13707" s="54"/>
      <c r="N13707" s="33"/>
    </row>
    <row r="13708" spans="3:14" x14ac:dyDescent="0.3">
      <c r="C13708" s="54"/>
      <c r="N13708" s="33"/>
    </row>
    <row r="13709" spans="3:14" x14ac:dyDescent="0.3">
      <c r="C13709" s="54"/>
      <c r="N13709" s="33"/>
    </row>
    <row r="13710" spans="3:14" x14ac:dyDescent="0.3">
      <c r="C13710" s="54"/>
      <c r="N13710" s="33"/>
    </row>
    <row r="13711" spans="3:14" x14ac:dyDescent="0.3">
      <c r="C13711" s="54"/>
      <c r="N13711" s="33"/>
    </row>
    <row r="13712" spans="3:14" x14ac:dyDescent="0.3">
      <c r="C13712" s="54"/>
      <c r="N13712" s="33"/>
    </row>
    <row r="13713" spans="3:14" x14ac:dyDescent="0.3">
      <c r="C13713" s="54"/>
      <c r="N13713" s="33"/>
    </row>
    <row r="13714" spans="3:14" x14ac:dyDescent="0.3">
      <c r="C13714" s="54"/>
      <c r="N13714" s="33"/>
    </row>
    <row r="13715" spans="3:14" x14ac:dyDescent="0.3">
      <c r="C13715" s="54"/>
      <c r="N13715" s="33"/>
    </row>
    <row r="13716" spans="3:14" x14ac:dyDescent="0.3">
      <c r="C13716" s="54"/>
      <c r="N13716" s="33"/>
    </row>
    <row r="13717" spans="3:14" x14ac:dyDescent="0.3">
      <c r="C13717" s="54"/>
      <c r="N13717" s="33"/>
    </row>
    <row r="13718" spans="3:14" x14ac:dyDescent="0.3">
      <c r="C13718" s="54"/>
      <c r="N13718" s="33"/>
    </row>
    <row r="13719" spans="3:14" x14ac:dyDescent="0.3">
      <c r="C13719" s="54"/>
      <c r="N13719" s="33"/>
    </row>
    <row r="13720" spans="3:14" x14ac:dyDescent="0.3">
      <c r="C13720" s="54"/>
      <c r="N13720" s="33"/>
    </row>
    <row r="13721" spans="3:14" x14ac:dyDescent="0.3">
      <c r="C13721" s="54"/>
      <c r="N13721" s="33"/>
    </row>
    <row r="13722" spans="3:14" x14ac:dyDescent="0.3">
      <c r="C13722" s="54"/>
      <c r="N13722" s="33"/>
    </row>
    <row r="13723" spans="3:14" x14ac:dyDescent="0.3">
      <c r="C13723" s="54"/>
      <c r="N13723" s="33"/>
    </row>
    <row r="13724" spans="3:14" x14ac:dyDescent="0.3">
      <c r="C13724" s="54"/>
      <c r="N13724" s="33"/>
    </row>
    <row r="13725" spans="3:14" x14ac:dyDescent="0.3">
      <c r="C13725" s="54"/>
      <c r="N13725" s="33"/>
    </row>
    <row r="13726" spans="3:14" x14ac:dyDescent="0.3">
      <c r="C13726" s="54"/>
      <c r="N13726" s="33"/>
    </row>
    <row r="13727" spans="3:14" x14ac:dyDescent="0.3">
      <c r="C13727" s="54"/>
      <c r="N13727" s="33"/>
    </row>
    <row r="13728" spans="3:14" x14ac:dyDescent="0.3">
      <c r="C13728" s="54"/>
      <c r="N13728" s="33"/>
    </row>
    <row r="13729" spans="3:14" x14ac:dyDescent="0.3">
      <c r="C13729" s="54"/>
      <c r="N13729" s="33"/>
    </row>
    <row r="13730" spans="3:14" x14ac:dyDescent="0.3">
      <c r="C13730" s="54"/>
      <c r="N13730" s="33"/>
    </row>
    <row r="13731" spans="3:14" x14ac:dyDescent="0.3">
      <c r="C13731" s="54"/>
      <c r="N13731" s="33"/>
    </row>
    <row r="13732" spans="3:14" x14ac:dyDescent="0.3">
      <c r="C13732" s="54"/>
      <c r="N13732" s="33"/>
    </row>
    <row r="13733" spans="3:14" x14ac:dyDescent="0.3">
      <c r="C13733" s="54"/>
      <c r="N13733" s="33"/>
    </row>
    <row r="13734" spans="3:14" x14ac:dyDescent="0.3">
      <c r="C13734" s="54"/>
      <c r="N13734" s="33"/>
    </row>
    <row r="13735" spans="3:14" x14ac:dyDescent="0.3">
      <c r="C13735" s="54"/>
      <c r="N13735" s="33"/>
    </row>
    <row r="13736" spans="3:14" x14ac:dyDescent="0.3">
      <c r="C13736" s="54"/>
      <c r="N13736" s="33"/>
    </row>
    <row r="13737" spans="3:14" x14ac:dyDescent="0.3">
      <c r="C13737" s="54"/>
      <c r="N13737" s="33"/>
    </row>
    <row r="13738" spans="3:14" x14ac:dyDescent="0.3">
      <c r="C13738" s="54"/>
      <c r="N13738" s="33"/>
    </row>
    <row r="13739" spans="3:14" x14ac:dyDescent="0.3">
      <c r="C13739" s="54"/>
      <c r="N13739" s="33"/>
    </row>
    <row r="13740" spans="3:14" x14ac:dyDescent="0.3">
      <c r="C13740" s="54"/>
      <c r="N13740" s="33"/>
    </row>
    <row r="13741" spans="3:14" x14ac:dyDescent="0.3">
      <c r="C13741" s="54"/>
      <c r="N13741" s="33"/>
    </row>
    <row r="13742" spans="3:14" x14ac:dyDescent="0.3">
      <c r="C13742" s="54"/>
      <c r="N13742" s="33"/>
    </row>
    <row r="13743" spans="3:14" x14ac:dyDescent="0.3">
      <c r="C13743" s="54"/>
      <c r="N13743" s="33"/>
    </row>
    <row r="13744" spans="3:14" x14ac:dyDescent="0.3">
      <c r="C13744" s="54"/>
      <c r="N13744" s="33"/>
    </row>
    <row r="13745" spans="3:14" x14ac:dyDescent="0.3">
      <c r="C13745" s="54"/>
      <c r="N13745" s="33"/>
    </row>
    <row r="13746" spans="3:14" x14ac:dyDescent="0.3">
      <c r="C13746" s="54"/>
      <c r="N13746" s="33"/>
    </row>
    <row r="13747" spans="3:14" x14ac:dyDescent="0.3">
      <c r="C13747" s="54"/>
      <c r="N13747" s="33"/>
    </row>
    <row r="13748" spans="3:14" x14ac:dyDescent="0.3">
      <c r="C13748" s="54"/>
      <c r="N13748" s="33"/>
    </row>
    <row r="13749" spans="3:14" x14ac:dyDescent="0.3">
      <c r="C13749" s="54"/>
      <c r="N13749" s="33"/>
    </row>
    <row r="13750" spans="3:14" x14ac:dyDescent="0.3">
      <c r="C13750" s="54"/>
      <c r="N13750" s="33"/>
    </row>
    <row r="13751" spans="3:14" x14ac:dyDescent="0.3">
      <c r="C13751" s="54"/>
      <c r="N13751" s="33"/>
    </row>
    <row r="13752" spans="3:14" x14ac:dyDescent="0.3">
      <c r="C13752" s="54"/>
      <c r="N13752" s="33"/>
    </row>
    <row r="13753" spans="3:14" x14ac:dyDescent="0.3">
      <c r="C13753" s="54"/>
      <c r="N13753" s="33"/>
    </row>
    <row r="13754" spans="3:14" x14ac:dyDescent="0.3">
      <c r="C13754" s="54"/>
      <c r="N13754" s="33"/>
    </row>
    <row r="13755" spans="3:14" x14ac:dyDescent="0.3">
      <c r="C13755" s="54"/>
      <c r="N13755" s="33"/>
    </row>
    <row r="13756" spans="3:14" x14ac:dyDescent="0.3">
      <c r="C13756" s="54"/>
      <c r="N13756" s="33"/>
    </row>
    <row r="13757" spans="3:14" x14ac:dyDescent="0.3">
      <c r="C13757" s="54"/>
      <c r="N13757" s="33"/>
    </row>
    <row r="13758" spans="3:14" x14ac:dyDescent="0.3">
      <c r="C13758" s="54"/>
      <c r="N13758" s="33"/>
    </row>
    <row r="13759" spans="3:14" x14ac:dyDescent="0.3">
      <c r="C13759" s="54"/>
      <c r="N13759" s="33"/>
    </row>
    <row r="13760" spans="3:14" x14ac:dyDescent="0.3">
      <c r="C13760" s="54"/>
      <c r="N13760" s="33"/>
    </row>
    <row r="13761" spans="3:14" x14ac:dyDescent="0.3">
      <c r="C13761" s="54"/>
      <c r="N13761" s="33"/>
    </row>
    <row r="13762" spans="3:14" x14ac:dyDescent="0.3">
      <c r="C13762" s="54"/>
      <c r="N13762" s="33"/>
    </row>
    <row r="13763" spans="3:14" x14ac:dyDescent="0.3">
      <c r="C13763" s="54"/>
      <c r="N13763" s="33"/>
    </row>
    <row r="13764" spans="3:14" x14ac:dyDescent="0.3">
      <c r="C13764" s="54"/>
      <c r="N13764" s="33"/>
    </row>
    <row r="13765" spans="3:14" x14ac:dyDescent="0.3">
      <c r="C13765" s="54"/>
      <c r="N13765" s="33"/>
    </row>
    <row r="13766" spans="3:14" x14ac:dyDescent="0.3">
      <c r="C13766" s="54"/>
      <c r="N13766" s="33"/>
    </row>
    <row r="13767" spans="3:14" x14ac:dyDescent="0.3">
      <c r="C13767" s="54"/>
      <c r="N13767" s="33"/>
    </row>
    <row r="13768" spans="3:14" x14ac:dyDescent="0.3">
      <c r="C13768" s="54"/>
      <c r="N13768" s="33"/>
    </row>
    <row r="13769" spans="3:14" x14ac:dyDescent="0.3">
      <c r="C13769" s="54"/>
      <c r="N13769" s="33"/>
    </row>
    <row r="13770" spans="3:14" x14ac:dyDescent="0.3">
      <c r="C13770" s="54"/>
      <c r="N13770" s="33"/>
    </row>
    <row r="13771" spans="3:14" x14ac:dyDescent="0.3">
      <c r="C13771" s="54"/>
      <c r="N13771" s="33"/>
    </row>
    <row r="13772" spans="3:14" x14ac:dyDescent="0.3">
      <c r="C13772" s="54"/>
      <c r="N13772" s="33"/>
    </row>
    <row r="13773" spans="3:14" x14ac:dyDescent="0.3">
      <c r="C13773" s="54"/>
      <c r="N13773" s="33"/>
    </row>
    <row r="13774" spans="3:14" x14ac:dyDescent="0.3">
      <c r="C13774" s="54"/>
      <c r="N13774" s="33"/>
    </row>
    <row r="13775" spans="3:14" x14ac:dyDescent="0.3">
      <c r="C13775" s="54"/>
      <c r="N13775" s="33"/>
    </row>
    <row r="13776" spans="3:14" x14ac:dyDescent="0.3">
      <c r="C13776" s="54"/>
      <c r="N13776" s="33"/>
    </row>
    <row r="13777" spans="3:14" x14ac:dyDescent="0.3">
      <c r="C13777" s="54"/>
      <c r="N13777" s="33"/>
    </row>
    <row r="13778" spans="3:14" x14ac:dyDescent="0.3">
      <c r="C13778" s="54"/>
      <c r="N13778" s="33"/>
    </row>
    <row r="13779" spans="3:14" x14ac:dyDescent="0.3">
      <c r="C13779" s="54"/>
      <c r="N13779" s="33"/>
    </row>
    <row r="13780" spans="3:14" x14ac:dyDescent="0.3">
      <c r="C13780" s="54"/>
      <c r="N13780" s="33"/>
    </row>
    <row r="13781" spans="3:14" x14ac:dyDescent="0.3">
      <c r="C13781" s="54"/>
      <c r="N13781" s="33"/>
    </row>
    <row r="13782" spans="3:14" x14ac:dyDescent="0.3">
      <c r="C13782" s="54"/>
      <c r="N13782" s="33"/>
    </row>
    <row r="13783" spans="3:14" x14ac:dyDescent="0.3">
      <c r="C13783" s="54"/>
      <c r="N13783" s="33"/>
    </row>
    <row r="13784" spans="3:14" x14ac:dyDescent="0.3">
      <c r="C13784" s="54"/>
      <c r="N13784" s="33"/>
    </row>
    <row r="13785" spans="3:14" x14ac:dyDescent="0.3">
      <c r="C13785" s="54"/>
      <c r="N13785" s="33"/>
    </row>
    <row r="13786" spans="3:14" x14ac:dyDescent="0.3">
      <c r="C13786" s="54"/>
      <c r="N13786" s="33"/>
    </row>
    <row r="13787" spans="3:14" x14ac:dyDescent="0.3">
      <c r="C13787" s="54"/>
      <c r="N13787" s="33"/>
    </row>
    <row r="13788" spans="3:14" x14ac:dyDescent="0.3">
      <c r="C13788" s="54"/>
      <c r="N13788" s="33"/>
    </row>
    <row r="13789" spans="3:14" x14ac:dyDescent="0.3">
      <c r="C13789" s="54"/>
      <c r="N13789" s="33"/>
    </row>
    <row r="13790" spans="3:14" x14ac:dyDescent="0.3">
      <c r="C13790" s="54"/>
      <c r="N13790" s="33"/>
    </row>
    <row r="13791" spans="3:14" x14ac:dyDescent="0.3">
      <c r="C13791" s="54"/>
      <c r="N13791" s="33"/>
    </row>
    <row r="13792" spans="3:14" x14ac:dyDescent="0.3">
      <c r="C13792" s="54"/>
      <c r="N13792" s="33"/>
    </row>
    <row r="13793" spans="3:14" x14ac:dyDescent="0.3">
      <c r="C13793" s="54"/>
      <c r="N13793" s="33"/>
    </row>
    <row r="13794" spans="3:14" x14ac:dyDescent="0.3">
      <c r="C13794" s="54"/>
      <c r="N13794" s="33"/>
    </row>
    <row r="13795" spans="3:14" x14ac:dyDescent="0.3">
      <c r="C13795" s="54"/>
      <c r="N13795" s="33"/>
    </row>
    <row r="13796" spans="3:14" x14ac:dyDescent="0.3">
      <c r="C13796" s="54"/>
      <c r="N13796" s="33"/>
    </row>
    <row r="13797" spans="3:14" x14ac:dyDescent="0.3">
      <c r="C13797" s="54"/>
      <c r="N13797" s="33"/>
    </row>
    <row r="13798" spans="3:14" x14ac:dyDescent="0.3">
      <c r="C13798" s="54"/>
      <c r="N13798" s="33"/>
    </row>
    <row r="13799" spans="3:14" x14ac:dyDescent="0.3">
      <c r="C13799" s="54"/>
      <c r="N13799" s="33"/>
    </row>
    <row r="13800" spans="3:14" x14ac:dyDescent="0.3">
      <c r="C13800" s="54"/>
      <c r="N13800" s="33"/>
    </row>
    <row r="13801" spans="3:14" x14ac:dyDescent="0.3">
      <c r="C13801" s="54"/>
      <c r="N13801" s="33"/>
    </row>
    <row r="13802" spans="3:14" x14ac:dyDescent="0.3">
      <c r="C13802" s="54"/>
      <c r="N13802" s="33"/>
    </row>
    <row r="13803" spans="3:14" x14ac:dyDescent="0.3">
      <c r="C13803" s="54"/>
      <c r="N13803" s="33"/>
    </row>
    <row r="13804" spans="3:14" x14ac:dyDescent="0.3">
      <c r="C13804" s="54"/>
      <c r="N13804" s="33"/>
    </row>
    <row r="13805" spans="3:14" x14ac:dyDescent="0.3">
      <c r="C13805" s="54"/>
      <c r="N13805" s="33"/>
    </row>
    <row r="13806" spans="3:14" x14ac:dyDescent="0.3">
      <c r="C13806" s="54"/>
      <c r="N13806" s="33"/>
    </row>
    <row r="13807" spans="3:14" x14ac:dyDescent="0.3">
      <c r="C13807" s="54"/>
      <c r="N13807" s="33"/>
    </row>
    <row r="13808" spans="3:14" x14ac:dyDescent="0.3">
      <c r="C13808" s="54"/>
      <c r="N13808" s="33"/>
    </row>
    <row r="13809" spans="3:14" x14ac:dyDescent="0.3">
      <c r="C13809" s="54"/>
      <c r="N13809" s="33"/>
    </row>
    <row r="13810" spans="3:14" x14ac:dyDescent="0.3">
      <c r="C13810" s="54"/>
      <c r="N13810" s="33"/>
    </row>
    <row r="13811" spans="3:14" x14ac:dyDescent="0.3">
      <c r="C13811" s="54"/>
      <c r="N13811" s="33"/>
    </row>
    <row r="13812" spans="3:14" x14ac:dyDescent="0.3">
      <c r="C13812" s="54"/>
      <c r="N13812" s="33"/>
    </row>
    <row r="13813" spans="3:14" x14ac:dyDescent="0.3">
      <c r="C13813" s="54"/>
      <c r="N13813" s="33"/>
    </row>
    <row r="13814" spans="3:14" x14ac:dyDescent="0.3">
      <c r="C13814" s="54"/>
      <c r="N13814" s="33"/>
    </row>
    <row r="13815" spans="3:14" x14ac:dyDescent="0.3">
      <c r="C13815" s="54"/>
      <c r="N13815" s="33"/>
    </row>
    <row r="13816" spans="3:14" x14ac:dyDescent="0.3">
      <c r="C13816" s="54"/>
      <c r="N13816" s="33"/>
    </row>
    <row r="13817" spans="3:14" x14ac:dyDescent="0.3">
      <c r="C13817" s="54"/>
      <c r="N13817" s="33"/>
    </row>
    <row r="13818" spans="3:14" x14ac:dyDescent="0.3">
      <c r="C13818" s="54"/>
      <c r="N13818" s="33"/>
    </row>
    <row r="13819" spans="3:14" x14ac:dyDescent="0.3">
      <c r="C13819" s="54"/>
      <c r="N13819" s="33"/>
    </row>
    <row r="13820" spans="3:14" x14ac:dyDescent="0.3">
      <c r="C13820" s="54"/>
      <c r="N13820" s="33"/>
    </row>
    <row r="13821" spans="3:14" x14ac:dyDescent="0.3">
      <c r="C13821" s="54"/>
      <c r="N13821" s="33"/>
    </row>
    <row r="13822" spans="3:14" x14ac:dyDescent="0.3">
      <c r="C13822" s="54"/>
      <c r="N13822" s="33"/>
    </row>
    <row r="13823" spans="3:14" x14ac:dyDescent="0.3">
      <c r="C13823" s="54"/>
      <c r="N13823" s="33"/>
    </row>
    <row r="13824" spans="3:14" x14ac:dyDescent="0.3">
      <c r="C13824" s="54"/>
      <c r="N13824" s="33"/>
    </row>
    <row r="13825" spans="3:14" x14ac:dyDescent="0.3">
      <c r="C13825" s="54"/>
      <c r="N13825" s="33"/>
    </row>
    <row r="13826" spans="3:14" x14ac:dyDescent="0.3">
      <c r="C13826" s="54"/>
      <c r="N13826" s="33"/>
    </row>
    <row r="13827" spans="3:14" x14ac:dyDescent="0.3">
      <c r="C13827" s="54"/>
      <c r="N13827" s="33"/>
    </row>
    <row r="13828" spans="3:14" x14ac:dyDescent="0.3">
      <c r="C13828" s="54"/>
      <c r="N13828" s="33"/>
    </row>
    <row r="13829" spans="3:14" x14ac:dyDescent="0.3">
      <c r="C13829" s="54"/>
      <c r="N13829" s="33"/>
    </row>
    <row r="13830" spans="3:14" x14ac:dyDescent="0.3">
      <c r="C13830" s="54"/>
      <c r="N13830" s="33"/>
    </row>
    <row r="13831" spans="3:14" x14ac:dyDescent="0.3">
      <c r="C13831" s="54"/>
      <c r="N13831" s="33"/>
    </row>
    <row r="13832" spans="3:14" x14ac:dyDescent="0.3">
      <c r="C13832" s="54"/>
      <c r="N13832" s="33"/>
    </row>
    <row r="13833" spans="3:14" x14ac:dyDescent="0.3">
      <c r="C13833" s="54"/>
      <c r="N13833" s="33"/>
    </row>
    <row r="13834" spans="3:14" x14ac:dyDescent="0.3">
      <c r="C13834" s="54"/>
      <c r="N13834" s="33"/>
    </row>
    <row r="13835" spans="3:14" x14ac:dyDescent="0.3">
      <c r="C13835" s="54"/>
      <c r="N13835" s="33"/>
    </row>
    <row r="13836" spans="3:14" x14ac:dyDescent="0.3">
      <c r="C13836" s="54"/>
      <c r="N13836" s="33"/>
    </row>
    <row r="13837" spans="3:14" x14ac:dyDescent="0.3">
      <c r="C13837" s="54"/>
      <c r="N13837" s="33"/>
    </row>
    <row r="13838" spans="3:14" x14ac:dyDescent="0.3">
      <c r="C13838" s="54"/>
      <c r="N13838" s="33"/>
    </row>
    <row r="13839" spans="3:14" x14ac:dyDescent="0.3">
      <c r="C13839" s="54"/>
      <c r="N13839" s="33"/>
    </row>
    <row r="13840" spans="3:14" x14ac:dyDescent="0.3">
      <c r="C13840" s="54"/>
      <c r="N13840" s="33"/>
    </row>
    <row r="13841" spans="3:14" x14ac:dyDescent="0.3">
      <c r="C13841" s="54"/>
      <c r="N13841" s="33"/>
    </row>
    <row r="13842" spans="3:14" x14ac:dyDescent="0.3">
      <c r="C13842" s="54"/>
      <c r="N13842" s="33"/>
    </row>
    <row r="13843" spans="3:14" x14ac:dyDescent="0.3">
      <c r="C13843" s="54"/>
      <c r="N13843" s="33"/>
    </row>
    <row r="13844" spans="3:14" x14ac:dyDescent="0.3">
      <c r="C13844" s="54"/>
      <c r="N13844" s="33"/>
    </row>
    <row r="13845" spans="3:14" x14ac:dyDescent="0.3">
      <c r="C13845" s="54"/>
      <c r="N13845" s="33"/>
    </row>
    <row r="13846" spans="3:14" x14ac:dyDescent="0.3">
      <c r="C13846" s="54"/>
      <c r="N13846" s="33"/>
    </row>
    <row r="13847" spans="3:14" x14ac:dyDescent="0.3">
      <c r="C13847" s="54"/>
      <c r="N13847" s="33"/>
    </row>
    <row r="13848" spans="3:14" x14ac:dyDescent="0.3">
      <c r="C13848" s="54"/>
      <c r="N13848" s="33"/>
    </row>
    <row r="13849" spans="3:14" x14ac:dyDescent="0.3">
      <c r="C13849" s="54"/>
      <c r="N13849" s="33"/>
    </row>
    <row r="13850" spans="3:14" x14ac:dyDescent="0.3">
      <c r="C13850" s="54"/>
      <c r="N13850" s="33"/>
    </row>
    <row r="13851" spans="3:14" x14ac:dyDescent="0.3">
      <c r="C13851" s="54"/>
      <c r="N13851" s="33"/>
    </row>
    <row r="13852" spans="3:14" x14ac:dyDescent="0.3">
      <c r="C13852" s="54"/>
      <c r="N13852" s="33"/>
    </row>
    <row r="13853" spans="3:14" x14ac:dyDescent="0.3">
      <c r="C13853" s="54"/>
      <c r="N13853" s="33"/>
    </row>
    <row r="13854" spans="3:14" x14ac:dyDescent="0.3">
      <c r="C13854" s="54"/>
      <c r="N13854" s="33"/>
    </row>
    <row r="13855" spans="3:14" x14ac:dyDescent="0.3">
      <c r="C13855" s="54"/>
      <c r="N13855" s="33"/>
    </row>
    <row r="13856" spans="3:14" x14ac:dyDescent="0.3">
      <c r="C13856" s="54"/>
      <c r="N13856" s="33"/>
    </row>
    <row r="13857" spans="3:14" x14ac:dyDescent="0.3">
      <c r="C13857" s="54"/>
      <c r="N13857" s="33"/>
    </row>
    <row r="13858" spans="3:14" x14ac:dyDescent="0.3">
      <c r="C13858" s="54"/>
      <c r="N13858" s="33"/>
    </row>
    <row r="13859" spans="3:14" x14ac:dyDescent="0.3">
      <c r="C13859" s="54"/>
      <c r="N13859" s="33"/>
    </row>
    <row r="13860" spans="3:14" x14ac:dyDescent="0.3">
      <c r="C13860" s="54"/>
      <c r="N13860" s="33"/>
    </row>
    <row r="13861" spans="3:14" x14ac:dyDescent="0.3">
      <c r="C13861" s="54"/>
      <c r="N13861" s="33"/>
    </row>
    <row r="13862" spans="3:14" x14ac:dyDescent="0.3">
      <c r="C13862" s="54"/>
      <c r="N13862" s="33"/>
    </row>
    <row r="13863" spans="3:14" x14ac:dyDescent="0.3">
      <c r="C13863" s="54"/>
      <c r="N13863" s="33"/>
    </row>
    <row r="13864" spans="3:14" x14ac:dyDescent="0.3">
      <c r="C13864" s="54"/>
      <c r="N13864" s="33"/>
    </row>
    <row r="13865" spans="3:14" x14ac:dyDescent="0.3">
      <c r="C13865" s="54"/>
      <c r="N13865" s="33"/>
    </row>
    <row r="13866" spans="3:14" x14ac:dyDescent="0.3">
      <c r="C13866" s="54"/>
      <c r="N13866" s="33"/>
    </row>
    <row r="13867" spans="3:14" x14ac:dyDescent="0.3">
      <c r="C13867" s="54"/>
      <c r="N13867" s="33"/>
    </row>
    <row r="13868" spans="3:14" x14ac:dyDescent="0.3">
      <c r="C13868" s="54"/>
      <c r="N13868" s="33"/>
    </row>
    <row r="13869" spans="3:14" x14ac:dyDescent="0.3">
      <c r="C13869" s="54"/>
      <c r="N13869" s="33"/>
    </row>
    <row r="13870" spans="3:14" x14ac:dyDescent="0.3">
      <c r="C13870" s="54"/>
      <c r="N13870" s="33"/>
    </row>
    <row r="13871" spans="3:14" x14ac:dyDescent="0.3">
      <c r="C13871" s="54"/>
      <c r="N13871" s="33"/>
    </row>
    <row r="13872" spans="3:14" x14ac:dyDescent="0.3">
      <c r="C13872" s="54"/>
      <c r="N13872" s="33"/>
    </row>
    <row r="13873" spans="3:14" x14ac:dyDescent="0.3">
      <c r="C13873" s="54"/>
      <c r="N13873" s="33"/>
    </row>
    <row r="13874" spans="3:14" x14ac:dyDescent="0.3">
      <c r="C13874" s="54"/>
      <c r="N13874" s="33"/>
    </row>
    <row r="13875" spans="3:14" x14ac:dyDescent="0.3">
      <c r="C13875" s="54"/>
      <c r="N13875" s="33"/>
    </row>
    <row r="13876" spans="3:14" x14ac:dyDescent="0.3">
      <c r="C13876" s="54"/>
      <c r="N13876" s="33"/>
    </row>
    <row r="13877" spans="3:14" x14ac:dyDescent="0.3">
      <c r="C13877" s="54"/>
      <c r="N13877" s="33"/>
    </row>
    <row r="13878" spans="3:14" x14ac:dyDescent="0.3">
      <c r="C13878" s="54"/>
      <c r="N13878" s="33"/>
    </row>
    <row r="13879" spans="3:14" x14ac:dyDescent="0.3">
      <c r="C13879" s="54"/>
      <c r="N13879" s="33"/>
    </row>
    <row r="13880" spans="3:14" x14ac:dyDescent="0.3">
      <c r="C13880" s="54"/>
      <c r="N13880" s="33"/>
    </row>
    <row r="13881" spans="3:14" x14ac:dyDescent="0.3">
      <c r="C13881" s="54"/>
      <c r="N13881" s="33"/>
    </row>
    <row r="13882" spans="3:14" x14ac:dyDescent="0.3">
      <c r="C13882" s="54"/>
      <c r="N13882" s="33"/>
    </row>
    <row r="13883" spans="3:14" x14ac:dyDescent="0.3">
      <c r="C13883" s="54"/>
      <c r="N13883" s="33"/>
    </row>
    <row r="13884" spans="3:14" x14ac:dyDescent="0.3">
      <c r="C13884" s="54"/>
      <c r="N13884" s="33"/>
    </row>
    <row r="13885" spans="3:14" x14ac:dyDescent="0.3">
      <c r="C13885" s="54"/>
      <c r="N13885" s="33"/>
    </row>
    <row r="13886" spans="3:14" x14ac:dyDescent="0.3">
      <c r="C13886" s="54"/>
      <c r="N13886" s="33"/>
    </row>
    <row r="13887" spans="3:14" x14ac:dyDescent="0.3">
      <c r="C13887" s="54"/>
      <c r="N13887" s="33"/>
    </row>
    <row r="13888" spans="3:14" x14ac:dyDescent="0.3">
      <c r="C13888" s="54"/>
      <c r="N13888" s="33"/>
    </row>
    <row r="13889" spans="3:14" x14ac:dyDescent="0.3">
      <c r="C13889" s="54"/>
      <c r="N13889" s="33"/>
    </row>
    <row r="13890" spans="3:14" x14ac:dyDescent="0.3">
      <c r="C13890" s="54"/>
      <c r="N13890" s="33"/>
    </row>
    <row r="13891" spans="3:14" x14ac:dyDescent="0.3">
      <c r="C13891" s="54"/>
      <c r="N13891" s="33"/>
    </row>
    <row r="13892" spans="3:14" x14ac:dyDescent="0.3">
      <c r="C13892" s="54"/>
      <c r="N13892" s="33"/>
    </row>
    <row r="13893" spans="3:14" x14ac:dyDescent="0.3">
      <c r="C13893" s="54"/>
      <c r="N13893" s="33"/>
    </row>
    <row r="13894" spans="3:14" x14ac:dyDescent="0.3">
      <c r="C13894" s="54"/>
      <c r="N13894" s="33"/>
    </row>
    <row r="13895" spans="3:14" x14ac:dyDescent="0.3">
      <c r="C13895" s="54"/>
      <c r="N13895" s="33"/>
    </row>
    <row r="13896" spans="3:14" x14ac:dyDescent="0.3">
      <c r="C13896" s="54"/>
      <c r="N13896" s="33"/>
    </row>
    <row r="13897" spans="3:14" x14ac:dyDescent="0.3">
      <c r="C13897" s="54"/>
      <c r="N13897" s="33"/>
    </row>
    <row r="13898" spans="3:14" x14ac:dyDescent="0.3">
      <c r="C13898" s="54"/>
      <c r="N13898" s="33"/>
    </row>
    <row r="13899" spans="3:14" x14ac:dyDescent="0.3">
      <c r="C13899" s="54"/>
      <c r="N13899" s="33"/>
    </row>
    <row r="13900" spans="3:14" x14ac:dyDescent="0.3">
      <c r="C13900" s="54"/>
      <c r="N13900" s="33"/>
    </row>
    <row r="13901" spans="3:14" x14ac:dyDescent="0.3">
      <c r="C13901" s="54"/>
      <c r="N13901" s="33"/>
    </row>
    <row r="13902" spans="3:14" x14ac:dyDescent="0.3">
      <c r="C13902" s="54"/>
      <c r="N13902" s="33"/>
    </row>
    <row r="13903" spans="3:14" x14ac:dyDescent="0.3">
      <c r="C13903" s="54"/>
      <c r="N13903" s="33"/>
    </row>
    <row r="13904" spans="3:14" x14ac:dyDescent="0.3">
      <c r="C13904" s="54"/>
      <c r="N13904" s="33"/>
    </row>
    <row r="13905" spans="3:14" x14ac:dyDescent="0.3">
      <c r="C13905" s="54"/>
      <c r="N13905" s="33"/>
    </row>
    <row r="13906" spans="3:14" x14ac:dyDescent="0.3">
      <c r="C13906" s="54"/>
      <c r="N13906" s="33"/>
    </row>
    <row r="13907" spans="3:14" x14ac:dyDescent="0.3">
      <c r="C13907" s="54"/>
      <c r="N13907" s="33"/>
    </row>
    <row r="13908" spans="3:14" x14ac:dyDescent="0.3">
      <c r="C13908" s="54"/>
      <c r="N13908" s="33"/>
    </row>
    <row r="13909" spans="3:14" x14ac:dyDescent="0.3">
      <c r="C13909" s="54"/>
      <c r="N13909" s="33"/>
    </row>
    <row r="13910" spans="3:14" x14ac:dyDescent="0.3">
      <c r="C13910" s="54"/>
      <c r="N13910" s="33"/>
    </row>
    <row r="13911" spans="3:14" x14ac:dyDescent="0.3">
      <c r="C13911" s="54"/>
      <c r="N13911" s="33"/>
    </row>
    <row r="13912" spans="3:14" x14ac:dyDescent="0.3">
      <c r="C13912" s="54"/>
      <c r="N13912" s="33"/>
    </row>
    <row r="13913" spans="3:14" x14ac:dyDescent="0.3">
      <c r="C13913" s="54"/>
      <c r="N13913" s="33"/>
    </row>
    <row r="13914" spans="3:14" x14ac:dyDescent="0.3">
      <c r="C13914" s="54"/>
      <c r="N13914" s="33"/>
    </row>
    <row r="13915" spans="3:14" x14ac:dyDescent="0.3">
      <c r="C13915" s="54"/>
      <c r="N13915" s="33"/>
    </row>
    <row r="13916" spans="3:14" x14ac:dyDescent="0.3">
      <c r="C13916" s="54"/>
      <c r="N13916" s="33"/>
    </row>
    <row r="13917" spans="3:14" x14ac:dyDescent="0.3">
      <c r="C13917" s="54"/>
      <c r="N13917" s="33"/>
    </row>
    <row r="13918" spans="3:14" x14ac:dyDescent="0.3">
      <c r="C13918" s="54"/>
      <c r="N13918" s="33"/>
    </row>
    <row r="13919" spans="3:14" x14ac:dyDescent="0.3">
      <c r="C13919" s="54"/>
      <c r="N13919" s="33"/>
    </row>
    <row r="13920" spans="3:14" x14ac:dyDescent="0.3">
      <c r="C13920" s="54"/>
      <c r="N13920" s="33"/>
    </row>
    <row r="13921" spans="3:14" x14ac:dyDescent="0.3">
      <c r="C13921" s="54"/>
      <c r="N13921" s="33"/>
    </row>
    <row r="13922" spans="3:14" x14ac:dyDescent="0.3">
      <c r="C13922" s="54"/>
      <c r="N13922" s="33"/>
    </row>
    <row r="13923" spans="3:14" x14ac:dyDescent="0.3">
      <c r="C13923" s="54"/>
      <c r="N13923" s="33"/>
    </row>
    <row r="13924" spans="3:14" x14ac:dyDescent="0.3">
      <c r="C13924" s="54"/>
      <c r="N13924" s="33"/>
    </row>
    <row r="13925" spans="3:14" x14ac:dyDescent="0.3">
      <c r="C13925" s="54"/>
      <c r="N13925" s="33"/>
    </row>
    <row r="13926" spans="3:14" x14ac:dyDescent="0.3">
      <c r="C13926" s="54"/>
      <c r="N13926" s="33"/>
    </row>
    <row r="13927" spans="3:14" x14ac:dyDescent="0.3">
      <c r="C13927" s="54"/>
      <c r="N13927" s="33"/>
    </row>
    <row r="13928" spans="3:14" x14ac:dyDescent="0.3">
      <c r="C13928" s="54"/>
      <c r="N13928" s="33"/>
    </row>
    <row r="13929" spans="3:14" x14ac:dyDescent="0.3">
      <c r="C13929" s="54"/>
      <c r="N13929" s="33"/>
    </row>
    <row r="13930" spans="3:14" x14ac:dyDescent="0.3">
      <c r="C13930" s="54"/>
      <c r="N13930" s="33"/>
    </row>
    <row r="13931" spans="3:14" x14ac:dyDescent="0.3">
      <c r="C13931" s="54"/>
      <c r="N13931" s="33"/>
    </row>
    <row r="13932" spans="3:14" x14ac:dyDescent="0.3">
      <c r="C13932" s="54"/>
      <c r="N13932" s="33"/>
    </row>
    <row r="13933" spans="3:14" x14ac:dyDescent="0.3">
      <c r="C13933" s="54"/>
      <c r="N13933" s="33"/>
    </row>
    <row r="13934" spans="3:14" x14ac:dyDescent="0.3">
      <c r="C13934" s="54"/>
      <c r="N13934" s="33"/>
    </row>
    <row r="13935" spans="3:14" x14ac:dyDescent="0.3">
      <c r="C13935" s="54"/>
      <c r="N13935" s="33"/>
    </row>
    <row r="13936" spans="3:14" x14ac:dyDescent="0.3">
      <c r="C13936" s="54"/>
      <c r="N13936" s="33"/>
    </row>
    <row r="13937" spans="3:14" x14ac:dyDescent="0.3">
      <c r="C13937" s="54"/>
      <c r="N13937" s="33"/>
    </row>
    <row r="13938" spans="3:14" x14ac:dyDescent="0.3">
      <c r="C13938" s="54"/>
      <c r="N13938" s="33"/>
    </row>
    <row r="13939" spans="3:14" x14ac:dyDescent="0.3">
      <c r="C13939" s="54"/>
      <c r="N13939" s="33"/>
    </row>
    <row r="13940" spans="3:14" x14ac:dyDescent="0.3">
      <c r="C13940" s="54"/>
      <c r="N13940" s="33"/>
    </row>
    <row r="13941" spans="3:14" x14ac:dyDescent="0.3">
      <c r="C13941" s="54"/>
      <c r="N13941" s="33"/>
    </row>
    <row r="13942" spans="3:14" x14ac:dyDescent="0.3">
      <c r="C13942" s="54"/>
      <c r="N13942" s="33"/>
    </row>
    <row r="13943" spans="3:14" x14ac:dyDescent="0.3">
      <c r="C13943" s="54"/>
      <c r="N13943" s="33"/>
    </row>
    <row r="13944" spans="3:14" x14ac:dyDescent="0.3">
      <c r="C13944" s="54"/>
      <c r="N13944" s="33"/>
    </row>
    <row r="13945" spans="3:14" x14ac:dyDescent="0.3">
      <c r="C13945" s="54"/>
      <c r="N13945" s="33"/>
    </row>
    <row r="13946" spans="3:14" x14ac:dyDescent="0.3">
      <c r="C13946" s="54"/>
      <c r="N13946" s="33"/>
    </row>
    <row r="13947" spans="3:14" x14ac:dyDescent="0.3">
      <c r="C13947" s="54"/>
      <c r="N13947" s="33"/>
    </row>
    <row r="13948" spans="3:14" x14ac:dyDescent="0.3">
      <c r="C13948" s="54"/>
      <c r="N13948" s="33"/>
    </row>
    <row r="13949" spans="3:14" x14ac:dyDescent="0.3">
      <c r="C13949" s="54"/>
      <c r="N13949" s="33"/>
    </row>
    <row r="13950" spans="3:14" x14ac:dyDescent="0.3">
      <c r="C13950" s="54"/>
      <c r="N13950" s="33"/>
    </row>
    <row r="13951" spans="3:14" x14ac:dyDescent="0.3">
      <c r="C13951" s="54"/>
      <c r="N13951" s="33"/>
    </row>
    <row r="13952" spans="3:14" x14ac:dyDescent="0.3">
      <c r="C13952" s="54"/>
      <c r="N13952" s="33"/>
    </row>
    <row r="13953" spans="3:14" x14ac:dyDescent="0.3">
      <c r="C13953" s="54"/>
      <c r="N13953" s="33"/>
    </row>
    <row r="13954" spans="3:14" x14ac:dyDescent="0.3">
      <c r="C13954" s="54"/>
      <c r="N13954" s="33"/>
    </row>
    <row r="13955" spans="3:14" x14ac:dyDescent="0.3">
      <c r="C13955" s="54"/>
      <c r="N13955" s="33"/>
    </row>
    <row r="13956" spans="3:14" x14ac:dyDescent="0.3">
      <c r="C13956" s="54"/>
      <c r="N13956" s="33"/>
    </row>
    <row r="13957" spans="3:14" x14ac:dyDescent="0.3">
      <c r="C13957" s="54"/>
      <c r="N13957" s="33"/>
    </row>
    <row r="13958" spans="3:14" x14ac:dyDescent="0.3">
      <c r="C13958" s="54"/>
      <c r="N13958" s="33"/>
    </row>
    <row r="13959" spans="3:14" x14ac:dyDescent="0.3">
      <c r="C13959" s="54"/>
      <c r="N13959" s="33"/>
    </row>
    <row r="13960" spans="3:14" x14ac:dyDescent="0.3">
      <c r="C13960" s="54"/>
      <c r="N13960" s="33"/>
    </row>
    <row r="13961" spans="3:14" x14ac:dyDescent="0.3">
      <c r="C13961" s="54"/>
      <c r="N13961" s="33"/>
    </row>
    <row r="13962" spans="3:14" x14ac:dyDescent="0.3">
      <c r="C13962" s="54"/>
      <c r="N13962" s="33"/>
    </row>
    <row r="13963" spans="3:14" x14ac:dyDescent="0.3">
      <c r="C13963" s="54"/>
      <c r="N13963" s="33"/>
    </row>
    <row r="13964" spans="3:14" x14ac:dyDescent="0.3">
      <c r="C13964" s="54"/>
      <c r="N13964" s="33"/>
    </row>
    <row r="13965" spans="3:14" x14ac:dyDescent="0.3">
      <c r="C13965" s="54"/>
      <c r="N13965" s="33"/>
    </row>
    <row r="13966" spans="3:14" x14ac:dyDescent="0.3">
      <c r="C13966" s="54"/>
      <c r="N13966" s="33"/>
    </row>
    <row r="13967" spans="3:14" x14ac:dyDescent="0.3">
      <c r="C13967" s="54"/>
      <c r="N13967" s="33"/>
    </row>
    <row r="13968" spans="3:14" x14ac:dyDescent="0.3">
      <c r="C13968" s="54"/>
      <c r="N13968" s="33"/>
    </row>
    <row r="13969" spans="3:14" x14ac:dyDescent="0.3">
      <c r="C13969" s="54"/>
      <c r="N13969" s="33"/>
    </row>
    <row r="13970" spans="3:14" x14ac:dyDescent="0.3">
      <c r="C13970" s="54"/>
      <c r="N13970" s="33"/>
    </row>
    <row r="13971" spans="3:14" x14ac:dyDescent="0.3">
      <c r="C13971" s="54"/>
      <c r="N13971" s="33"/>
    </row>
    <row r="13972" spans="3:14" x14ac:dyDescent="0.3">
      <c r="C13972" s="54"/>
      <c r="N13972" s="33"/>
    </row>
    <row r="13973" spans="3:14" x14ac:dyDescent="0.3">
      <c r="C13973" s="54"/>
      <c r="N13973" s="33"/>
    </row>
    <row r="13974" spans="3:14" x14ac:dyDescent="0.3">
      <c r="C13974" s="54"/>
      <c r="N13974" s="33"/>
    </row>
    <row r="13975" spans="3:14" x14ac:dyDescent="0.3">
      <c r="C13975" s="54"/>
      <c r="N13975" s="33"/>
    </row>
    <row r="13976" spans="3:14" x14ac:dyDescent="0.3">
      <c r="C13976" s="54"/>
      <c r="N13976" s="33"/>
    </row>
    <row r="13977" spans="3:14" x14ac:dyDescent="0.3">
      <c r="C13977" s="54"/>
      <c r="N13977" s="33"/>
    </row>
    <row r="13978" spans="3:14" x14ac:dyDescent="0.3">
      <c r="C13978" s="54"/>
      <c r="N13978" s="33"/>
    </row>
    <row r="13979" spans="3:14" x14ac:dyDescent="0.3">
      <c r="C13979" s="54"/>
      <c r="N13979" s="33"/>
    </row>
    <row r="13980" spans="3:14" x14ac:dyDescent="0.3">
      <c r="C13980" s="54"/>
      <c r="N13980" s="33"/>
    </row>
    <row r="13981" spans="3:14" x14ac:dyDescent="0.3">
      <c r="C13981" s="54"/>
      <c r="N13981" s="33"/>
    </row>
    <row r="13982" spans="3:14" x14ac:dyDescent="0.3">
      <c r="C13982" s="54"/>
      <c r="N13982" s="33"/>
    </row>
    <row r="13983" spans="3:14" x14ac:dyDescent="0.3">
      <c r="C13983" s="54"/>
      <c r="N13983" s="33"/>
    </row>
    <row r="13984" spans="3:14" x14ac:dyDescent="0.3">
      <c r="C13984" s="54"/>
      <c r="N13984" s="33"/>
    </row>
    <row r="13985" spans="3:14" x14ac:dyDescent="0.3">
      <c r="C13985" s="54"/>
      <c r="N13985" s="33"/>
    </row>
    <row r="13986" spans="3:14" x14ac:dyDescent="0.3">
      <c r="C13986" s="54"/>
      <c r="N13986" s="33"/>
    </row>
    <row r="13987" spans="3:14" x14ac:dyDescent="0.3">
      <c r="C13987" s="54"/>
      <c r="N13987" s="33"/>
    </row>
    <row r="13988" spans="3:14" x14ac:dyDescent="0.3">
      <c r="C13988" s="54"/>
      <c r="N13988" s="33"/>
    </row>
    <row r="13989" spans="3:14" x14ac:dyDescent="0.3">
      <c r="C13989" s="54"/>
      <c r="N13989" s="33"/>
    </row>
    <row r="13990" spans="3:14" x14ac:dyDescent="0.3">
      <c r="C13990" s="54"/>
      <c r="N13990" s="33"/>
    </row>
    <row r="13991" spans="3:14" x14ac:dyDescent="0.3">
      <c r="C13991" s="54"/>
      <c r="N13991" s="33"/>
    </row>
    <row r="13992" spans="3:14" x14ac:dyDescent="0.3">
      <c r="C13992" s="54"/>
      <c r="N13992" s="33"/>
    </row>
    <row r="13993" spans="3:14" x14ac:dyDescent="0.3">
      <c r="C13993" s="54"/>
      <c r="N13993" s="33"/>
    </row>
    <row r="13994" spans="3:14" x14ac:dyDescent="0.3">
      <c r="C13994" s="54"/>
      <c r="N13994" s="33"/>
    </row>
    <row r="13995" spans="3:14" x14ac:dyDescent="0.3">
      <c r="C13995" s="54"/>
      <c r="N13995" s="33"/>
    </row>
    <row r="13996" spans="3:14" x14ac:dyDescent="0.3">
      <c r="C13996" s="54"/>
      <c r="N13996" s="33"/>
    </row>
    <row r="13997" spans="3:14" x14ac:dyDescent="0.3">
      <c r="C13997" s="54"/>
      <c r="N13997" s="33"/>
    </row>
    <row r="13998" spans="3:14" x14ac:dyDescent="0.3">
      <c r="C13998" s="54"/>
      <c r="N13998" s="33"/>
    </row>
    <row r="13999" spans="3:14" x14ac:dyDescent="0.3">
      <c r="C13999" s="54"/>
      <c r="N13999" s="33"/>
    </row>
    <row r="14000" spans="3:14" x14ac:dyDescent="0.3">
      <c r="C14000" s="54"/>
      <c r="N14000" s="33"/>
    </row>
    <row r="14001" spans="3:14" x14ac:dyDescent="0.3">
      <c r="C14001" s="54"/>
      <c r="N14001" s="33"/>
    </row>
    <row r="14002" spans="3:14" x14ac:dyDescent="0.3">
      <c r="C14002" s="54"/>
      <c r="N14002" s="33"/>
    </row>
    <row r="14003" spans="3:14" x14ac:dyDescent="0.3">
      <c r="C14003" s="54"/>
      <c r="N14003" s="33"/>
    </row>
    <row r="14004" spans="3:14" x14ac:dyDescent="0.3">
      <c r="C14004" s="54"/>
      <c r="N14004" s="33"/>
    </row>
    <row r="14005" spans="3:14" x14ac:dyDescent="0.3">
      <c r="C14005" s="54"/>
      <c r="N14005" s="33"/>
    </row>
    <row r="14006" spans="3:14" x14ac:dyDescent="0.3">
      <c r="C14006" s="54"/>
      <c r="N14006" s="33"/>
    </row>
    <row r="14007" spans="3:14" x14ac:dyDescent="0.3">
      <c r="C14007" s="54"/>
      <c r="N14007" s="33"/>
    </row>
    <row r="14008" spans="3:14" x14ac:dyDescent="0.3">
      <c r="C14008" s="54"/>
      <c r="N14008" s="33"/>
    </row>
    <row r="14009" spans="3:14" x14ac:dyDescent="0.3">
      <c r="C14009" s="54"/>
      <c r="N14009" s="33"/>
    </row>
    <row r="14010" spans="3:14" x14ac:dyDescent="0.3">
      <c r="C14010" s="54"/>
      <c r="N14010" s="33"/>
    </row>
    <row r="14011" spans="3:14" x14ac:dyDescent="0.3">
      <c r="C14011" s="54"/>
      <c r="N14011" s="33"/>
    </row>
    <row r="14012" spans="3:14" x14ac:dyDescent="0.3">
      <c r="C14012" s="54"/>
      <c r="N14012" s="33"/>
    </row>
    <row r="14013" spans="3:14" x14ac:dyDescent="0.3">
      <c r="C14013" s="54"/>
      <c r="N14013" s="33"/>
    </row>
    <row r="14014" spans="3:14" x14ac:dyDescent="0.3">
      <c r="C14014" s="54"/>
      <c r="N14014" s="33"/>
    </row>
    <row r="14015" spans="3:14" x14ac:dyDescent="0.3">
      <c r="C14015" s="54"/>
      <c r="N14015" s="33"/>
    </row>
    <row r="14016" spans="3:14" x14ac:dyDescent="0.3">
      <c r="C14016" s="54"/>
      <c r="N14016" s="33"/>
    </row>
    <row r="14017" spans="3:14" x14ac:dyDescent="0.3">
      <c r="C14017" s="54"/>
      <c r="N14017" s="33"/>
    </row>
    <row r="14018" spans="3:14" x14ac:dyDescent="0.3">
      <c r="C14018" s="54"/>
      <c r="N14018" s="33"/>
    </row>
    <row r="14019" spans="3:14" x14ac:dyDescent="0.3">
      <c r="C14019" s="54"/>
      <c r="N14019" s="33"/>
    </row>
    <row r="14020" spans="3:14" x14ac:dyDescent="0.3">
      <c r="C14020" s="54"/>
      <c r="N14020" s="33"/>
    </row>
    <row r="14021" spans="3:14" x14ac:dyDescent="0.3">
      <c r="C14021" s="54"/>
      <c r="N14021" s="33"/>
    </row>
    <row r="14022" spans="3:14" x14ac:dyDescent="0.3">
      <c r="C14022" s="54"/>
      <c r="N14022" s="33"/>
    </row>
    <row r="14023" spans="3:14" x14ac:dyDescent="0.3">
      <c r="C14023" s="54"/>
      <c r="N14023" s="33"/>
    </row>
    <row r="14024" spans="3:14" x14ac:dyDescent="0.3">
      <c r="C14024" s="54"/>
      <c r="N14024" s="33"/>
    </row>
    <row r="14025" spans="3:14" x14ac:dyDescent="0.3">
      <c r="C14025" s="54"/>
      <c r="N14025" s="33"/>
    </row>
    <row r="14026" spans="3:14" x14ac:dyDescent="0.3">
      <c r="C14026" s="54"/>
      <c r="N14026" s="33"/>
    </row>
    <row r="14027" spans="3:14" x14ac:dyDescent="0.3">
      <c r="C14027" s="54"/>
      <c r="N14027" s="33"/>
    </row>
    <row r="14028" spans="3:14" x14ac:dyDescent="0.3">
      <c r="C14028" s="54"/>
      <c r="N14028" s="33"/>
    </row>
    <row r="14029" spans="3:14" x14ac:dyDescent="0.3">
      <c r="C14029" s="54"/>
      <c r="N14029" s="33"/>
    </row>
    <row r="14030" spans="3:14" x14ac:dyDescent="0.3">
      <c r="C14030" s="54"/>
      <c r="N14030" s="33"/>
    </row>
    <row r="14031" spans="3:14" x14ac:dyDescent="0.3">
      <c r="C14031" s="54"/>
      <c r="N14031" s="33"/>
    </row>
    <row r="14032" spans="3:14" x14ac:dyDescent="0.3">
      <c r="C14032" s="54"/>
      <c r="N14032" s="33"/>
    </row>
    <row r="14033" spans="3:14" x14ac:dyDescent="0.3">
      <c r="C14033" s="54"/>
      <c r="N14033" s="33"/>
    </row>
    <row r="14034" spans="3:14" x14ac:dyDescent="0.3">
      <c r="C14034" s="54"/>
      <c r="N14034" s="33"/>
    </row>
    <row r="14035" spans="3:14" x14ac:dyDescent="0.3">
      <c r="C14035" s="54"/>
      <c r="N14035" s="33"/>
    </row>
    <row r="14036" spans="3:14" x14ac:dyDescent="0.3">
      <c r="C14036" s="54"/>
      <c r="N14036" s="33"/>
    </row>
    <row r="14037" spans="3:14" x14ac:dyDescent="0.3">
      <c r="C14037" s="54"/>
      <c r="N14037" s="33"/>
    </row>
    <row r="14038" spans="3:14" x14ac:dyDescent="0.3">
      <c r="C14038" s="54"/>
      <c r="N14038" s="33"/>
    </row>
    <row r="14039" spans="3:14" x14ac:dyDescent="0.3">
      <c r="C14039" s="54"/>
      <c r="N14039" s="33"/>
    </row>
    <row r="14040" spans="3:14" x14ac:dyDescent="0.3">
      <c r="C14040" s="54"/>
      <c r="N14040" s="33"/>
    </row>
    <row r="14041" spans="3:14" x14ac:dyDescent="0.3">
      <c r="C14041" s="54"/>
      <c r="N14041" s="33"/>
    </row>
    <row r="14042" spans="3:14" x14ac:dyDescent="0.3">
      <c r="C14042" s="54"/>
      <c r="N14042" s="33"/>
    </row>
    <row r="14043" spans="3:14" x14ac:dyDescent="0.3">
      <c r="C14043" s="54"/>
      <c r="N14043" s="33"/>
    </row>
    <row r="14044" spans="3:14" x14ac:dyDescent="0.3">
      <c r="C14044" s="54"/>
      <c r="N14044" s="33"/>
    </row>
    <row r="14045" spans="3:14" x14ac:dyDescent="0.3">
      <c r="C14045" s="54"/>
      <c r="N14045" s="33"/>
    </row>
    <row r="14046" spans="3:14" x14ac:dyDescent="0.3">
      <c r="C14046" s="54"/>
      <c r="N14046" s="33"/>
    </row>
    <row r="14047" spans="3:14" x14ac:dyDescent="0.3">
      <c r="C14047" s="54"/>
      <c r="N14047" s="33"/>
    </row>
    <row r="14048" spans="3:14" x14ac:dyDescent="0.3">
      <c r="C14048" s="54"/>
      <c r="N14048" s="33"/>
    </row>
    <row r="14049" spans="3:14" x14ac:dyDescent="0.3">
      <c r="C14049" s="54"/>
      <c r="N14049" s="33"/>
    </row>
    <row r="14050" spans="3:14" x14ac:dyDescent="0.3">
      <c r="C14050" s="54"/>
      <c r="N14050" s="33"/>
    </row>
    <row r="14051" spans="3:14" x14ac:dyDescent="0.3">
      <c r="C14051" s="54"/>
      <c r="N14051" s="33"/>
    </row>
    <row r="14052" spans="3:14" x14ac:dyDescent="0.3">
      <c r="C14052" s="54"/>
      <c r="N14052" s="33"/>
    </row>
    <row r="14053" spans="3:14" x14ac:dyDescent="0.3">
      <c r="C14053" s="54"/>
      <c r="N14053" s="33"/>
    </row>
    <row r="14054" spans="3:14" x14ac:dyDescent="0.3">
      <c r="C14054" s="54"/>
      <c r="N14054" s="33"/>
    </row>
    <row r="14055" spans="3:14" x14ac:dyDescent="0.3">
      <c r="C14055" s="54"/>
      <c r="N14055" s="33"/>
    </row>
    <row r="14056" spans="3:14" x14ac:dyDescent="0.3">
      <c r="C14056" s="54"/>
      <c r="N14056" s="33"/>
    </row>
    <row r="14057" spans="3:14" x14ac:dyDescent="0.3">
      <c r="C14057" s="54"/>
      <c r="N14057" s="33"/>
    </row>
    <row r="14058" spans="3:14" x14ac:dyDescent="0.3">
      <c r="C14058" s="54"/>
      <c r="N14058" s="33"/>
    </row>
    <row r="14059" spans="3:14" x14ac:dyDescent="0.3">
      <c r="C14059" s="54"/>
      <c r="N14059" s="33"/>
    </row>
    <row r="14060" spans="3:14" x14ac:dyDescent="0.3">
      <c r="C14060" s="54"/>
      <c r="N14060" s="33"/>
    </row>
    <row r="14061" spans="3:14" x14ac:dyDescent="0.3">
      <c r="C14061" s="54"/>
      <c r="N14061" s="33"/>
    </row>
    <row r="14062" spans="3:14" x14ac:dyDescent="0.3">
      <c r="C14062" s="54"/>
      <c r="N14062" s="33"/>
    </row>
    <row r="14063" spans="3:14" x14ac:dyDescent="0.3">
      <c r="C14063" s="54"/>
      <c r="N14063" s="33"/>
    </row>
    <row r="14064" spans="3:14" x14ac:dyDescent="0.3">
      <c r="C14064" s="54"/>
      <c r="N14064" s="33"/>
    </row>
    <row r="14065" spans="3:14" x14ac:dyDescent="0.3">
      <c r="C14065" s="54"/>
      <c r="N14065" s="33"/>
    </row>
    <row r="14066" spans="3:14" x14ac:dyDescent="0.3">
      <c r="C14066" s="54"/>
      <c r="N14066" s="33"/>
    </row>
    <row r="14067" spans="3:14" x14ac:dyDescent="0.3">
      <c r="C14067" s="54"/>
      <c r="N14067" s="33"/>
    </row>
    <row r="14068" spans="3:14" x14ac:dyDescent="0.3">
      <c r="C14068" s="54"/>
      <c r="N14068" s="33"/>
    </row>
    <row r="14069" spans="3:14" x14ac:dyDescent="0.3">
      <c r="C14069" s="54"/>
      <c r="N14069" s="33"/>
    </row>
    <row r="14070" spans="3:14" x14ac:dyDescent="0.3">
      <c r="C14070" s="54"/>
      <c r="N14070" s="33"/>
    </row>
    <row r="14071" spans="3:14" x14ac:dyDescent="0.3">
      <c r="C14071" s="54"/>
      <c r="N14071" s="33"/>
    </row>
    <row r="14072" spans="3:14" x14ac:dyDescent="0.3">
      <c r="C14072" s="54"/>
      <c r="N14072" s="33"/>
    </row>
    <row r="14073" spans="3:14" x14ac:dyDescent="0.3">
      <c r="C14073" s="54"/>
      <c r="N14073" s="33"/>
    </row>
    <row r="14074" spans="3:14" x14ac:dyDescent="0.3">
      <c r="C14074" s="54"/>
      <c r="N14074" s="33"/>
    </row>
    <row r="14075" spans="3:14" x14ac:dyDescent="0.3">
      <c r="C14075" s="54"/>
      <c r="N14075" s="33"/>
    </row>
    <row r="14076" spans="3:14" x14ac:dyDescent="0.3">
      <c r="C14076" s="54"/>
      <c r="N14076" s="33"/>
    </row>
    <row r="14077" spans="3:14" x14ac:dyDescent="0.3">
      <c r="C14077" s="54"/>
      <c r="N14077" s="33"/>
    </row>
    <row r="14078" spans="3:14" x14ac:dyDescent="0.3">
      <c r="C14078" s="54"/>
      <c r="N14078" s="33"/>
    </row>
    <row r="14079" spans="3:14" x14ac:dyDescent="0.3">
      <c r="C14079" s="54"/>
      <c r="N14079" s="33"/>
    </row>
    <row r="14080" spans="3:14" x14ac:dyDescent="0.3">
      <c r="C14080" s="54"/>
      <c r="N14080" s="33"/>
    </row>
    <row r="14081" spans="3:14" x14ac:dyDescent="0.3">
      <c r="C14081" s="54"/>
      <c r="N14081" s="33"/>
    </row>
    <row r="14082" spans="3:14" x14ac:dyDescent="0.3">
      <c r="C14082" s="54"/>
      <c r="N14082" s="33"/>
    </row>
    <row r="14083" spans="3:14" x14ac:dyDescent="0.3">
      <c r="C14083" s="54"/>
      <c r="N14083" s="33"/>
    </row>
    <row r="14084" spans="3:14" x14ac:dyDescent="0.3">
      <c r="C14084" s="54"/>
      <c r="N14084" s="33"/>
    </row>
    <row r="14085" spans="3:14" x14ac:dyDescent="0.3">
      <c r="C14085" s="54"/>
      <c r="N14085" s="33"/>
    </row>
    <row r="14086" spans="3:14" x14ac:dyDescent="0.3">
      <c r="C14086" s="54"/>
      <c r="N14086" s="33"/>
    </row>
    <row r="14087" spans="3:14" x14ac:dyDescent="0.3">
      <c r="C14087" s="54"/>
      <c r="N14087" s="33"/>
    </row>
    <row r="14088" spans="3:14" x14ac:dyDescent="0.3">
      <c r="C14088" s="54"/>
      <c r="N14088" s="33"/>
    </row>
    <row r="14089" spans="3:14" x14ac:dyDescent="0.3">
      <c r="C14089" s="54"/>
      <c r="N14089" s="33"/>
    </row>
    <row r="14090" spans="3:14" x14ac:dyDescent="0.3">
      <c r="C14090" s="54"/>
      <c r="N14090" s="33"/>
    </row>
    <row r="14091" spans="3:14" x14ac:dyDescent="0.3">
      <c r="C14091" s="54"/>
      <c r="N14091" s="33"/>
    </row>
    <row r="14092" spans="3:14" x14ac:dyDescent="0.3">
      <c r="C14092" s="54"/>
      <c r="N14092" s="33"/>
    </row>
    <row r="14093" spans="3:14" x14ac:dyDescent="0.3">
      <c r="C14093" s="54"/>
      <c r="N14093" s="33"/>
    </row>
    <row r="14094" spans="3:14" x14ac:dyDescent="0.3">
      <c r="C14094" s="54"/>
      <c r="N14094" s="33"/>
    </row>
    <row r="14095" spans="3:14" x14ac:dyDescent="0.3">
      <c r="C14095" s="54"/>
      <c r="N14095" s="33"/>
    </row>
    <row r="14096" spans="3:14" x14ac:dyDescent="0.3">
      <c r="C14096" s="54"/>
      <c r="N14096" s="33"/>
    </row>
    <row r="14097" spans="3:14" x14ac:dyDescent="0.3">
      <c r="C14097" s="54"/>
      <c r="N14097" s="33"/>
    </row>
    <row r="14098" spans="3:14" x14ac:dyDescent="0.3">
      <c r="C14098" s="54"/>
      <c r="N14098" s="33"/>
    </row>
    <row r="14099" spans="3:14" x14ac:dyDescent="0.3">
      <c r="C14099" s="54"/>
      <c r="N14099" s="33"/>
    </row>
    <row r="14100" spans="3:14" x14ac:dyDescent="0.3">
      <c r="C14100" s="54"/>
      <c r="N14100" s="33"/>
    </row>
    <row r="14101" spans="3:14" x14ac:dyDescent="0.3">
      <c r="C14101" s="54"/>
      <c r="N14101" s="33"/>
    </row>
    <row r="14102" spans="3:14" x14ac:dyDescent="0.3">
      <c r="C14102" s="54"/>
      <c r="N14102" s="33"/>
    </row>
    <row r="14103" spans="3:14" x14ac:dyDescent="0.3">
      <c r="C14103" s="54"/>
      <c r="N14103" s="33"/>
    </row>
    <row r="14104" spans="3:14" x14ac:dyDescent="0.3">
      <c r="C14104" s="54"/>
      <c r="N14104" s="33"/>
    </row>
    <row r="14105" spans="3:14" x14ac:dyDescent="0.3">
      <c r="C14105" s="54"/>
      <c r="N14105" s="33"/>
    </row>
    <row r="14106" spans="3:14" x14ac:dyDescent="0.3">
      <c r="C14106" s="54"/>
      <c r="N14106" s="33"/>
    </row>
    <row r="14107" spans="3:14" x14ac:dyDescent="0.3">
      <c r="C14107" s="54"/>
      <c r="N14107" s="33"/>
    </row>
    <row r="14108" spans="3:14" x14ac:dyDescent="0.3">
      <c r="C14108" s="54"/>
      <c r="N14108" s="33"/>
    </row>
    <row r="14109" spans="3:14" x14ac:dyDescent="0.3">
      <c r="C14109" s="54"/>
      <c r="N14109" s="33"/>
    </row>
    <row r="14110" spans="3:14" x14ac:dyDescent="0.3">
      <c r="C14110" s="54"/>
      <c r="N14110" s="33"/>
    </row>
    <row r="14111" spans="3:14" x14ac:dyDescent="0.3">
      <c r="C14111" s="54"/>
      <c r="N14111" s="33"/>
    </row>
    <row r="14112" spans="3:14" x14ac:dyDescent="0.3">
      <c r="C14112" s="54"/>
      <c r="N14112" s="33"/>
    </row>
    <row r="14113" spans="3:14" x14ac:dyDescent="0.3">
      <c r="C14113" s="54"/>
      <c r="N14113" s="33"/>
    </row>
    <row r="14114" spans="3:14" x14ac:dyDescent="0.3">
      <c r="C14114" s="54"/>
      <c r="N14114" s="33"/>
    </row>
    <row r="14115" spans="3:14" x14ac:dyDescent="0.3">
      <c r="C14115" s="54"/>
      <c r="N14115" s="33"/>
    </row>
    <row r="14116" spans="3:14" x14ac:dyDescent="0.3">
      <c r="C14116" s="54"/>
      <c r="N14116" s="33"/>
    </row>
    <row r="14117" spans="3:14" x14ac:dyDescent="0.3">
      <c r="C14117" s="54"/>
      <c r="N14117" s="33"/>
    </row>
    <row r="14118" spans="3:14" x14ac:dyDescent="0.3">
      <c r="C14118" s="54"/>
      <c r="N14118" s="33"/>
    </row>
    <row r="14119" spans="3:14" x14ac:dyDescent="0.3">
      <c r="C14119" s="54"/>
      <c r="N14119" s="33"/>
    </row>
    <row r="14120" spans="3:14" x14ac:dyDescent="0.3">
      <c r="C14120" s="54"/>
      <c r="N14120" s="33"/>
    </row>
    <row r="14121" spans="3:14" x14ac:dyDescent="0.3">
      <c r="C14121" s="54"/>
      <c r="N14121" s="33"/>
    </row>
    <row r="14122" spans="3:14" x14ac:dyDescent="0.3">
      <c r="C14122" s="54"/>
      <c r="N14122" s="33"/>
    </row>
    <row r="14123" spans="3:14" x14ac:dyDescent="0.3">
      <c r="C14123" s="54"/>
      <c r="N14123" s="33"/>
    </row>
    <row r="14124" spans="3:14" x14ac:dyDescent="0.3">
      <c r="C14124" s="54"/>
      <c r="N14124" s="33"/>
    </row>
    <row r="14125" spans="3:14" x14ac:dyDescent="0.3">
      <c r="C14125" s="54"/>
      <c r="N14125" s="33"/>
    </row>
    <row r="14126" spans="3:14" x14ac:dyDescent="0.3">
      <c r="C14126" s="54"/>
      <c r="N14126" s="33"/>
    </row>
    <row r="14127" spans="3:14" x14ac:dyDescent="0.3">
      <c r="C14127" s="54"/>
      <c r="N14127" s="33"/>
    </row>
    <row r="14128" spans="3:14" x14ac:dyDescent="0.3">
      <c r="C14128" s="54"/>
      <c r="N14128" s="33"/>
    </row>
    <row r="14129" spans="3:14" x14ac:dyDescent="0.3">
      <c r="C14129" s="54"/>
      <c r="N14129" s="33"/>
    </row>
    <row r="14130" spans="3:14" x14ac:dyDescent="0.3">
      <c r="C14130" s="54"/>
      <c r="N14130" s="33"/>
    </row>
    <row r="14131" spans="3:14" x14ac:dyDescent="0.3">
      <c r="C14131" s="54"/>
      <c r="N14131" s="33"/>
    </row>
    <row r="14132" spans="3:14" x14ac:dyDescent="0.3">
      <c r="C14132" s="54"/>
      <c r="N14132" s="33"/>
    </row>
    <row r="14133" spans="3:14" x14ac:dyDescent="0.3">
      <c r="C14133" s="54"/>
      <c r="N14133" s="33"/>
    </row>
    <row r="14134" spans="3:14" x14ac:dyDescent="0.3">
      <c r="C14134" s="54"/>
      <c r="N14134" s="33"/>
    </row>
    <row r="14135" spans="3:14" x14ac:dyDescent="0.3">
      <c r="C14135" s="54"/>
      <c r="N14135" s="33"/>
    </row>
    <row r="14136" spans="3:14" x14ac:dyDescent="0.3">
      <c r="C14136" s="54"/>
      <c r="N14136" s="33"/>
    </row>
    <row r="14137" spans="3:14" x14ac:dyDescent="0.3">
      <c r="C14137" s="54"/>
      <c r="N14137" s="33"/>
    </row>
    <row r="14138" spans="3:14" x14ac:dyDescent="0.3">
      <c r="C14138" s="54"/>
      <c r="N14138" s="33"/>
    </row>
    <row r="14139" spans="3:14" x14ac:dyDescent="0.3">
      <c r="C14139" s="54"/>
      <c r="N14139" s="33"/>
    </row>
    <row r="14140" spans="3:14" x14ac:dyDescent="0.3">
      <c r="C14140" s="54"/>
      <c r="N14140" s="33"/>
    </row>
    <row r="14141" spans="3:14" x14ac:dyDescent="0.3">
      <c r="C14141" s="54"/>
      <c r="N14141" s="33"/>
    </row>
    <row r="14142" spans="3:14" x14ac:dyDescent="0.3">
      <c r="C14142" s="54"/>
      <c r="N14142" s="33"/>
    </row>
    <row r="14143" spans="3:14" x14ac:dyDescent="0.3">
      <c r="C14143" s="54"/>
      <c r="N14143" s="33"/>
    </row>
    <row r="14144" spans="3:14" x14ac:dyDescent="0.3">
      <c r="C14144" s="54"/>
      <c r="N14144" s="33"/>
    </row>
    <row r="14145" spans="3:14" x14ac:dyDescent="0.3">
      <c r="C14145" s="54"/>
      <c r="N14145" s="33"/>
    </row>
    <row r="14146" spans="3:14" x14ac:dyDescent="0.3">
      <c r="C14146" s="54"/>
      <c r="N14146" s="33"/>
    </row>
    <row r="14147" spans="3:14" x14ac:dyDescent="0.3">
      <c r="C14147" s="54"/>
      <c r="N14147" s="33"/>
    </row>
    <row r="14148" spans="3:14" x14ac:dyDescent="0.3">
      <c r="C14148" s="54"/>
      <c r="N14148" s="33"/>
    </row>
    <row r="14149" spans="3:14" x14ac:dyDescent="0.3">
      <c r="C14149" s="54"/>
      <c r="N14149" s="33"/>
    </row>
    <row r="14150" spans="3:14" x14ac:dyDescent="0.3">
      <c r="C14150" s="54"/>
      <c r="N14150" s="33"/>
    </row>
    <row r="14151" spans="3:14" x14ac:dyDescent="0.3">
      <c r="C14151" s="54"/>
      <c r="N14151" s="33"/>
    </row>
    <row r="14152" spans="3:14" x14ac:dyDescent="0.3">
      <c r="C14152" s="54"/>
      <c r="N14152" s="33"/>
    </row>
    <row r="14153" spans="3:14" x14ac:dyDescent="0.3">
      <c r="C14153" s="54"/>
      <c r="N14153" s="33"/>
    </row>
    <row r="14154" spans="3:14" x14ac:dyDescent="0.3">
      <c r="C14154" s="54"/>
      <c r="N14154" s="33"/>
    </row>
    <row r="14155" spans="3:14" x14ac:dyDescent="0.3">
      <c r="C14155" s="54"/>
      <c r="N14155" s="33"/>
    </row>
    <row r="14156" spans="3:14" x14ac:dyDescent="0.3">
      <c r="C14156" s="54"/>
      <c r="N14156" s="33"/>
    </row>
    <row r="14157" spans="3:14" x14ac:dyDescent="0.3">
      <c r="C14157" s="54"/>
      <c r="N14157" s="33"/>
    </row>
    <row r="14158" spans="3:14" x14ac:dyDescent="0.3">
      <c r="C14158" s="54"/>
      <c r="N14158" s="33"/>
    </row>
    <row r="14159" spans="3:14" x14ac:dyDescent="0.3">
      <c r="C14159" s="54"/>
      <c r="N14159" s="33"/>
    </row>
    <row r="14160" spans="3:14" x14ac:dyDescent="0.3">
      <c r="C14160" s="54"/>
      <c r="N14160" s="33"/>
    </row>
    <row r="14161" spans="3:14" x14ac:dyDescent="0.3">
      <c r="C14161" s="54"/>
      <c r="N14161" s="33"/>
    </row>
    <row r="14162" spans="3:14" x14ac:dyDescent="0.3">
      <c r="C14162" s="54"/>
      <c r="N14162" s="33"/>
    </row>
    <row r="14163" spans="3:14" x14ac:dyDescent="0.3">
      <c r="C14163" s="54"/>
      <c r="N14163" s="33"/>
    </row>
    <row r="14164" spans="3:14" x14ac:dyDescent="0.3">
      <c r="C14164" s="54"/>
      <c r="N14164" s="33"/>
    </row>
    <row r="14165" spans="3:14" x14ac:dyDescent="0.3">
      <c r="C14165" s="54"/>
      <c r="N14165" s="33"/>
    </row>
    <row r="14166" spans="3:14" x14ac:dyDescent="0.3">
      <c r="C14166" s="54"/>
      <c r="N14166" s="33"/>
    </row>
    <row r="14167" spans="3:14" x14ac:dyDescent="0.3">
      <c r="C14167" s="54"/>
      <c r="N14167" s="33"/>
    </row>
    <row r="14168" spans="3:14" x14ac:dyDescent="0.3">
      <c r="C14168" s="54"/>
      <c r="N14168" s="33"/>
    </row>
    <row r="14169" spans="3:14" x14ac:dyDescent="0.3">
      <c r="C14169" s="54"/>
      <c r="N14169" s="33"/>
    </row>
    <row r="14170" spans="3:14" x14ac:dyDescent="0.3">
      <c r="C14170" s="54"/>
      <c r="N14170" s="33"/>
    </row>
    <row r="14171" spans="3:14" x14ac:dyDescent="0.3">
      <c r="C14171" s="54"/>
      <c r="N14171" s="33"/>
    </row>
    <row r="14172" spans="3:14" x14ac:dyDescent="0.3">
      <c r="C14172" s="54"/>
      <c r="N14172" s="33"/>
    </row>
    <row r="14173" spans="3:14" x14ac:dyDescent="0.3">
      <c r="C14173" s="54"/>
      <c r="N14173" s="33"/>
    </row>
    <row r="14174" spans="3:14" x14ac:dyDescent="0.3">
      <c r="C14174" s="54"/>
      <c r="N14174" s="33"/>
    </row>
    <row r="14175" spans="3:14" x14ac:dyDescent="0.3">
      <c r="C14175" s="54"/>
      <c r="N14175" s="33"/>
    </row>
    <row r="14176" spans="3:14" x14ac:dyDescent="0.3">
      <c r="C14176" s="54"/>
      <c r="N14176" s="33"/>
    </row>
    <row r="14177" spans="3:14" x14ac:dyDescent="0.3">
      <c r="C14177" s="54"/>
      <c r="N14177" s="33"/>
    </row>
    <row r="14178" spans="3:14" x14ac:dyDescent="0.3">
      <c r="C14178" s="54"/>
      <c r="N14178" s="33"/>
    </row>
    <row r="14179" spans="3:14" x14ac:dyDescent="0.3">
      <c r="C14179" s="54"/>
      <c r="N14179" s="33"/>
    </row>
    <row r="14180" spans="3:14" x14ac:dyDescent="0.3">
      <c r="C14180" s="54"/>
      <c r="N14180" s="33"/>
    </row>
    <row r="14181" spans="3:14" x14ac:dyDescent="0.3">
      <c r="C14181" s="54"/>
      <c r="N14181" s="33"/>
    </row>
    <row r="14182" spans="3:14" x14ac:dyDescent="0.3">
      <c r="C14182" s="54"/>
      <c r="N14182" s="33"/>
    </row>
    <row r="14183" spans="3:14" x14ac:dyDescent="0.3">
      <c r="C14183" s="54"/>
      <c r="N14183" s="33"/>
    </row>
    <row r="14184" spans="3:14" x14ac:dyDescent="0.3">
      <c r="C14184" s="54"/>
      <c r="N14184" s="33"/>
    </row>
    <row r="14185" spans="3:14" x14ac:dyDescent="0.3">
      <c r="C14185" s="54"/>
      <c r="N14185" s="33"/>
    </row>
    <row r="14186" spans="3:14" x14ac:dyDescent="0.3">
      <c r="C14186" s="54"/>
      <c r="N14186" s="33"/>
    </row>
    <row r="14187" spans="3:14" x14ac:dyDescent="0.3">
      <c r="C14187" s="54"/>
      <c r="N14187" s="33"/>
    </row>
    <row r="14188" spans="3:14" x14ac:dyDescent="0.3">
      <c r="C14188" s="54"/>
      <c r="N14188" s="33"/>
    </row>
    <row r="14189" spans="3:14" x14ac:dyDescent="0.3">
      <c r="C14189" s="54"/>
      <c r="N14189" s="33"/>
    </row>
    <row r="14190" spans="3:14" x14ac:dyDescent="0.3">
      <c r="C14190" s="54"/>
      <c r="N14190" s="33"/>
    </row>
    <row r="14191" spans="3:14" x14ac:dyDescent="0.3">
      <c r="C14191" s="54"/>
      <c r="N14191" s="33"/>
    </row>
    <row r="14192" spans="3:14" x14ac:dyDescent="0.3">
      <c r="C14192" s="54"/>
      <c r="N14192" s="33"/>
    </row>
    <row r="14193" spans="3:14" x14ac:dyDescent="0.3">
      <c r="C14193" s="54"/>
      <c r="N14193" s="33"/>
    </row>
    <row r="14194" spans="3:14" x14ac:dyDescent="0.3">
      <c r="C14194" s="54"/>
      <c r="N14194" s="33"/>
    </row>
    <row r="14195" spans="3:14" x14ac:dyDescent="0.3">
      <c r="C14195" s="54"/>
      <c r="N14195" s="33"/>
    </row>
    <row r="14196" spans="3:14" x14ac:dyDescent="0.3">
      <c r="C14196" s="54"/>
      <c r="N14196" s="33"/>
    </row>
    <row r="14197" spans="3:14" x14ac:dyDescent="0.3">
      <c r="C14197" s="54"/>
      <c r="N14197" s="33"/>
    </row>
    <row r="14198" spans="3:14" x14ac:dyDescent="0.3">
      <c r="C14198" s="54"/>
      <c r="N14198" s="33"/>
    </row>
    <row r="14199" spans="3:14" x14ac:dyDescent="0.3">
      <c r="C14199" s="54"/>
      <c r="N14199" s="33"/>
    </row>
    <row r="14200" spans="3:14" x14ac:dyDescent="0.3">
      <c r="C14200" s="54"/>
      <c r="N14200" s="33"/>
    </row>
    <row r="14201" spans="3:14" x14ac:dyDescent="0.3">
      <c r="C14201" s="54"/>
      <c r="N14201" s="33"/>
    </row>
    <row r="14202" spans="3:14" x14ac:dyDescent="0.3">
      <c r="C14202" s="54"/>
      <c r="N14202" s="33"/>
    </row>
    <row r="14203" spans="3:14" x14ac:dyDescent="0.3">
      <c r="C14203" s="54"/>
      <c r="N14203" s="33"/>
    </row>
    <row r="14204" spans="3:14" x14ac:dyDescent="0.3">
      <c r="C14204" s="54"/>
      <c r="N14204" s="33"/>
    </row>
    <row r="14205" spans="3:14" x14ac:dyDescent="0.3">
      <c r="C14205" s="54"/>
      <c r="N14205" s="33"/>
    </row>
    <row r="14206" spans="3:14" x14ac:dyDescent="0.3">
      <c r="C14206" s="54"/>
      <c r="N14206" s="33"/>
    </row>
    <row r="14207" spans="3:14" x14ac:dyDescent="0.3">
      <c r="C14207" s="54"/>
      <c r="N14207" s="33"/>
    </row>
    <row r="14208" spans="3:14" x14ac:dyDescent="0.3">
      <c r="C14208" s="54"/>
      <c r="N14208" s="33"/>
    </row>
    <row r="14209" spans="3:14" x14ac:dyDescent="0.3">
      <c r="C14209" s="54"/>
      <c r="N14209" s="33"/>
    </row>
    <row r="14210" spans="3:14" x14ac:dyDescent="0.3">
      <c r="C14210" s="54"/>
      <c r="N14210" s="33"/>
    </row>
    <row r="14211" spans="3:14" x14ac:dyDescent="0.3">
      <c r="C14211" s="54"/>
      <c r="N14211" s="33"/>
    </row>
    <row r="14212" spans="3:14" x14ac:dyDescent="0.3">
      <c r="C14212" s="54"/>
      <c r="N14212" s="33"/>
    </row>
    <row r="14213" spans="3:14" x14ac:dyDescent="0.3">
      <c r="C14213" s="54"/>
      <c r="N14213" s="33"/>
    </row>
    <row r="14214" spans="3:14" x14ac:dyDescent="0.3">
      <c r="C14214" s="54"/>
      <c r="N14214" s="33"/>
    </row>
    <row r="14215" spans="3:14" x14ac:dyDescent="0.3">
      <c r="C14215" s="54"/>
      <c r="N14215" s="33"/>
    </row>
    <row r="14216" spans="3:14" x14ac:dyDescent="0.3">
      <c r="C14216" s="54"/>
      <c r="N14216" s="33"/>
    </row>
    <row r="14217" spans="3:14" x14ac:dyDescent="0.3">
      <c r="C14217" s="54"/>
      <c r="N14217" s="33"/>
    </row>
    <row r="14218" spans="3:14" x14ac:dyDescent="0.3">
      <c r="C14218" s="54"/>
      <c r="N14218" s="33"/>
    </row>
    <row r="14219" spans="3:14" x14ac:dyDescent="0.3">
      <c r="C14219" s="54"/>
      <c r="N14219" s="33"/>
    </row>
    <row r="14220" spans="3:14" x14ac:dyDescent="0.3">
      <c r="C14220" s="54"/>
      <c r="N14220" s="33"/>
    </row>
    <row r="14221" spans="3:14" x14ac:dyDescent="0.3">
      <c r="C14221" s="54"/>
      <c r="N14221" s="33"/>
    </row>
    <row r="14222" spans="3:14" x14ac:dyDescent="0.3">
      <c r="C14222" s="54"/>
      <c r="N14222" s="33"/>
    </row>
    <row r="14223" spans="3:14" x14ac:dyDescent="0.3">
      <c r="C14223" s="54"/>
      <c r="N14223" s="33"/>
    </row>
    <row r="14224" spans="3:14" x14ac:dyDescent="0.3">
      <c r="C14224" s="54"/>
      <c r="N14224" s="33"/>
    </row>
    <row r="14225" spans="3:14" x14ac:dyDescent="0.3">
      <c r="C14225" s="54"/>
      <c r="N14225" s="33"/>
    </row>
    <row r="14226" spans="3:14" x14ac:dyDescent="0.3">
      <c r="C14226" s="54"/>
      <c r="N14226" s="33"/>
    </row>
    <row r="14227" spans="3:14" x14ac:dyDescent="0.3">
      <c r="C14227" s="54"/>
      <c r="N14227" s="33"/>
    </row>
    <row r="14228" spans="3:14" x14ac:dyDescent="0.3">
      <c r="C14228" s="54"/>
      <c r="N14228" s="33"/>
    </row>
    <row r="14229" spans="3:14" x14ac:dyDescent="0.3">
      <c r="C14229" s="54"/>
      <c r="N14229" s="33"/>
    </row>
    <row r="14230" spans="3:14" x14ac:dyDescent="0.3">
      <c r="C14230" s="54"/>
      <c r="N14230" s="33"/>
    </row>
    <row r="14231" spans="3:14" x14ac:dyDescent="0.3">
      <c r="C14231" s="54"/>
      <c r="N14231" s="33"/>
    </row>
    <row r="14232" spans="3:14" x14ac:dyDescent="0.3">
      <c r="C14232" s="54"/>
      <c r="N14232" s="33"/>
    </row>
    <row r="14233" spans="3:14" x14ac:dyDescent="0.3">
      <c r="C14233" s="54"/>
      <c r="N14233" s="33"/>
    </row>
    <row r="14234" spans="3:14" x14ac:dyDescent="0.3">
      <c r="C14234" s="54"/>
      <c r="N14234" s="33"/>
    </row>
    <row r="14235" spans="3:14" x14ac:dyDescent="0.3">
      <c r="C14235" s="54"/>
      <c r="N14235" s="33"/>
    </row>
    <row r="14236" spans="3:14" x14ac:dyDescent="0.3">
      <c r="C14236" s="54"/>
      <c r="N14236" s="33"/>
    </row>
    <row r="14237" spans="3:14" x14ac:dyDescent="0.3">
      <c r="C14237" s="54"/>
      <c r="N14237" s="33"/>
    </row>
    <row r="14238" spans="3:14" x14ac:dyDescent="0.3">
      <c r="C14238" s="54"/>
      <c r="N14238" s="33"/>
    </row>
    <row r="14239" spans="3:14" x14ac:dyDescent="0.3">
      <c r="C14239" s="54"/>
      <c r="N14239" s="33"/>
    </row>
    <row r="14240" spans="3:14" x14ac:dyDescent="0.3">
      <c r="C14240" s="54"/>
      <c r="N14240" s="33"/>
    </row>
    <row r="14241" spans="3:14" x14ac:dyDescent="0.3">
      <c r="C14241" s="54"/>
      <c r="N14241" s="33"/>
    </row>
    <row r="14242" spans="3:14" x14ac:dyDescent="0.3">
      <c r="C14242" s="54"/>
      <c r="N14242" s="33"/>
    </row>
    <row r="14243" spans="3:14" x14ac:dyDescent="0.3">
      <c r="C14243" s="54"/>
      <c r="N14243" s="33"/>
    </row>
    <row r="14244" spans="3:14" x14ac:dyDescent="0.3">
      <c r="C14244" s="54"/>
      <c r="N14244" s="33"/>
    </row>
    <row r="14245" spans="3:14" x14ac:dyDescent="0.3">
      <c r="C14245" s="54"/>
      <c r="N14245" s="33"/>
    </row>
    <row r="14246" spans="3:14" x14ac:dyDescent="0.3">
      <c r="C14246" s="54"/>
      <c r="N14246" s="33"/>
    </row>
    <row r="14247" spans="3:14" x14ac:dyDescent="0.3">
      <c r="C14247" s="54"/>
      <c r="N14247" s="33"/>
    </row>
    <row r="14248" spans="3:14" x14ac:dyDescent="0.3">
      <c r="C14248" s="54"/>
      <c r="N14248" s="33"/>
    </row>
    <row r="14249" spans="3:14" x14ac:dyDescent="0.3">
      <c r="C14249" s="54"/>
      <c r="N14249" s="33"/>
    </row>
    <row r="14250" spans="3:14" x14ac:dyDescent="0.3">
      <c r="C14250" s="54"/>
      <c r="N14250" s="33"/>
    </row>
    <row r="14251" spans="3:14" x14ac:dyDescent="0.3">
      <c r="C14251" s="54"/>
      <c r="N14251" s="33"/>
    </row>
    <row r="14252" spans="3:14" x14ac:dyDescent="0.3">
      <c r="C14252" s="54"/>
      <c r="N14252" s="33"/>
    </row>
    <row r="14253" spans="3:14" x14ac:dyDescent="0.3">
      <c r="C14253" s="54"/>
      <c r="N14253" s="33"/>
    </row>
    <row r="14254" spans="3:14" x14ac:dyDescent="0.3">
      <c r="C14254" s="54"/>
      <c r="N14254" s="33"/>
    </row>
    <row r="14255" spans="3:14" x14ac:dyDescent="0.3">
      <c r="C14255" s="54"/>
      <c r="N14255" s="33"/>
    </row>
    <row r="14256" spans="3:14" x14ac:dyDescent="0.3">
      <c r="C14256" s="54"/>
      <c r="N14256" s="33"/>
    </row>
    <row r="14257" spans="3:14" x14ac:dyDescent="0.3">
      <c r="C14257" s="54"/>
      <c r="N14257" s="33"/>
    </row>
    <row r="14258" spans="3:14" x14ac:dyDescent="0.3">
      <c r="C14258" s="54"/>
      <c r="N14258" s="33"/>
    </row>
    <row r="14259" spans="3:14" x14ac:dyDescent="0.3">
      <c r="C14259" s="54"/>
      <c r="N14259" s="33"/>
    </row>
    <row r="14260" spans="3:14" x14ac:dyDescent="0.3">
      <c r="C14260" s="54"/>
      <c r="N14260" s="33"/>
    </row>
    <row r="14261" spans="3:14" x14ac:dyDescent="0.3">
      <c r="C14261" s="54"/>
      <c r="N14261" s="33"/>
    </row>
    <row r="14262" spans="3:14" x14ac:dyDescent="0.3">
      <c r="C14262" s="54"/>
      <c r="N14262" s="33"/>
    </row>
    <row r="14263" spans="3:14" x14ac:dyDescent="0.3">
      <c r="C14263" s="54"/>
      <c r="N14263" s="33"/>
    </row>
    <row r="14264" spans="3:14" x14ac:dyDescent="0.3">
      <c r="C14264" s="54"/>
      <c r="N14264" s="33"/>
    </row>
    <row r="14265" spans="3:14" x14ac:dyDescent="0.3">
      <c r="C14265" s="54"/>
      <c r="N14265" s="33"/>
    </row>
    <row r="14266" spans="3:14" x14ac:dyDescent="0.3">
      <c r="C14266" s="54"/>
      <c r="N14266" s="33"/>
    </row>
    <row r="14267" spans="3:14" x14ac:dyDescent="0.3">
      <c r="C14267" s="54"/>
      <c r="N14267" s="33"/>
    </row>
    <row r="14268" spans="3:14" x14ac:dyDescent="0.3">
      <c r="C14268" s="54"/>
      <c r="N14268" s="33"/>
    </row>
    <row r="14269" spans="3:14" x14ac:dyDescent="0.3">
      <c r="C14269" s="54"/>
      <c r="N14269" s="33"/>
    </row>
    <row r="14270" spans="3:14" x14ac:dyDescent="0.3">
      <c r="C14270" s="54"/>
      <c r="N14270" s="33"/>
    </row>
    <row r="14271" spans="3:14" x14ac:dyDescent="0.3">
      <c r="C14271" s="54"/>
      <c r="N14271" s="33"/>
    </row>
    <row r="14272" spans="3:14" x14ac:dyDescent="0.3">
      <c r="C14272" s="54"/>
      <c r="N14272" s="33"/>
    </row>
    <row r="14273" spans="3:14" x14ac:dyDescent="0.3">
      <c r="C14273" s="54"/>
      <c r="N14273" s="33"/>
    </row>
    <row r="14274" spans="3:14" x14ac:dyDescent="0.3">
      <c r="C14274" s="54"/>
      <c r="N14274" s="33"/>
    </row>
    <row r="14275" spans="3:14" x14ac:dyDescent="0.3">
      <c r="C14275" s="54"/>
      <c r="N14275" s="33"/>
    </row>
    <row r="14276" spans="3:14" x14ac:dyDescent="0.3">
      <c r="C14276" s="54"/>
      <c r="N14276" s="33"/>
    </row>
    <row r="14277" spans="3:14" x14ac:dyDescent="0.3">
      <c r="C14277" s="54"/>
      <c r="N14277" s="33"/>
    </row>
    <row r="14278" spans="3:14" x14ac:dyDescent="0.3">
      <c r="C14278" s="54"/>
      <c r="N14278" s="33"/>
    </row>
    <row r="14279" spans="3:14" x14ac:dyDescent="0.3">
      <c r="C14279" s="54"/>
      <c r="N14279" s="33"/>
    </row>
    <row r="14280" spans="3:14" x14ac:dyDescent="0.3">
      <c r="C14280" s="54"/>
      <c r="N14280" s="33"/>
    </row>
    <row r="14281" spans="3:14" x14ac:dyDescent="0.3">
      <c r="C14281" s="54"/>
      <c r="N14281" s="33"/>
    </row>
    <row r="14282" spans="3:14" x14ac:dyDescent="0.3">
      <c r="C14282" s="54"/>
      <c r="N14282" s="33"/>
    </row>
    <row r="14283" spans="3:14" x14ac:dyDescent="0.3">
      <c r="C14283" s="54"/>
      <c r="N14283" s="33"/>
    </row>
    <row r="14284" spans="3:14" x14ac:dyDescent="0.3">
      <c r="C14284" s="54"/>
      <c r="N14284" s="33"/>
    </row>
    <row r="14285" spans="3:14" x14ac:dyDescent="0.3">
      <c r="C14285" s="54"/>
      <c r="N14285" s="33"/>
    </row>
    <row r="14286" spans="3:14" x14ac:dyDescent="0.3">
      <c r="C14286" s="54"/>
      <c r="N14286" s="33"/>
    </row>
    <row r="14287" spans="3:14" x14ac:dyDescent="0.3">
      <c r="C14287" s="54"/>
      <c r="N14287" s="33"/>
    </row>
    <row r="14288" spans="3:14" x14ac:dyDescent="0.3">
      <c r="C14288" s="54"/>
      <c r="N14288" s="33"/>
    </row>
    <row r="14289" spans="3:14" x14ac:dyDescent="0.3">
      <c r="C14289" s="54"/>
      <c r="N14289" s="33"/>
    </row>
    <row r="14290" spans="3:14" x14ac:dyDescent="0.3">
      <c r="C14290" s="54"/>
      <c r="N14290" s="33"/>
    </row>
    <row r="14291" spans="3:14" x14ac:dyDescent="0.3">
      <c r="C14291" s="54"/>
      <c r="N14291" s="33"/>
    </row>
    <row r="14292" spans="3:14" x14ac:dyDescent="0.3">
      <c r="C14292" s="54"/>
      <c r="N14292" s="33"/>
    </row>
    <row r="14293" spans="3:14" x14ac:dyDescent="0.3">
      <c r="C14293" s="54"/>
      <c r="N14293" s="33"/>
    </row>
    <row r="14294" spans="3:14" x14ac:dyDescent="0.3">
      <c r="C14294" s="54"/>
      <c r="N14294" s="33"/>
    </row>
    <row r="14295" spans="3:14" x14ac:dyDescent="0.3">
      <c r="C14295" s="54"/>
      <c r="N14295" s="33"/>
    </row>
    <row r="14296" spans="3:14" x14ac:dyDescent="0.3">
      <c r="C14296" s="54"/>
      <c r="N14296" s="33"/>
    </row>
    <row r="14297" spans="3:14" x14ac:dyDescent="0.3">
      <c r="C14297" s="54"/>
      <c r="N14297" s="33"/>
    </row>
    <row r="14298" spans="3:14" x14ac:dyDescent="0.3">
      <c r="C14298" s="54"/>
      <c r="N14298" s="33"/>
    </row>
    <row r="14299" spans="3:14" x14ac:dyDescent="0.3">
      <c r="C14299" s="54"/>
      <c r="N14299" s="33"/>
    </row>
    <row r="14300" spans="3:14" x14ac:dyDescent="0.3">
      <c r="C14300" s="54"/>
      <c r="N14300" s="33"/>
    </row>
    <row r="14301" spans="3:14" x14ac:dyDescent="0.3">
      <c r="C14301" s="54"/>
      <c r="N14301" s="33"/>
    </row>
    <row r="14302" spans="3:14" x14ac:dyDescent="0.3">
      <c r="C14302" s="54"/>
      <c r="N14302" s="33"/>
    </row>
    <row r="14303" spans="3:14" x14ac:dyDescent="0.3">
      <c r="C14303" s="54"/>
      <c r="N14303" s="33"/>
    </row>
    <row r="14304" spans="3:14" x14ac:dyDescent="0.3">
      <c r="C14304" s="54"/>
      <c r="N14304" s="33"/>
    </row>
    <row r="14305" spans="3:14" x14ac:dyDescent="0.3">
      <c r="C14305" s="54"/>
      <c r="N14305" s="33"/>
    </row>
    <row r="14306" spans="3:14" x14ac:dyDescent="0.3">
      <c r="C14306" s="54"/>
      <c r="N14306" s="33"/>
    </row>
    <row r="14307" spans="3:14" x14ac:dyDescent="0.3">
      <c r="C14307" s="54"/>
      <c r="N14307" s="33"/>
    </row>
    <row r="14308" spans="3:14" x14ac:dyDescent="0.3">
      <c r="C14308" s="54"/>
      <c r="N14308" s="33"/>
    </row>
    <row r="14309" spans="3:14" x14ac:dyDescent="0.3">
      <c r="C14309" s="54"/>
      <c r="N14309" s="33"/>
    </row>
    <row r="14310" spans="3:14" x14ac:dyDescent="0.3">
      <c r="C14310" s="54"/>
      <c r="N14310" s="33"/>
    </row>
    <row r="14311" spans="3:14" x14ac:dyDescent="0.3">
      <c r="C14311" s="54"/>
      <c r="N14311" s="33"/>
    </row>
    <row r="14312" spans="3:14" x14ac:dyDescent="0.3">
      <c r="C14312" s="54"/>
      <c r="N14312" s="33"/>
    </row>
    <row r="14313" spans="3:14" x14ac:dyDescent="0.3">
      <c r="C14313" s="54"/>
      <c r="N14313" s="33"/>
    </row>
    <row r="14314" spans="3:14" x14ac:dyDescent="0.3">
      <c r="C14314" s="54"/>
      <c r="N14314" s="33"/>
    </row>
    <row r="14315" spans="3:14" x14ac:dyDescent="0.3">
      <c r="C14315" s="54"/>
      <c r="N14315" s="33"/>
    </row>
    <row r="14316" spans="3:14" x14ac:dyDescent="0.3">
      <c r="C14316" s="54"/>
      <c r="N14316" s="33"/>
    </row>
    <row r="14317" spans="3:14" x14ac:dyDescent="0.3">
      <c r="C14317" s="54"/>
      <c r="N14317" s="33"/>
    </row>
    <row r="14318" spans="3:14" x14ac:dyDescent="0.3">
      <c r="C14318" s="54"/>
      <c r="N14318" s="33"/>
    </row>
    <row r="14319" spans="3:14" x14ac:dyDescent="0.3">
      <c r="C14319" s="54"/>
      <c r="N14319" s="33"/>
    </row>
    <row r="14320" spans="3:14" x14ac:dyDescent="0.3">
      <c r="C14320" s="54"/>
      <c r="N14320" s="33"/>
    </row>
    <row r="14321" spans="3:14" x14ac:dyDescent="0.3">
      <c r="C14321" s="54"/>
      <c r="N14321" s="33"/>
    </row>
    <row r="14322" spans="3:14" x14ac:dyDescent="0.3">
      <c r="C14322" s="54"/>
      <c r="N14322" s="33"/>
    </row>
    <row r="14323" spans="3:14" x14ac:dyDescent="0.3">
      <c r="C14323" s="54"/>
      <c r="N14323" s="33"/>
    </row>
    <row r="14324" spans="3:14" x14ac:dyDescent="0.3">
      <c r="C14324" s="54"/>
      <c r="N14324" s="33"/>
    </row>
    <row r="14325" spans="3:14" x14ac:dyDescent="0.3">
      <c r="C14325" s="54"/>
      <c r="N14325" s="33"/>
    </row>
    <row r="14326" spans="3:14" x14ac:dyDescent="0.3">
      <c r="C14326" s="54"/>
      <c r="N14326" s="33"/>
    </row>
    <row r="14327" spans="3:14" x14ac:dyDescent="0.3">
      <c r="C14327" s="54"/>
      <c r="N14327" s="33"/>
    </row>
    <row r="14328" spans="3:14" x14ac:dyDescent="0.3">
      <c r="C14328" s="54"/>
      <c r="N14328" s="33"/>
    </row>
    <row r="14329" spans="3:14" x14ac:dyDescent="0.3">
      <c r="C14329" s="54"/>
      <c r="N14329" s="33"/>
    </row>
    <row r="14330" spans="3:14" x14ac:dyDescent="0.3">
      <c r="C14330" s="54"/>
      <c r="N14330" s="33"/>
    </row>
    <row r="14331" spans="3:14" x14ac:dyDescent="0.3">
      <c r="C14331" s="54"/>
      <c r="N14331" s="33"/>
    </row>
    <row r="14332" spans="3:14" x14ac:dyDescent="0.3">
      <c r="C14332" s="54"/>
      <c r="N14332" s="33"/>
    </row>
    <row r="14333" spans="3:14" x14ac:dyDescent="0.3">
      <c r="C14333" s="54"/>
      <c r="N14333" s="33"/>
    </row>
    <row r="14334" spans="3:14" x14ac:dyDescent="0.3">
      <c r="C14334" s="54"/>
      <c r="N14334" s="33"/>
    </row>
    <row r="14335" spans="3:14" x14ac:dyDescent="0.3">
      <c r="C14335" s="54"/>
      <c r="N14335" s="33"/>
    </row>
    <row r="14336" spans="3:14" x14ac:dyDescent="0.3">
      <c r="C14336" s="54"/>
      <c r="N14336" s="33"/>
    </row>
    <row r="14337" spans="3:14" x14ac:dyDescent="0.3">
      <c r="C14337" s="54"/>
      <c r="N14337" s="33"/>
    </row>
    <row r="14338" spans="3:14" x14ac:dyDescent="0.3">
      <c r="C14338" s="54"/>
      <c r="N14338" s="33"/>
    </row>
    <row r="14339" spans="3:14" x14ac:dyDescent="0.3">
      <c r="C14339" s="54"/>
      <c r="N14339" s="33"/>
    </row>
    <row r="14340" spans="3:14" x14ac:dyDescent="0.3">
      <c r="C14340" s="54"/>
      <c r="N14340" s="33"/>
    </row>
    <row r="14341" spans="3:14" x14ac:dyDescent="0.3">
      <c r="C14341" s="54"/>
      <c r="N14341" s="33"/>
    </row>
    <row r="14342" spans="3:14" x14ac:dyDescent="0.3">
      <c r="C14342" s="54"/>
      <c r="N14342" s="33"/>
    </row>
    <row r="14343" spans="3:14" x14ac:dyDescent="0.3">
      <c r="C14343" s="54"/>
      <c r="N14343" s="33"/>
    </row>
    <row r="14344" spans="3:14" x14ac:dyDescent="0.3">
      <c r="C14344" s="54"/>
      <c r="N14344" s="33"/>
    </row>
    <row r="14345" spans="3:14" x14ac:dyDescent="0.3">
      <c r="C14345" s="54"/>
      <c r="N14345" s="33"/>
    </row>
    <row r="14346" spans="3:14" x14ac:dyDescent="0.3">
      <c r="C14346" s="54"/>
      <c r="N14346" s="33"/>
    </row>
    <row r="14347" spans="3:14" x14ac:dyDescent="0.3">
      <c r="C14347" s="54"/>
      <c r="N14347" s="33"/>
    </row>
    <row r="14348" spans="3:14" x14ac:dyDescent="0.3">
      <c r="C14348" s="54"/>
      <c r="N14348" s="33"/>
    </row>
    <row r="14349" spans="3:14" x14ac:dyDescent="0.3">
      <c r="C14349" s="54"/>
      <c r="N14349" s="33"/>
    </row>
    <row r="14350" spans="3:14" x14ac:dyDescent="0.3">
      <c r="C14350" s="54"/>
      <c r="N14350" s="33"/>
    </row>
    <row r="14351" spans="3:14" x14ac:dyDescent="0.3">
      <c r="C14351" s="54"/>
      <c r="N14351" s="33"/>
    </row>
    <row r="14352" spans="3:14" x14ac:dyDescent="0.3">
      <c r="C14352" s="54"/>
      <c r="N14352" s="33"/>
    </row>
    <row r="14353" spans="3:14" x14ac:dyDescent="0.3">
      <c r="C14353" s="54"/>
      <c r="N14353" s="33"/>
    </row>
    <row r="14354" spans="3:14" x14ac:dyDescent="0.3">
      <c r="C14354" s="54"/>
      <c r="N14354" s="33"/>
    </row>
    <row r="14355" spans="3:14" x14ac:dyDescent="0.3">
      <c r="C14355" s="54"/>
      <c r="N14355" s="33"/>
    </row>
    <row r="14356" spans="3:14" x14ac:dyDescent="0.3">
      <c r="C14356" s="54"/>
      <c r="N14356" s="33"/>
    </row>
    <row r="14357" spans="3:14" x14ac:dyDescent="0.3">
      <c r="C14357" s="54"/>
      <c r="N14357" s="33"/>
    </row>
    <row r="14358" spans="3:14" x14ac:dyDescent="0.3">
      <c r="C14358" s="54"/>
      <c r="N14358" s="33"/>
    </row>
    <row r="14359" spans="3:14" x14ac:dyDescent="0.3">
      <c r="C14359" s="54"/>
      <c r="N14359" s="33"/>
    </row>
    <row r="14360" spans="3:14" x14ac:dyDescent="0.3">
      <c r="C14360" s="54"/>
      <c r="N14360" s="33"/>
    </row>
    <row r="14361" spans="3:14" x14ac:dyDescent="0.3">
      <c r="C14361" s="54"/>
      <c r="N14361" s="33"/>
    </row>
    <row r="14362" spans="3:14" x14ac:dyDescent="0.3">
      <c r="C14362" s="54"/>
      <c r="N14362" s="33"/>
    </row>
    <row r="14363" spans="3:14" x14ac:dyDescent="0.3">
      <c r="C14363" s="54"/>
      <c r="N14363" s="33"/>
    </row>
    <row r="14364" spans="3:14" x14ac:dyDescent="0.3">
      <c r="C14364" s="54"/>
      <c r="N14364" s="33"/>
    </row>
    <row r="14365" spans="3:14" x14ac:dyDescent="0.3">
      <c r="C14365" s="54"/>
      <c r="N14365" s="33"/>
    </row>
    <row r="14366" spans="3:14" x14ac:dyDescent="0.3">
      <c r="C14366" s="54"/>
      <c r="N14366" s="33"/>
    </row>
    <row r="14367" spans="3:14" x14ac:dyDescent="0.3">
      <c r="C14367" s="54"/>
      <c r="N14367" s="33"/>
    </row>
    <row r="14368" spans="3:14" x14ac:dyDescent="0.3">
      <c r="C14368" s="54"/>
      <c r="N14368" s="33"/>
    </row>
    <row r="14369" spans="3:14" x14ac:dyDescent="0.3">
      <c r="C14369" s="54"/>
      <c r="N14369" s="33"/>
    </row>
    <row r="14370" spans="3:14" x14ac:dyDescent="0.3">
      <c r="C14370" s="54"/>
      <c r="N14370" s="33"/>
    </row>
    <row r="14371" spans="3:14" x14ac:dyDescent="0.3">
      <c r="C14371" s="54"/>
      <c r="N14371" s="33"/>
    </row>
    <row r="14372" spans="3:14" x14ac:dyDescent="0.3">
      <c r="C14372" s="54"/>
      <c r="N14372" s="33"/>
    </row>
    <row r="14373" spans="3:14" x14ac:dyDescent="0.3">
      <c r="C14373" s="54"/>
      <c r="N14373" s="33"/>
    </row>
    <row r="14374" spans="3:14" x14ac:dyDescent="0.3">
      <c r="C14374" s="54"/>
      <c r="N14374" s="33"/>
    </row>
    <row r="14375" spans="3:14" x14ac:dyDescent="0.3">
      <c r="C14375" s="54"/>
      <c r="N14375" s="33"/>
    </row>
    <row r="14376" spans="3:14" x14ac:dyDescent="0.3">
      <c r="C14376" s="54"/>
      <c r="N14376" s="33"/>
    </row>
    <row r="14377" spans="3:14" x14ac:dyDescent="0.3">
      <c r="C14377" s="54"/>
      <c r="N14377" s="33"/>
    </row>
    <row r="14378" spans="3:14" x14ac:dyDescent="0.3">
      <c r="C14378" s="54"/>
      <c r="N14378" s="33"/>
    </row>
    <row r="14379" spans="3:14" x14ac:dyDescent="0.3">
      <c r="C14379" s="54"/>
      <c r="N14379" s="33"/>
    </row>
    <row r="14380" spans="3:14" x14ac:dyDescent="0.3">
      <c r="C14380" s="54"/>
      <c r="N14380" s="33"/>
    </row>
    <row r="14381" spans="3:14" x14ac:dyDescent="0.3">
      <c r="C14381" s="54"/>
      <c r="N14381" s="33"/>
    </row>
    <row r="14382" spans="3:14" x14ac:dyDescent="0.3">
      <c r="C14382" s="54"/>
      <c r="N14382" s="33"/>
    </row>
    <row r="14383" spans="3:14" x14ac:dyDescent="0.3">
      <c r="C14383" s="54"/>
      <c r="N14383" s="33"/>
    </row>
    <row r="14384" spans="3:14" x14ac:dyDescent="0.3">
      <c r="C14384" s="54"/>
      <c r="N14384" s="33"/>
    </row>
    <row r="14385" spans="3:14" x14ac:dyDescent="0.3">
      <c r="C14385" s="54"/>
      <c r="N14385" s="33"/>
    </row>
    <row r="14386" spans="3:14" x14ac:dyDescent="0.3">
      <c r="C14386" s="54"/>
      <c r="N14386" s="33"/>
    </row>
    <row r="14387" spans="3:14" x14ac:dyDescent="0.3">
      <c r="C14387" s="54"/>
      <c r="N14387" s="33"/>
    </row>
    <row r="14388" spans="3:14" x14ac:dyDescent="0.3">
      <c r="C14388" s="54"/>
      <c r="N14388" s="33"/>
    </row>
    <row r="14389" spans="3:14" x14ac:dyDescent="0.3">
      <c r="C14389" s="54"/>
      <c r="N14389" s="33"/>
    </row>
    <row r="14390" spans="3:14" x14ac:dyDescent="0.3">
      <c r="C14390" s="54"/>
      <c r="N14390" s="33"/>
    </row>
    <row r="14391" spans="3:14" x14ac:dyDescent="0.3">
      <c r="C14391" s="54"/>
      <c r="N14391" s="33"/>
    </row>
    <row r="14392" spans="3:14" x14ac:dyDescent="0.3">
      <c r="C14392" s="54"/>
      <c r="N14392" s="33"/>
    </row>
    <row r="14393" spans="3:14" x14ac:dyDescent="0.3">
      <c r="C14393" s="54"/>
      <c r="N14393" s="33"/>
    </row>
    <row r="14394" spans="3:14" x14ac:dyDescent="0.3">
      <c r="C14394" s="54"/>
      <c r="N14394" s="33"/>
    </row>
    <row r="14395" spans="3:14" x14ac:dyDescent="0.3">
      <c r="C14395" s="54"/>
      <c r="N14395" s="33"/>
    </row>
    <row r="14396" spans="3:14" x14ac:dyDescent="0.3">
      <c r="C14396" s="54"/>
      <c r="N14396" s="33"/>
    </row>
    <row r="14397" spans="3:14" x14ac:dyDescent="0.3">
      <c r="C14397" s="54"/>
      <c r="N14397" s="33"/>
    </row>
    <row r="14398" spans="3:14" x14ac:dyDescent="0.3">
      <c r="C14398" s="54"/>
      <c r="N14398" s="33"/>
    </row>
    <row r="14399" spans="3:14" x14ac:dyDescent="0.3">
      <c r="C14399" s="54"/>
      <c r="N14399" s="33"/>
    </row>
    <row r="14400" spans="3:14" x14ac:dyDescent="0.3">
      <c r="C14400" s="54"/>
      <c r="N14400" s="33"/>
    </row>
    <row r="14401" spans="3:14" x14ac:dyDescent="0.3">
      <c r="C14401" s="54"/>
      <c r="N14401" s="33"/>
    </row>
    <row r="14402" spans="3:14" x14ac:dyDescent="0.3">
      <c r="C14402" s="54"/>
      <c r="N14402" s="33"/>
    </row>
    <row r="14403" spans="3:14" x14ac:dyDescent="0.3">
      <c r="C14403" s="54"/>
      <c r="N14403" s="33"/>
    </row>
    <row r="14404" spans="3:14" x14ac:dyDescent="0.3">
      <c r="C14404" s="54"/>
      <c r="N14404" s="33"/>
    </row>
    <row r="14405" spans="3:14" x14ac:dyDescent="0.3">
      <c r="C14405" s="54"/>
      <c r="N14405" s="33"/>
    </row>
    <row r="14406" spans="3:14" x14ac:dyDescent="0.3">
      <c r="C14406" s="54"/>
      <c r="N14406" s="33"/>
    </row>
    <row r="14407" spans="3:14" x14ac:dyDescent="0.3">
      <c r="C14407" s="54"/>
      <c r="N14407" s="33"/>
    </row>
    <row r="14408" spans="3:14" x14ac:dyDescent="0.3">
      <c r="C14408" s="54"/>
      <c r="N14408" s="33"/>
    </row>
    <row r="14409" spans="3:14" x14ac:dyDescent="0.3">
      <c r="C14409" s="54"/>
      <c r="N14409" s="33"/>
    </row>
    <row r="14410" spans="3:14" x14ac:dyDescent="0.3">
      <c r="C14410" s="54"/>
      <c r="N14410" s="33"/>
    </row>
    <row r="14411" spans="3:14" x14ac:dyDescent="0.3">
      <c r="C14411" s="54"/>
      <c r="N14411" s="33"/>
    </row>
    <row r="14412" spans="3:14" x14ac:dyDescent="0.3">
      <c r="C14412" s="54"/>
      <c r="N14412" s="33"/>
    </row>
    <row r="14413" spans="3:14" x14ac:dyDescent="0.3">
      <c r="C14413" s="54"/>
      <c r="N14413" s="33"/>
    </row>
    <row r="14414" spans="3:14" x14ac:dyDescent="0.3">
      <c r="C14414" s="54"/>
      <c r="N14414" s="33"/>
    </row>
    <row r="14415" spans="3:14" x14ac:dyDescent="0.3">
      <c r="C14415" s="54"/>
      <c r="N14415" s="33"/>
    </row>
    <row r="14416" spans="3:14" x14ac:dyDescent="0.3">
      <c r="C14416" s="54"/>
      <c r="N14416" s="33"/>
    </row>
    <row r="14417" spans="3:14" x14ac:dyDescent="0.3">
      <c r="C14417" s="54"/>
      <c r="N14417" s="33"/>
    </row>
    <row r="14418" spans="3:14" x14ac:dyDescent="0.3">
      <c r="C14418" s="54"/>
      <c r="N14418" s="33"/>
    </row>
    <row r="14419" spans="3:14" x14ac:dyDescent="0.3">
      <c r="C14419" s="54"/>
      <c r="N14419" s="33"/>
    </row>
    <row r="14420" spans="3:14" x14ac:dyDescent="0.3">
      <c r="C14420" s="54"/>
      <c r="N14420" s="33"/>
    </row>
    <row r="14421" spans="3:14" x14ac:dyDescent="0.3">
      <c r="C14421" s="54"/>
      <c r="N14421" s="33"/>
    </row>
    <row r="14422" spans="3:14" x14ac:dyDescent="0.3">
      <c r="C14422" s="54"/>
      <c r="N14422" s="33"/>
    </row>
    <row r="14423" spans="3:14" x14ac:dyDescent="0.3">
      <c r="C14423" s="54"/>
      <c r="N14423" s="33"/>
    </row>
    <row r="14424" spans="3:14" x14ac:dyDescent="0.3">
      <c r="C14424" s="54"/>
      <c r="N14424" s="33"/>
    </row>
    <row r="14425" spans="3:14" x14ac:dyDescent="0.3">
      <c r="C14425" s="54"/>
      <c r="N14425" s="33"/>
    </row>
    <row r="14426" spans="3:14" x14ac:dyDescent="0.3">
      <c r="C14426" s="54"/>
      <c r="N14426" s="33"/>
    </row>
    <row r="14427" spans="3:14" x14ac:dyDescent="0.3">
      <c r="C14427" s="54"/>
      <c r="N14427" s="33"/>
    </row>
    <row r="14428" spans="3:14" x14ac:dyDescent="0.3">
      <c r="C14428" s="54"/>
      <c r="N14428" s="33"/>
    </row>
    <row r="14429" spans="3:14" x14ac:dyDescent="0.3">
      <c r="C14429" s="54"/>
      <c r="N14429" s="33"/>
    </row>
    <row r="14430" spans="3:14" x14ac:dyDescent="0.3">
      <c r="C14430" s="54"/>
      <c r="N14430" s="33"/>
    </row>
    <row r="14431" spans="3:14" x14ac:dyDescent="0.3">
      <c r="C14431" s="54"/>
      <c r="N14431" s="33"/>
    </row>
    <row r="14432" spans="3:14" x14ac:dyDescent="0.3">
      <c r="C14432" s="54"/>
      <c r="N14432" s="33"/>
    </row>
    <row r="14433" spans="3:14" x14ac:dyDescent="0.3">
      <c r="C14433" s="54"/>
      <c r="N14433" s="33"/>
    </row>
    <row r="14434" spans="3:14" x14ac:dyDescent="0.3">
      <c r="C14434" s="54"/>
      <c r="N14434" s="33"/>
    </row>
    <row r="14435" spans="3:14" x14ac:dyDescent="0.3">
      <c r="C14435" s="54"/>
      <c r="N14435" s="33"/>
    </row>
    <row r="14436" spans="3:14" x14ac:dyDescent="0.3">
      <c r="C14436" s="54"/>
      <c r="N14436" s="33"/>
    </row>
    <row r="14437" spans="3:14" x14ac:dyDescent="0.3">
      <c r="C14437" s="54"/>
      <c r="N14437" s="33"/>
    </row>
    <row r="14438" spans="3:14" x14ac:dyDescent="0.3">
      <c r="C14438" s="54"/>
      <c r="N14438" s="33"/>
    </row>
    <row r="14439" spans="3:14" x14ac:dyDescent="0.3">
      <c r="C14439" s="54"/>
      <c r="N14439" s="33"/>
    </row>
    <row r="14440" spans="3:14" x14ac:dyDescent="0.3">
      <c r="C14440" s="54"/>
      <c r="N14440" s="33"/>
    </row>
    <row r="14441" spans="3:14" x14ac:dyDescent="0.3">
      <c r="C14441" s="54"/>
      <c r="N14441" s="33"/>
    </row>
    <row r="14442" spans="3:14" x14ac:dyDescent="0.3">
      <c r="C14442" s="54"/>
      <c r="N14442" s="33"/>
    </row>
    <row r="14443" spans="3:14" x14ac:dyDescent="0.3">
      <c r="C14443" s="54"/>
      <c r="N14443" s="33"/>
    </row>
    <row r="14444" spans="3:14" x14ac:dyDescent="0.3">
      <c r="C14444" s="54"/>
      <c r="N14444" s="33"/>
    </row>
    <row r="14445" spans="3:14" x14ac:dyDescent="0.3">
      <c r="C14445" s="54"/>
      <c r="N14445" s="33"/>
    </row>
    <row r="14446" spans="3:14" x14ac:dyDescent="0.3">
      <c r="C14446" s="54"/>
      <c r="N14446" s="33"/>
    </row>
    <row r="14447" spans="3:14" x14ac:dyDescent="0.3">
      <c r="C14447" s="54"/>
      <c r="N14447" s="33"/>
    </row>
    <row r="14448" spans="3:14" x14ac:dyDescent="0.3">
      <c r="C14448" s="54"/>
      <c r="N14448" s="33"/>
    </row>
    <row r="14449" spans="3:14" x14ac:dyDescent="0.3">
      <c r="C14449" s="54"/>
      <c r="N14449" s="33"/>
    </row>
    <row r="14450" spans="3:14" x14ac:dyDescent="0.3">
      <c r="C14450" s="54"/>
      <c r="N14450" s="33"/>
    </row>
    <row r="14451" spans="3:14" x14ac:dyDescent="0.3">
      <c r="C14451" s="54"/>
      <c r="N14451" s="33"/>
    </row>
    <row r="14452" spans="3:14" x14ac:dyDescent="0.3">
      <c r="C14452" s="54"/>
      <c r="N14452" s="33"/>
    </row>
    <row r="14453" spans="3:14" x14ac:dyDescent="0.3">
      <c r="C14453" s="54"/>
      <c r="N14453" s="33"/>
    </row>
    <row r="14454" spans="3:14" x14ac:dyDescent="0.3">
      <c r="C14454" s="54"/>
      <c r="N14454" s="33"/>
    </row>
    <row r="14455" spans="3:14" x14ac:dyDescent="0.3">
      <c r="C14455" s="54"/>
      <c r="N14455" s="33"/>
    </row>
    <row r="14456" spans="3:14" x14ac:dyDescent="0.3">
      <c r="C14456" s="54"/>
      <c r="N14456" s="33"/>
    </row>
    <row r="14457" spans="3:14" x14ac:dyDescent="0.3">
      <c r="C14457" s="54"/>
      <c r="N14457" s="33"/>
    </row>
    <row r="14458" spans="3:14" x14ac:dyDescent="0.3">
      <c r="C14458" s="54"/>
      <c r="N14458" s="33"/>
    </row>
    <row r="14459" spans="3:14" x14ac:dyDescent="0.3">
      <c r="C14459" s="54"/>
      <c r="N14459" s="33"/>
    </row>
    <row r="14460" spans="3:14" x14ac:dyDescent="0.3">
      <c r="C14460" s="54"/>
      <c r="N14460" s="33"/>
    </row>
    <row r="14461" spans="3:14" x14ac:dyDescent="0.3">
      <c r="C14461" s="54"/>
      <c r="N14461" s="33"/>
    </row>
    <row r="14462" spans="3:14" x14ac:dyDescent="0.3">
      <c r="C14462" s="54"/>
      <c r="N14462" s="33"/>
    </row>
    <row r="14463" spans="3:14" x14ac:dyDescent="0.3">
      <c r="C14463" s="54"/>
      <c r="N14463" s="33"/>
    </row>
    <row r="14464" spans="3:14" x14ac:dyDescent="0.3">
      <c r="C14464" s="54"/>
      <c r="N14464" s="33"/>
    </row>
    <row r="14465" spans="3:14" x14ac:dyDescent="0.3">
      <c r="C14465" s="54"/>
      <c r="N14465" s="33"/>
    </row>
    <row r="14466" spans="3:14" x14ac:dyDescent="0.3">
      <c r="C14466" s="54"/>
      <c r="N14466" s="33"/>
    </row>
    <row r="14467" spans="3:14" x14ac:dyDescent="0.3">
      <c r="C14467" s="54"/>
      <c r="N14467" s="33"/>
    </row>
    <row r="14468" spans="3:14" x14ac:dyDescent="0.3">
      <c r="C14468" s="54"/>
      <c r="N14468" s="33"/>
    </row>
    <row r="14469" spans="3:14" x14ac:dyDescent="0.3">
      <c r="C14469" s="54"/>
      <c r="N14469" s="33"/>
    </row>
    <row r="14470" spans="3:14" x14ac:dyDescent="0.3">
      <c r="C14470" s="54"/>
      <c r="N14470" s="33"/>
    </row>
    <row r="14471" spans="3:14" x14ac:dyDescent="0.3">
      <c r="C14471" s="54"/>
      <c r="N14471" s="33"/>
    </row>
    <row r="14472" spans="3:14" x14ac:dyDescent="0.3">
      <c r="C14472" s="54"/>
      <c r="N14472" s="33"/>
    </row>
    <row r="14473" spans="3:14" x14ac:dyDescent="0.3">
      <c r="C14473" s="54"/>
      <c r="N14473" s="33"/>
    </row>
    <row r="14474" spans="3:14" x14ac:dyDescent="0.3">
      <c r="C14474" s="54"/>
      <c r="N14474" s="33"/>
    </row>
    <row r="14475" spans="3:14" x14ac:dyDescent="0.3">
      <c r="C14475" s="54"/>
      <c r="N14475" s="33"/>
    </row>
    <row r="14476" spans="3:14" x14ac:dyDescent="0.3">
      <c r="C14476" s="54"/>
      <c r="N14476" s="33"/>
    </row>
    <row r="14477" spans="3:14" x14ac:dyDescent="0.3">
      <c r="C14477" s="54"/>
      <c r="N14477" s="33"/>
    </row>
    <row r="14478" spans="3:14" x14ac:dyDescent="0.3">
      <c r="C14478" s="54"/>
      <c r="N14478" s="33"/>
    </row>
    <row r="14479" spans="3:14" x14ac:dyDescent="0.3">
      <c r="C14479" s="54"/>
      <c r="N14479" s="33"/>
    </row>
    <row r="14480" spans="3:14" x14ac:dyDescent="0.3">
      <c r="C14480" s="54"/>
      <c r="N14480" s="33"/>
    </row>
    <row r="14481" spans="3:14" x14ac:dyDescent="0.3">
      <c r="C14481" s="54"/>
      <c r="N14481" s="33"/>
    </row>
    <row r="14482" spans="3:14" x14ac:dyDescent="0.3">
      <c r="C14482" s="54"/>
      <c r="N14482" s="33"/>
    </row>
    <row r="14483" spans="3:14" x14ac:dyDescent="0.3">
      <c r="C14483" s="54"/>
      <c r="N14483" s="33"/>
    </row>
    <row r="14484" spans="3:14" x14ac:dyDescent="0.3">
      <c r="C14484" s="54"/>
      <c r="N14484" s="33"/>
    </row>
    <row r="14485" spans="3:14" x14ac:dyDescent="0.3">
      <c r="C14485" s="54"/>
      <c r="N14485" s="33"/>
    </row>
    <row r="14486" spans="3:14" x14ac:dyDescent="0.3">
      <c r="C14486" s="54"/>
      <c r="N14486" s="33"/>
    </row>
    <row r="14487" spans="3:14" x14ac:dyDescent="0.3">
      <c r="C14487" s="54"/>
      <c r="N14487" s="33"/>
    </row>
    <row r="14488" spans="3:14" x14ac:dyDescent="0.3">
      <c r="C14488" s="54"/>
      <c r="N14488" s="33"/>
    </row>
    <row r="14489" spans="3:14" x14ac:dyDescent="0.3">
      <c r="C14489" s="54"/>
      <c r="N14489" s="33"/>
    </row>
    <row r="14490" spans="3:14" x14ac:dyDescent="0.3">
      <c r="C14490" s="54"/>
      <c r="N14490" s="33"/>
    </row>
    <row r="14491" spans="3:14" x14ac:dyDescent="0.3">
      <c r="C14491" s="54"/>
      <c r="N14491" s="33"/>
    </row>
    <row r="14492" spans="3:14" x14ac:dyDescent="0.3">
      <c r="C14492" s="54"/>
      <c r="N14492" s="33"/>
    </row>
    <row r="14493" spans="3:14" x14ac:dyDescent="0.3">
      <c r="C14493" s="54"/>
      <c r="N14493" s="33"/>
    </row>
    <row r="14494" spans="3:14" x14ac:dyDescent="0.3">
      <c r="C14494" s="54"/>
      <c r="N14494" s="33"/>
    </row>
    <row r="14495" spans="3:14" x14ac:dyDescent="0.3">
      <c r="C14495" s="54"/>
      <c r="N14495" s="33"/>
    </row>
    <row r="14496" spans="3:14" x14ac:dyDescent="0.3">
      <c r="C14496" s="54"/>
      <c r="N14496" s="33"/>
    </row>
    <row r="14497" spans="3:14" x14ac:dyDescent="0.3">
      <c r="C14497" s="54"/>
      <c r="N14497" s="33"/>
    </row>
    <row r="14498" spans="3:14" x14ac:dyDescent="0.3">
      <c r="C14498" s="54"/>
      <c r="N14498" s="33"/>
    </row>
    <row r="14499" spans="3:14" x14ac:dyDescent="0.3">
      <c r="C14499" s="54"/>
      <c r="N14499" s="33"/>
    </row>
    <row r="14500" spans="3:14" x14ac:dyDescent="0.3">
      <c r="C14500" s="54"/>
      <c r="N14500" s="33"/>
    </row>
    <row r="14501" spans="3:14" x14ac:dyDescent="0.3">
      <c r="C14501" s="54"/>
      <c r="N14501" s="33"/>
    </row>
    <row r="14502" spans="3:14" x14ac:dyDescent="0.3">
      <c r="C14502" s="54"/>
      <c r="N14502" s="33"/>
    </row>
    <row r="14503" spans="3:14" x14ac:dyDescent="0.3">
      <c r="C14503" s="54"/>
      <c r="N14503" s="33"/>
    </row>
    <row r="14504" spans="3:14" x14ac:dyDescent="0.3">
      <c r="C14504" s="54"/>
      <c r="N14504" s="33"/>
    </row>
    <row r="14505" spans="3:14" x14ac:dyDescent="0.3">
      <c r="C14505" s="54"/>
      <c r="N14505" s="33"/>
    </row>
    <row r="14506" spans="3:14" x14ac:dyDescent="0.3">
      <c r="C14506" s="54"/>
      <c r="N14506" s="33"/>
    </row>
    <row r="14507" spans="3:14" x14ac:dyDescent="0.3">
      <c r="C14507" s="54"/>
      <c r="N14507" s="33"/>
    </row>
    <row r="14508" spans="3:14" x14ac:dyDescent="0.3">
      <c r="C14508" s="54"/>
      <c r="N14508" s="33"/>
    </row>
    <row r="14509" spans="3:14" x14ac:dyDescent="0.3">
      <c r="C14509" s="54"/>
      <c r="N14509" s="33"/>
    </row>
    <row r="14510" spans="3:14" x14ac:dyDescent="0.3">
      <c r="C14510" s="54"/>
      <c r="N14510" s="33"/>
    </row>
    <row r="14511" spans="3:14" x14ac:dyDescent="0.3">
      <c r="C14511" s="54"/>
      <c r="N14511" s="33"/>
    </row>
    <row r="14512" spans="3:14" x14ac:dyDescent="0.3">
      <c r="C14512" s="54"/>
      <c r="N14512" s="33"/>
    </row>
    <row r="14513" spans="3:14" x14ac:dyDescent="0.3">
      <c r="C14513" s="54"/>
      <c r="N14513" s="33"/>
    </row>
    <row r="14514" spans="3:14" x14ac:dyDescent="0.3">
      <c r="C14514" s="54"/>
      <c r="N14514" s="33"/>
    </row>
    <row r="14515" spans="3:14" x14ac:dyDescent="0.3">
      <c r="C14515" s="54"/>
      <c r="N14515" s="33"/>
    </row>
    <row r="14516" spans="3:14" x14ac:dyDescent="0.3">
      <c r="C14516" s="54"/>
      <c r="N14516" s="33"/>
    </row>
    <row r="14517" spans="3:14" x14ac:dyDescent="0.3">
      <c r="C14517" s="54"/>
      <c r="N14517" s="33"/>
    </row>
    <row r="14518" spans="3:14" x14ac:dyDescent="0.3">
      <c r="C14518" s="54"/>
      <c r="N14518" s="33"/>
    </row>
    <row r="14519" spans="3:14" x14ac:dyDescent="0.3">
      <c r="C14519" s="54"/>
      <c r="N14519" s="33"/>
    </row>
    <row r="14520" spans="3:14" x14ac:dyDescent="0.3">
      <c r="C14520" s="54"/>
      <c r="N14520" s="33"/>
    </row>
    <row r="14521" spans="3:14" x14ac:dyDescent="0.3">
      <c r="C14521" s="54"/>
      <c r="N14521" s="33"/>
    </row>
    <row r="14522" spans="3:14" x14ac:dyDescent="0.3">
      <c r="C14522" s="54"/>
      <c r="N14522" s="33"/>
    </row>
    <row r="14523" spans="3:14" x14ac:dyDescent="0.3">
      <c r="C14523" s="54"/>
      <c r="N14523" s="33"/>
    </row>
    <row r="14524" spans="3:14" x14ac:dyDescent="0.3">
      <c r="C14524" s="54"/>
      <c r="N14524" s="33"/>
    </row>
    <row r="14525" spans="3:14" x14ac:dyDescent="0.3">
      <c r="C14525" s="54"/>
      <c r="N14525" s="33"/>
    </row>
    <row r="14526" spans="3:14" x14ac:dyDescent="0.3">
      <c r="C14526" s="54"/>
      <c r="N14526" s="33"/>
    </row>
    <row r="14527" spans="3:14" x14ac:dyDescent="0.3">
      <c r="C14527" s="54"/>
      <c r="N14527" s="33"/>
    </row>
    <row r="14528" spans="3:14" x14ac:dyDescent="0.3">
      <c r="C14528" s="54"/>
      <c r="N14528" s="33"/>
    </row>
    <row r="14529" spans="3:14" x14ac:dyDescent="0.3">
      <c r="C14529" s="54"/>
      <c r="N14529" s="33"/>
    </row>
    <row r="14530" spans="3:14" x14ac:dyDescent="0.3">
      <c r="C14530" s="54"/>
      <c r="N14530" s="33"/>
    </row>
    <row r="14531" spans="3:14" x14ac:dyDescent="0.3">
      <c r="C14531" s="54"/>
      <c r="N14531" s="33"/>
    </row>
    <row r="14532" spans="3:14" x14ac:dyDescent="0.3">
      <c r="C14532" s="54"/>
      <c r="N14532" s="33"/>
    </row>
    <row r="14533" spans="3:14" x14ac:dyDescent="0.3">
      <c r="C14533" s="54"/>
      <c r="N14533" s="33"/>
    </row>
    <row r="14534" spans="3:14" x14ac:dyDescent="0.3">
      <c r="C14534" s="54"/>
      <c r="N14534" s="33"/>
    </row>
    <row r="14535" spans="3:14" x14ac:dyDescent="0.3">
      <c r="C14535" s="54"/>
      <c r="N14535" s="33"/>
    </row>
    <row r="14536" spans="3:14" x14ac:dyDescent="0.3">
      <c r="C14536" s="54"/>
      <c r="N14536" s="33"/>
    </row>
    <row r="14537" spans="3:14" x14ac:dyDescent="0.3">
      <c r="C14537" s="54"/>
      <c r="N14537" s="33"/>
    </row>
    <row r="14538" spans="3:14" x14ac:dyDescent="0.3">
      <c r="C14538" s="54"/>
      <c r="N14538" s="33"/>
    </row>
    <row r="14539" spans="3:14" x14ac:dyDescent="0.3">
      <c r="C14539" s="54"/>
      <c r="N14539" s="33"/>
    </row>
    <row r="14540" spans="3:14" x14ac:dyDescent="0.3">
      <c r="C14540" s="54"/>
      <c r="N14540" s="33"/>
    </row>
    <row r="14541" spans="3:14" x14ac:dyDescent="0.3">
      <c r="C14541" s="54"/>
      <c r="N14541" s="33"/>
    </row>
    <row r="14542" spans="3:14" x14ac:dyDescent="0.3">
      <c r="C14542" s="54"/>
      <c r="N14542" s="33"/>
    </row>
    <row r="14543" spans="3:14" x14ac:dyDescent="0.3">
      <c r="C14543" s="54"/>
      <c r="N14543" s="33"/>
    </row>
    <row r="14544" spans="3:14" x14ac:dyDescent="0.3">
      <c r="C14544" s="54"/>
      <c r="N14544" s="33"/>
    </row>
    <row r="14545" spans="3:14" x14ac:dyDescent="0.3">
      <c r="C14545" s="54"/>
      <c r="N14545" s="33"/>
    </row>
    <row r="14546" spans="3:14" x14ac:dyDescent="0.3">
      <c r="C14546" s="54"/>
      <c r="N14546" s="33"/>
    </row>
    <row r="14547" spans="3:14" x14ac:dyDescent="0.3">
      <c r="C14547" s="54"/>
      <c r="N14547" s="33"/>
    </row>
    <row r="14548" spans="3:14" x14ac:dyDescent="0.3">
      <c r="C14548" s="54"/>
      <c r="N14548" s="33"/>
    </row>
    <row r="14549" spans="3:14" x14ac:dyDescent="0.3">
      <c r="C14549" s="54"/>
      <c r="N14549" s="33"/>
    </row>
    <row r="14550" spans="3:14" x14ac:dyDescent="0.3">
      <c r="C14550" s="54"/>
      <c r="N14550" s="33"/>
    </row>
    <row r="14551" spans="3:14" x14ac:dyDescent="0.3">
      <c r="C14551" s="54"/>
      <c r="N14551" s="33"/>
    </row>
    <row r="14552" spans="3:14" x14ac:dyDescent="0.3">
      <c r="C14552" s="54"/>
      <c r="N14552" s="33"/>
    </row>
    <row r="14553" spans="3:14" x14ac:dyDescent="0.3">
      <c r="C14553" s="54"/>
      <c r="N14553" s="33"/>
    </row>
    <row r="14554" spans="3:14" x14ac:dyDescent="0.3">
      <c r="C14554" s="54"/>
      <c r="N14554" s="33"/>
    </row>
    <row r="14555" spans="3:14" x14ac:dyDescent="0.3">
      <c r="C14555" s="54"/>
      <c r="N14555" s="33"/>
    </row>
    <row r="14556" spans="3:14" x14ac:dyDescent="0.3">
      <c r="C14556" s="54"/>
      <c r="N14556" s="33"/>
    </row>
    <row r="14557" spans="3:14" x14ac:dyDescent="0.3">
      <c r="C14557" s="54"/>
      <c r="N14557" s="33"/>
    </row>
    <row r="14558" spans="3:14" x14ac:dyDescent="0.3">
      <c r="C14558" s="54"/>
      <c r="N14558" s="33"/>
    </row>
    <row r="14559" spans="3:14" x14ac:dyDescent="0.3">
      <c r="C14559" s="54"/>
      <c r="N14559" s="33"/>
    </row>
    <row r="14560" spans="3:14" x14ac:dyDescent="0.3">
      <c r="C14560" s="54"/>
      <c r="N14560" s="33"/>
    </row>
    <row r="14561" spans="3:14" x14ac:dyDescent="0.3">
      <c r="C14561" s="54"/>
      <c r="N14561" s="33"/>
    </row>
    <row r="14562" spans="3:14" x14ac:dyDescent="0.3">
      <c r="C14562" s="54"/>
      <c r="N14562" s="33"/>
    </row>
    <row r="14563" spans="3:14" x14ac:dyDescent="0.3">
      <c r="C14563" s="54"/>
      <c r="N14563" s="33"/>
    </row>
    <row r="14564" spans="3:14" x14ac:dyDescent="0.3">
      <c r="C14564" s="54"/>
      <c r="N14564" s="33"/>
    </row>
    <row r="14565" spans="3:14" x14ac:dyDescent="0.3">
      <c r="C14565" s="54"/>
      <c r="N14565" s="33"/>
    </row>
    <row r="14566" spans="3:14" x14ac:dyDescent="0.3">
      <c r="C14566" s="54"/>
      <c r="N14566" s="33"/>
    </row>
    <row r="14567" spans="3:14" x14ac:dyDescent="0.3">
      <c r="C14567" s="54"/>
      <c r="N14567" s="33"/>
    </row>
    <row r="14568" spans="3:14" x14ac:dyDescent="0.3">
      <c r="C14568" s="54"/>
      <c r="N14568" s="33"/>
    </row>
    <row r="14569" spans="3:14" x14ac:dyDescent="0.3">
      <c r="C14569" s="54"/>
      <c r="N14569" s="33"/>
    </row>
    <row r="14570" spans="3:14" x14ac:dyDescent="0.3">
      <c r="C14570" s="54"/>
      <c r="N14570" s="33"/>
    </row>
    <row r="14571" spans="3:14" x14ac:dyDescent="0.3">
      <c r="C14571" s="54"/>
      <c r="N14571" s="33"/>
    </row>
    <row r="14572" spans="3:14" x14ac:dyDescent="0.3">
      <c r="C14572" s="54"/>
      <c r="N14572" s="33"/>
    </row>
    <row r="14573" spans="3:14" x14ac:dyDescent="0.3">
      <c r="C14573" s="54"/>
      <c r="N14573" s="33"/>
    </row>
    <row r="14574" spans="3:14" x14ac:dyDescent="0.3">
      <c r="C14574" s="54"/>
      <c r="N14574" s="33"/>
    </row>
    <row r="14575" spans="3:14" x14ac:dyDescent="0.3">
      <c r="C14575" s="54"/>
      <c r="N14575" s="33"/>
    </row>
    <row r="14576" spans="3:14" x14ac:dyDescent="0.3">
      <c r="C14576" s="54"/>
      <c r="N14576" s="33"/>
    </row>
    <row r="14577" spans="3:14" x14ac:dyDescent="0.3">
      <c r="C14577" s="54"/>
      <c r="N14577" s="33"/>
    </row>
    <row r="14578" spans="3:14" x14ac:dyDescent="0.3">
      <c r="C14578" s="54"/>
      <c r="N14578" s="33"/>
    </row>
    <row r="14579" spans="3:14" x14ac:dyDescent="0.3">
      <c r="C14579" s="54"/>
      <c r="N14579" s="33"/>
    </row>
    <row r="14580" spans="3:14" x14ac:dyDescent="0.3">
      <c r="C14580" s="54"/>
      <c r="N14580" s="33"/>
    </row>
    <row r="14581" spans="3:14" x14ac:dyDescent="0.3">
      <c r="C14581" s="54"/>
      <c r="N14581" s="33"/>
    </row>
    <row r="14582" spans="3:14" x14ac:dyDescent="0.3">
      <c r="C14582" s="54"/>
      <c r="N14582" s="33"/>
    </row>
    <row r="14583" spans="3:14" x14ac:dyDescent="0.3">
      <c r="C14583" s="54"/>
      <c r="N14583" s="33"/>
    </row>
    <row r="14584" spans="3:14" x14ac:dyDescent="0.3">
      <c r="C14584" s="54"/>
      <c r="N14584" s="33"/>
    </row>
    <row r="14585" spans="3:14" x14ac:dyDescent="0.3">
      <c r="C14585" s="54"/>
      <c r="N14585" s="33"/>
    </row>
    <row r="14586" spans="3:14" x14ac:dyDescent="0.3">
      <c r="C14586" s="54"/>
      <c r="N14586" s="33"/>
    </row>
    <row r="14587" spans="3:14" x14ac:dyDescent="0.3">
      <c r="C14587" s="54"/>
      <c r="N14587" s="33"/>
    </row>
    <row r="14588" spans="3:14" x14ac:dyDescent="0.3">
      <c r="C14588" s="54"/>
      <c r="N14588" s="33"/>
    </row>
    <row r="14589" spans="3:14" x14ac:dyDescent="0.3">
      <c r="C14589" s="54"/>
      <c r="N14589" s="33"/>
    </row>
    <row r="14590" spans="3:14" x14ac:dyDescent="0.3">
      <c r="C14590" s="54"/>
      <c r="N14590" s="33"/>
    </row>
    <row r="14591" spans="3:14" x14ac:dyDescent="0.3">
      <c r="C14591" s="54"/>
      <c r="N14591" s="33"/>
    </row>
    <row r="14592" spans="3:14" x14ac:dyDescent="0.3">
      <c r="C14592" s="54"/>
      <c r="N14592" s="33"/>
    </row>
    <row r="14593" spans="3:14" x14ac:dyDescent="0.3">
      <c r="C14593" s="54"/>
      <c r="N14593" s="33"/>
    </row>
    <row r="14594" spans="3:14" x14ac:dyDescent="0.3">
      <c r="C14594" s="54"/>
      <c r="N14594" s="33"/>
    </row>
    <row r="14595" spans="3:14" x14ac:dyDescent="0.3">
      <c r="C14595" s="54"/>
      <c r="N14595" s="33"/>
    </row>
    <row r="14596" spans="3:14" x14ac:dyDescent="0.3">
      <c r="C14596" s="54"/>
      <c r="N14596" s="33"/>
    </row>
    <row r="14597" spans="3:14" x14ac:dyDescent="0.3">
      <c r="C14597" s="54"/>
      <c r="N14597" s="33"/>
    </row>
    <row r="14598" spans="3:14" x14ac:dyDescent="0.3">
      <c r="C14598" s="54"/>
      <c r="N14598" s="33"/>
    </row>
    <row r="14599" spans="3:14" x14ac:dyDescent="0.3">
      <c r="C14599" s="54"/>
      <c r="N14599" s="33"/>
    </row>
    <row r="14600" spans="3:14" x14ac:dyDescent="0.3">
      <c r="C14600" s="54"/>
      <c r="N14600" s="33"/>
    </row>
    <row r="14601" spans="3:14" x14ac:dyDescent="0.3">
      <c r="C14601" s="54"/>
      <c r="N14601" s="33"/>
    </row>
    <row r="14602" spans="3:14" x14ac:dyDescent="0.3">
      <c r="C14602" s="54"/>
      <c r="N14602" s="33"/>
    </row>
    <row r="14603" spans="3:14" x14ac:dyDescent="0.3">
      <c r="C14603" s="54"/>
      <c r="N14603" s="33"/>
    </row>
    <row r="14604" spans="3:14" x14ac:dyDescent="0.3">
      <c r="C14604" s="54"/>
      <c r="N14604" s="33"/>
    </row>
    <row r="14605" spans="3:14" x14ac:dyDescent="0.3">
      <c r="C14605" s="54"/>
      <c r="N14605" s="33"/>
    </row>
    <row r="14606" spans="3:14" x14ac:dyDescent="0.3">
      <c r="C14606" s="54"/>
      <c r="N14606" s="33"/>
    </row>
    <row r="14607" spans="3:14" x14ac:dyDescent="0.3">
      <c r="C14607" s="54"/>
      <c r="N14607" s="33"/>
    </row>
    <row r="14608" spans="3:14" x14ac:dyDescent="0.3">
      <c r="C14608" s="54"/>
      <c r="N14608" s="33"/>
    </row>
    <row r="14609" spans="3:14" x14ac:dyDescent="0.3">
      <c r="C14609" s="54"/>
      <c r="N14609" s="33"/>
    </row>
    <row r="14610" spans="3:14" x14ac:dyDescent="0.3">
      <c r="C14610" s="54"/>
      <c r="N14610" s="33"/>
    </row>
    <row r="14611" spans="3:14" x14ac:dyDescent="0.3">
      <c r="C14611" s="54"/>
      <c r="N14611" s="33"/>
    </row>
    <row r="14612" spans="3:14" x14ac:dyDescent="0.3">
      <c r="C14612" s="54"/>
      <c r="N14612" s="33"/>
    </row>
    <row r="14613" spans="3:14" x14ac:dyDescent="0.3">
      <c r="C14613" s="54"/>
      <c r="N14613" s="33"/>
    </row>
    <row r="14614" spans="3:14" x14ac:dyDescent="0.3">
      <c r="C14614" s="54"/>
      <c r="N14614" s="33"/>
    </row>
    <row r="14615" spans="3:14" x14ac:dyDescent="0.3">
      <c r="C14615" s="54"/>
      <c r="N14615" s="33"/>
    </row>
    <row r="14616" spans="3:14" x14ac:dyDescent="0.3">
      <c r="C14616" s="54"/>
      <c r="N14616" s="33"/>
    </row>
    <row r="14617" spans="3:14" x14ac:dyDescent="0.3">
      <c r="C14617" s="54"/>
      <c r="N14617" s="33"/>
    </row>
    <row r="14618" spans="3:14" x14ac:dyDescent="0.3">
      <c r="C14618" s="54"/>
      <c r="N14618" s="33"/>
    </row>
    <row r="14619" spans="3:14" x14ac:dyDescent="0.3">
      <c r="C14619" s="54"/>
      <c r="N14619" s="33"/>
    </row>
    <row r="14620" spans="3:14" x14ac:dyDescent="0.3">
      <c r="C14620" s="54"/>
      <c r="N14620" s="33"/>
    </row>
    <row r="14621" spans="3:14" x14ac:dyDescent="0.3">
      <c r="C14621" s="54"/>
      <c r="N14621" s="33"/>
    </row>
    <row r="14622" spans="3:14" x14ac:dyDescent="0.3">
      <c r="C14622" s="54"/>
      <c r="N14622" s="33"/>
    </row>
    <row r="14623" spans="3:14" x14ac:dyDescent="0.3">
      <c r="C14623" s="54"/>
      <c r="N14623" s="33"/>
    </row>
    <row r="14624" spans="3:14" x14ac:dyDescent="0.3">
      <c r="C14624" s="54"/>
      <c r="N14624" s="33"/>
    </row>
    <row r="14625" spans="3:14" x14ac:dyDescent="0.3">
      <c r="C14625" s="54"/>
      <c r="N14625" s="33"/>
    </row>
    <row r="14626" spans="3:14" x14ac:dyDescent="0.3">
      <c r="C14626" s="54"/>
      <c r="N14626" s="33"/>
    </row>
    <row r="14627" spans="3:14" x14ac:dyDescent="0.3">
      <c r="C14627" s="54"/>
      <c r="N14627" s="33"/>
    </row>
    <row r="14628" spans="3:14" x14ac:dyDescent="0.3">
      <c r="C14628" s="54"/>
      <c r="N14628" s="33"/>
    </row>
    <row r="14629" spans="3:14" x14ac:dyDescent="0.3">
      <c r="C14629" s="54"/>
      <c r="N14629" s="33"/>
    </row>
    <row r="14630" spans="3:14" x14ac:dyDescent="0.3">
      <c r="C14630" s="54"/>
      <c r="N14630" s="33"/>
    </row>
    <row r="14631" spans="3:14" x14ac:dyDescent="0.3">
      <c r="C14631" s="54"/>
      <c r="N14631" s="33"/>
    </row>
    <row r="14632" spans="3:14" x14ac:dyDescent="0.3">
      <c r="C14632" s="54"/>
      <c r="N14632" s="33"/>
    </row>
    <row r="14633" spans="3:14" x14ac:dyDescent="0.3">
      <c r="C14633" s="54"/>
      <c r="N14633" s="33"/>
    </row>
    <row r="14634" spans="3:14" x14ac:dyDescent="0.3">
      <c r="C14634" s="54"/>
      <c r="N14634" s="33"/>
    </row>
    <row r="14635" spans="3:14" x14ac:dyDescent="0.3">
      <c r="C14635" s="54"/>
      <c r="N14635" s="33"/>
    </row>
    <row r="14636" spans="3:14" x14ac:dyDescent="0.3">
      <c r="C14636" s="54"/>
      <c r="N14636" s="33"/>
    </row>
    <row r="14637" spans="3:14" x14ac:dyDescent="0.3">
      <c r="C14637" s="54"/>
      <c r="N14637" s="33"/>
    </row>
    <row r="14638" spans="3:14" x14ac:dyDescent="0.3">
      <c r="C14638" s="54"/>
      <c r="N14638" s="33"/>
    </row>
    <row r="14639" spans="3:14" x14ac:dyDescent="0.3">
      <c r="C14639" s="54"/>
      <c r="N14639" s="33"/>
    </row>
    <row r="14640" spans="3:14" x14ac:dyDescent="0.3">
      <c r="C14640" s="54"/>
      <c r="N14640" s="33"/>
    </row>
    <row r="14641" spans="3:14" x14ac:dyDescent="0.3">
      <c r="C14641" s="54"/>
      <c r="N14641" s="33"/>
    </row>
    <row r="14642" spans="3:14" x14ac:dyDescent="0.3">
      <c r="C14642" s="54"/>
      <c r="N14642" s="33"/>
    </row>
    <row r="14643" spans="3:14" x14ac:dyDescent="0.3">
      <c r="C14643" s="54"/>
      <c r="N14643" s="33"/>
    </row>
    <row r="14644" spans="3:14" x14ac:dyDescent="0.3">
      <c r="C14644" s="54"/>
      <c r="N14644" s="33"/>
    </row>
    <row r="14645" spans="3:14" x14ac:dyDescent="0.3">
      <c r="C14645" s="54"/>
      <c r="N14645" s="33"/>
    </row>
    <row r="14646" spans="3:14" x14ac:dyDescent="0.3">
      <c r="C14646" s="54"/>
      <c r="N14646" s="33"/>
    </row>
    <row r="14647" spans="3:14" x14ac:dyDescent="0.3">
      <c r="C14647" s="54"/>
      <c r="N14647" s="33"/>
    </row>
    <row r="14648" spans="3:14" x14ac:dyDescent="0.3">
      <c r="C14648" s="54"/>
      <c r="N14648" s="33"/>
    </row>
    <row r="14649" spans="3:14" x14ac:dyDescent="0.3">
      <c r="C14649" s="54"/>
      <c r="N14649" s="33"/>
    </row>
    <row r="14650" spans="3:14" x14ac:dyDescent="0.3">
      <c r="C14650" s="54"/>
      <c r="N14650" s="33"/>
    </row>
    <row r="14651" spans="3:14" x14ac:dyDescent="0.3">
      <c r="C14651" s="54"/>
      <c r="N14651" s="33"/>
    </row>
    <row r="14652" spans="3:14" x14ac:dyDescent="0.3">
      <c r="C14652" s="54"/>
      <c r="N14652" s="33"/>
    </row>
    <row r="14653" spans="3:14" x14ac:dyDescent="0.3">
      <c r="C14653" s="54"/>
      <c r="N14653" s="33"/>
    </row>
    <row r="14654" spans="3:14" x14ac:dyDescent="0.3">
      <c r="C14654" s="54"/>
      <c r="N14654" s="33"/>
    </row>
    <row r="14655" spans="3:14" x14ac:dyDescent="0.3">
      <c r="C14655" s="54"/>
      <c r="N14655" s="33"/>
    </row>
    <row r="14656" spans="3:14" x14ac:dyDescent="0.3">
      <c r="C14656" s="54"/>
      <c r="N14656" s="33"/>
    </row>
    <row r="14657" spans="3:14" x14ac:dyDescent="0.3">
      <c r="C14657" s="54"/>
      <c r="N14657" s="33"/>
    </row>
    <row r="14658" spans="3:14" x14ac:dyDescent="0.3">
      <c r="C14658" s="54"/>
      <c r="N14658" s="33"/>
    </row>
    <row r="14659" spans="3:14" x14ac:dyDescent="0.3">
      <c r="C14659" s="54"/>
      <c r="N14659" s="33"/>
    </row>
    <row r="14660" spans="3:14" x14ac:dyDescent="0.3">
      <c r="C14660" s="54"/>
      <c r="N14660" s="33"/>
    </row>
    <row r="14661" spans="3:14" x14ac:dyDescent="0.3">
      <c r="C14661" s="54"/>
      <c r="N14661" s="33"/>
    </row>
    <row r="14662" spans="3:14" x14ac:dyDescent="0.3">
      <c r="C14662" s="54"/>
      <c r="N14662" s="33"/>
    </row>
    <row r="14663" spans="3:14" x14ac:dyDescent="0.3">
      <c r="C14663" s="54"/>
      <c r="N14663" s="33"/>
    </row>
    <row r="14664" spans="3:14" x14ac:dyDescent="0.3">
      <c r="C14664" s="54"/>
      <c r="N14664" s="33"/>
    </row>
    <row r="14665" spans="3:14" x14ac:dyDescent="0.3">
      <c r="C14665" s="54"/>
      <c r="N14665" s="33"/>
    </row>
    <row r="14666" spans="3:14" x14ac:dyDescent="0.3">
      <c r="C14666" s="54"/>
      <c r="N14666" s="33"/>
    </row>
    <row r="14667" spans="3:14" x14ac:dyDescent="0.3">
      <c r="C14667" s="54"/>
      <c r="N14667" s="33"/>
    </row>
    <row r="14668" spans="3:14" x14ac:dyDescent="0.3">
      <c r="C14668" s="54"/>
      <c r="N14668" s="33"/>
    </row>
    <row r="14669" spans="3:14" x14ac:dyDescent="0.3">
      <c r="C14669" s="54"/>
      <c r="N14669" s="33"/>
    </row>
    <row r="14670" spans="3:14" x14ac:dyDescent="0.3">
      <c r="C14670" s="54"/>
      <c r="N14670" s="33"/>
    </row>
    <row r="14671" spans="3:14" x14ac:dyDescent="0.3">
      <c r="C14671" s="54"/>
      <c r="N14671" s="33"/>
    </row>
    <row r="14672" spans="3:14" x14ac:dyDescent="0.3">
      <c r="C14672" s="54"/>
      <c r="N14672" s="33"/>
    </row>
    <row r="14673" spans="3:14" x14ac:dyDescent="0.3">
      <c r="C14673" s="54"/>
      <c r="N14673" s="33"/>
    </row>
    <row r="14674" spans="3:14" x14ac:dyDescent="0.3">
      <c r="C14674" s="54"/>
      <c r="N14674" s="33"/>
    </row>
    <row r="14675" spans="3:14" x14ac:dyDescent="0.3">
      <c r="C14675" s="54"/>
      <c r="N14675" s="33"/>
    </row>
    <row r="14676" spans="3:14" x14ac:dyDescent="0.3">
      <c r="C14676" s="54"/>
      <c r="N14676" s="33"/>
    </row>
    <row r="14677" spans="3:14" x14ac:dyDescent="0.3">
      <c r="C14677" s="54"/>
      <c r="N14677" s="33"/>
    </row>
    <row r="14678" spans="3:14" x14ac:dyDescent="0.3">
      <c r="C14678" s="54"/>
      <c r="N14678" s="33"/>
    </row>
    <row r="14679" spans="3:14" x14ac:dyDescent="0.3">
      <c r="C14679" s="54"/>
      <c r="N14679" s="33"/>
    </row>
    <row r="14680" spans="3:14" x14ac:dyDescent="0.3">
      <c r="C14680" s="54"/>
      <c r="N14680" s="33"/>
    </row>
    <row r="14681" spans="3:14" x14ac:dyDescent="0.3">
      <c r="C14681" s="54"/>
      <c r="N14681" s="33"/>
    </row>
    <row r="14682" spans="3:14" x14ac:dyDescent="0.3">
      <c r="C14682" s="54"/>
      <c r="N14682" s="33"/>
    </row>
    <row r="14683" spans="3:14" x14ac:dyDescent="0.3">
      <c r="C14683" s="54"/>
      <c r="N14683" s="33"/>
    </row>
    <row r="14684" spans="3:14" x14ac:dyDescent="0.3">
      <c r="C14684" s="54"/>
      <c r="N14684" s="33"/>
    </row>
    <row r="14685" spans="3:14" x14ac:dyDescent="0.3">
      <c r="C14685" s="54"/>
      <c r="N14685" s="33"/>
    </row>
    <row r="14686" spans="3:14" x14ac:dyDescent="0.3">
      <c r="C14686" s="54"/>
      <c r="N14686" s="33"/>
    </row>
    <row r="14687" spans="3:14" x14ac:dyDescent="0.3">
      <c r="C14687" s="54"/>
      <c r="N14687" s="33"/>
    </row>
    <row r="14688" spans="3:14" x14ac:dyDescent="0.3">
      <c r="C14688" s="54"/>
      <c r="N14688" s="33"/>
    </row>
    <row r="14689" spans="3:14" x14ac:dyDescent="0.3">
      <c r="C14689" s="54"/>
      <c r="N14689" s="33"/>
    </row>
    <row r="14690" spans="3:14" x14ac:dyDescent="0.3">
      <c r="C14690" s="54"/>
      <c r="N14690" s="33"/>
    </row>
    <row r="14691" spans="3:14" x14ac:dyDescent="0.3">
      <c r="C14691" s="54"/>
      <c r="N14691" s="33"/>
    </row>
    <row r="14692" spans="3:14" x14ac:dyDescent="0.3">
      <c r="C14692" s="54"/>
      <c r="N14692" s="33"/>
    </row>
    <row r="14693" spans="3:14" x14ac:dyDescent="0.3">
      <c r="C14693" s="54"/>
      <c r="N14693" s="33"/>
    </row>
    <row r="14694" spans="3:14" x14ac:dyDescent="0.3">
      <c r="C14694" s="54"/>
      <c r="N14694" s="33"/>
    </row>
    <row r="14695" spans="3:14" x14ac:dyDescent="0.3">
      <c r="C14695" s="54"/>
      <c r="N14695" s="33"/>
    </row>
    <row r="14696" spans="3:14" x14ac:dyDescent="0.3">
      <c r="C14696" s="54"/>
      <c r="N14696" s="33"/>
    </row>
    <row r="14697" spans="3:14" x14ac:dyDescent="0.3">
      <c r="C14697" s="54"/>
      <c r="N14697" s="33"/>
    </row>
    <row r="14698" spans="3:14" x14ac:dyDescent="0.3">
      <c r="C14698" s="54"/>
      <c r="N14698" s="33"/>
    </row>
    <row r="14699" spans="3:14" x14ac:dyDescent="0.3">
      <c r="C14699" s="54"/>
      <c r="N14699" s="33"/>
    </row>
    <row r="14700" spans="3:14" x14ac:dyDescent="0.3">
      <c r="C14700" s="54"/>
      <c r="N14700" s="33"/>
    </row>
    <row r="14701" spans="3:14" x14ac:dyDescent="0.3">
      <c r="C14701" s="54"/>
      <c r="N14701" s="33"/>
    </row>
    <row r="14702" spans="3:14" x14ac:dyDescent="0.3">
      <c r="C14702" s="54"/>
      <c r="N14702" s="33"/>
    </row>
    <row r="14703" spans="3:14" x14ac:dyDescent="0.3">
      <c r="C14703" s="54"/>
      <c r="N14703" s="33"/>
    </row>
    <row r="14704" spans="3:14" x14ac:dyDescent="0.3">
      <c r="C14704" s="54"/>
      <c r="N14704" s="33"/>
    </row>
    <row r="14705" spans="3:14" x14ac:dyDescent="0.3">
      <c r="C14705" s="54"/>
      <c r="N14705" s="33"/>
    </row>
    <row r="14706" spans="3:14" x14ac:dyDescent="0.3">
      <c r="C14706" s="54"/>
      <c r="N14706" s="33"/>
    </row>
    <row r="14707" spans="3:14" x14ac:dyDescent="0.3">
      <c r="C14707" s="54"/>
      <c r="N14707" s="33"/>
    </row>
    <row r="14708" spans="3:14" x14ac:dyDescent="0.3">
      <c r="C14708" s="54"/>
      <c r="N14708" s="33"/>
    </row>
    <row r="14709" spans="3:14" x14ac:dyDescent="0.3">
      <c r="C14709" s="54"/>
      <c r="N14709" s="33"/>
    </row>
    <row r="14710" spans="3:14" x14ac:dyDescent="0.3">
      <c r="C14710" s="54"/>
      <c r="N14710" s="33"/>
    </row>
    <row r="14711" spans="3:14" x14ac:dyDescent="0.3">
      <c r="C14711" s="54"/>
      <c r="N14711" s="33"/>
    </row>
    <row r="14712" spans="3:14" x14ac:dyDescent="0.3">
      <c r="C14712" s="54"/>
      <c r="N14712" s="33"/>
    </row>
    <row r="14713" spans="3:14" x14ac:dyDescent="0.3">
      <c r="C14713" s="54"/>
      <c r="N14713" s="33"/>
    </row>
    <row r="14714" spans="3:14" x14ac:dyDescent="0.3">
      <c r="C14714" s="54"/>
      <c r="N14714" s="33"/>
    </row>
    <row r="14715" spans="3:14" x14ac:dyDescent="0.3">
      <c r="C14715" s="54"/>
      <c r="N14715" s="33"/>
    </row>
    <row r="14716" spans="3:14" x14ac:dyDescent="0.3">
      <c r="C14716" s="54"/>
      <c r="N14716" s="33"/>
    </row>
    <row r="14717" spans="3:14" x14ac:dyDescent="0.3">
      <c r="C14717" s="54"/>
      <c r="N14717" s="33"/>
    </row>
    <row r="14718" spans="3:14" x14ac:dyDescent="0.3">
      <c r="C14718" s="54"/>
      <c r="N14718" s="33"/>
    </row>
    <row r="14719" spans="3:14" x14ac:dyDescent="0.3">
      <c r="C14719" s="54"/>
      <c r="N14719" s="33"/>
    </row>
    <row r="14720" spans="3:14" x14ac:dyDescent="0.3">
      <c r="C14720" s="54"/>
      <c r="N14720" s="33"/>
    </row>
    <row r="14721" spans="3:14" x14ac:dyDescent="0.3">
      <c r="C14721" s="54"/>
      <c r="N14721" s="33"/>
    </row>
    <row r="14722" spans="3:14" x14ac:dyDescent="0.3">
      <c r="C14722" s="54"/>
      <c r="N14722" s="33"/>
    </row>
    <row r="14723" spans="3:14" x14ac:dyDescent="0.3">
      <c r="C14723" s="54"/>
      <c r="N14723" s="33"/>
    </row>
    <row r="14724" spans="3:14" x14ac:dyDescent="0.3">
      <c r="C14724" s="54"/>
      <c r="N14724" s="33"/>
    </row>
    <row r="14725" spans="3:14" x14ac:dyDescent="0.3">
      <c r="C14725" s="54"/>
      <c r="N14725" s="33"/>
    </row>
    <row r="14726" spans="3:14" x14ac:dyDescent="0.3">
      <c r="C14726" s="54"/>
      <c r="N14726" s="33"/>
    </row>
    <row r="14727" spans="3:14" x14ac:dyDescent="0.3">
      <c r="C14727" s="54"/>
      <c r="N14727" s="33"/>
    </row>
    <row r="14728" spans="3:14" x14ac:dyDescent="0.3">
      <c r="C14728" s="54"/>
      <c r="N14728" s="33"/>
    </row>
    <row r="14729" spans="3:14" x14ac:dyDescent="0.3">
      <c r="C14729" s="54"/>
      <c r="N14729" s="33"/>
    </row>
    <row r="14730" spans="3:14" x14ac:dyDescent="0.3">
      <c r="C14730" s="54"/>
      <c r="N14730" s="33"/>
    </row>
    <row r="14731" spans="3:14" x14ac:dyDescent="0.3">
      <c r="C14731" s="54"/>
      <c r="N14731" s="33"/>
    </row>
    <row r="14732" spans="3:14" x14ac:dyDescent="0.3">
      <c r="C14732" s="54"/>
      <c r="N14732" s="33"/>
    </row>
    <row r="14733" spans="3:14" x14ac:dyDescent="0.3">
      <c r="C14733" s="54"/>
      <c r="N14733" s="33"/>
    </row>
    <row r="14734" spans="3:14" x14ac:dyDescent="0.3">
      <c r="C14734" s="54"/>
      <c r="N14734" s="33"/>
    </row>
    <row r="14735" spans="3:14" x14ac:dyDescent="0.3">
      <c r="C14735" s="54"/>
      <c r="N14735" s="33"/>
    </row>
    <row r="14736" spans="3:14" x14ac:dyDescent="0.3">
      <c r="C14736" s="54"/>
      <c r="N14736" s="33"/>
    </row>
    <row r="14737" spans="3:14" x14ac:dyDescent="0.3">
      <c r="C14737" s="54"/>
      <c r="N14737" s="33"/>
    </row>
    <row r="14738" spans="3:14" x14ac:dyDescent="0.3">
      <c r="C14738" s="54"/>
      <c r="N14738" s="33"/>
    </row>
    <row r="14739" spans="3:14" x14ac:dyDescent="0.3">
      <c r="C14739" s="54"/>
      <c r="N14739" s="33"/>
    </row>
    <row r="14740" spans="3:14" x14ac:dyDescent="0.3">
      <c r="C14740" s="54"/>
      <c r="N14740" s="33"/>
    </row>
    <row r="14741" spans="3:14" x14ac:dyDescent="0.3">
      <c r="C14741" s="54"/>
      <c r="N14741" s="33"/>
    </row>
    <row r="14742" spans="3:14" x14ac:dyDescent="0.3">
      <c r="C14742" s="54"/>
      <c r="N14742" s="33"/>
    </row>
    <row r="14743" spans="3:14" x14ac:dyDescent="0.3">
      <c r="C14743" s="54"/>
      <c r="N14743" s="33"/>
    </row>
    <row r="14744" spans="3:14" x14ac:dyDescent="0.3">
      <c r="C14744" s="54"/>
      <c r="N14744" s="33"/>
    </row>
    <row r="14745" spans="3:14" x14ac:dyDescent="0.3">
      <c r="C14745" s="54"/>
      <c r="N14745" s="33"/>
    </row>
    <row r="14746" spans="3:14" x14ac:dyDescent="0.3">
      <c r="C14746" s="54"/>
      <c r="N14746" s="33"/>
    </row>
    <row r="14747" spans="3:14" x14ac:dyDescent="0.3">
      <c r="C14747" s="54"/>
      <c r="N14747" s="33"/>
    </row>
    <row r="14748" spans="3:14" x14ac:dyDescent="0.3">
      <c r="C14748" s="54"/>
      <c r="N14748" s="33"/>
    </row>
    <row r="14749" spans="3:14" x14ac:dyDescent="0.3">
      <c r="C14749" s="54"/>
      <c r="N14749" s="33"/>
    </row>
    <row r="14750" spans="3:14" x14ac:dyDescent="0.3">
      <c r="C14750" s="54"/>
      <c r="N14750" s="33"/>
    </row>
    <row r="14751" spans="3:14" x14ac:dyDescent="0.3">
      <c r="C14751" s="54"/>
      <c r="N14751" s="33"/>
    </row>
    <row r="14752" spans="3:14" x14ac:dyDescent="0.3">
      <c r="C14752" s="54"/>
      <c r="N14752" s="33"/>
    </row>
    <row r="14753" spans="3:14" x14ac:dyDescent="0.3">
      <c r="C14753" s="54"/>
      <c r="N14753" s="33"/>
    </row>
    <row r="14754" spans="3:14" x14ac:dyDescent="0.3">
      <c r="C14754" s="54"/>
      <c r="N14754" s="33"/>
    </row>
    <row r="14755" spans="3:14" x14ac:dyDescent="0.3">
      <c r="C14755" s="54"/>
      <c r="N14755" s="33"/>
    </row>
    <row r="14756" spans="3:14" x14ac:dyDescent="0.3">
      <c r="C14756" s="54"/>
      <c r="N14756" s="33"/>
    </row>
    <row r="14757" spans="3:14" x14ac:dyDescent="0.3">
      <c r="C14757" s="54"/>
      <c r="N14757" s="33"/>
    </row>
    <row r="14758" spans="3:14" x14ac:dyDescent="0.3">
      <c r="C14758" s="54"/>
      <c r="N14758" s="33"/>
    </row>
    <row r="14759" spans="3:14" x14ac:dyDescent="0.3">
      <c r="C14759" s="54"/>
      <c r="N14759" s="33"/>
    </row>
    <row r="14760" spans="3:14" x14ac:dyDescent="0.3">
      <c r="C14760" s="54"/>
      <c r="N14760" s="33"/>
    </row>
    <row r="14761" spans="3:14" x14ac:dyDescent="0.3">
      <c r="C14761" s="54"/>
      <c r="N14761" s="33"/>
    </row>
    <row r="14762" spans="3:14" x14ac:dyDescent="0.3">
      <c r="C14762" s="54"/>
      <c r="N14762" s="33"/>
    </row>
    <row r="14763" spans="3:14" x14ac:dyDescent="0.3">
      <c r="C14763" s="54"/>
      <c r="N14763" s="33"/>
    </row>
    <row r="14764" spans="3:14" x14ac:dyDescent="0.3">
      <c r="C14764" s="54"/>
      <c r="N14764" s="33"/>
    </row>
    <row r="14765" spans="3:14" x14ac:dyDescent="0.3">
      <c r="C14765" s="54"/>
      <c r="N14765" s="33"/>
    </row>
    <row r="14766" spans="3:14" x14ac:dyDescent="0.3">
      <c r="C14766" s="54"/>
      <c r="N14766" s="33"/>
    </row>
    <row r="14767" spans="3:14" x14ac:dyDescent="0.3">
      <c r="C14767" s="54"/>
      <c r="N14767" s="33"/>
    </row>
    <row r="14768" spans="3:14" x14ac:dyDescent="0.3">
      <c r="C14768" s="54"/>
      <c r="N14768" s="33"/>
    </row>
    <row r="14769" spans="3:14" x14ac:dyDescent="0.3">
      <c r="C14769" s="54"/>
      <c r="N14769" s="33"/>
    </row>
    <row r="14770" spans="3:14" x14ac:dyDescent="0.3">
      <c r="C14770" s="54"/>
      <c r="N14770" s="33"/>
    </row>
    <row r="14771" spans="3:14" x14ac:dyDescent="0.3">
      <c r="C14771" s="54"/>
      <c r="N14771" s="33"/>
    </row>
    <row r="14772" spans="3:14" x14ac:dyDescent="0.3">
      <c r="C14772" s="54"/>
      <c r="N14772" s="33"/>
    </row>
    <row r="14773" spans="3:14" x14ac:dyDescent="0.3">
      <c r="C14773" s="54"/>
      <c r="N14773" s="33"/>
    </row>
    <row r="14774" spans="3:14" x14ac:dyDescent="0.3">
      <c r="C14774" s="54"/>
      <c r="N14774" s="33"/>
    </row>
    <row r="14775" spans="3:14" x14ac:dyDescent="0.3">
      <c r="C14775" s="54"/>
      <c r="N14775" s="33"/>
    </row>
    <row r="14776" spans="3:14" x14ac:dyDescent="0.3">
      <c r="C14776" s="54"/>
      <c r="N14776" s="33"/>
    </row>
    <row r="14777" spans="3:14" x14ac:dyDescent="0.3">
      <c r="C14777" s="54"/>
      <c r="N14777" s="33"/>
    </row>
    <row r="14778" spans="3:14" x14ac:dyDescent="0.3">
      <c r="C14778" s="54"/>
      <c r="N14778" s="33"/>
    </row>
    <row r="14779" spans="3:14" x14ac:dyDescent="0.3">
      <c r="C14779" s="54"/>
      <c r="N14779" s="33"/>
    </row>
    <row r="14780" spans="3:14" x14ac:dyDescent="0.3">
      <c r="C14780" s="54"/>
      <c r="N14780" s="33"/>
    </row>
    <row r="14781" spans="3:14" x14ac:dyDescent="0.3">
      <c r="C14781" s="54"/>
      <c r="N14781" s="33"/>
    </row>
    <row r="14782" spans="3:14" x14ac:dyDescent="0.3">
      <c r="C14782" s="54"/>
      <c r="N14782" s="33"/>
    </row>
    <row r="14783" spans="3:14" x14ac:dyDescent="0.3">
      <c r="C14783" s="54"/>
      <c r="N14783" s="33"/>
    </row>
    <row r="14784" spans="3:14" x14ac:dyDescent="0.3">
      <c r="C14784" s="54"/>
      <c r="N14784" s="33"/>
    </row>
    <row r="14785" spans="3:14" x14ac:dyDescent="0.3">
      <c r="C14785" s="54"/>
      <c r="N14785" s="33"/>
    </row>
    <row r="14786" spans="3:14" x14ac:dyDescent="0.3">
      <c r="C14786" s="54"/>
      <c r="N14786" s="33"/>
    </row>
    <row r="14787" spans="3:14" x14ac:dyDescent="0.3">
      <c r="C14787" s="54"/>
      <c r="N14787" s="33"/>
    </row>
    <row r="14788" spans="3:14" x14ac:dyDescent="0.3">
      <c r="C14788" s="54"/>
      <c r="N14788" s="33"/>
    </row>
    <row r="14789" spans="3:14" x14ac:dyDescent="0.3">
      <c r="C14789" s="54"/>
      <c r="N14789" s="33"/>
    </row>
    <row r="14790" spans="3:14" x14ac:dyDescent="0.3">
      <c r="C14790" s="54"/>
      <c r="N14790" s="33"/>
    </row>
    <row r="14791" spans="3:14" x14ac:dyDescent="0.3">
      <c r="C14791" s="54"/>
      <c r="N14791" s="33"/>
    </row>
    <row r="14792" spans="3:14" x14ac:dyDescent="0.3">
      <c r="C14792" s="54"/>
      <c r="N14792" s="33"/>
    </row>
    <row r="14793" spans="3:14" x14ac:dyDescent="0.3">
      <c r="C14793" s="54"/>
      <c r="N14793" s="33"/>
    </row>
    <row r="14794" spans="3:14" x14ac:dyDescent="0.3">
      <c r="C14794" s="54"/>
      <c r="N14794" s="33"/>
    </row>
    <row r="14795" spans="3:14" x14ac:dyDescent="0.3">
      <c r="C14795" s="54"/>
      <c r="N14795" s="33"/>
    </row>
    <row r="14796" spans="3:14" x14ac:dyDescent="0.3">
      <c r="C14796" s="54"/>
      <c r="N14796" s="33"/>
    </row>
    <row r="14797" spans="3:14" x14ac:dyDescent="0.3">
      <c r="C14797" s="54"/>
      <c r="N14797" s="33"/>
    </row>
    <row r="14798" spans="3:14" x14ac:dyDescent="0.3">
      <c r="C14798" s="54"/>
      <c r="N14798" s="33"/>
    </row>
    <row r="14799" spans="3:14" x14ac:dyDescent="0.3">
      <c r="C14799" s="54"/>
      <c r="N14799" s="33"/>
    </row>
    <row r="14800" spans="3:14" x14ac:dyDescent="0.3">
      <c r="C14800" s="54"/>
      <c r="N14800" s="33"/>
    </row>
    <row r="14801" spans="3:14" x14ac:dyDescent="0.3">
      <c r="C14801" s="54"/>
      <c r="N14801" s="33"/>
    </row>
    <row r="14802" spans="3:14" x14ac:dyDescent="0.3">
      <c r="C14802" s="54"/>
      <c r="N14802" s="33"/>
    </row>
    <row r="14803" spans="3:14" x14ac:dyDescent="0.3">
      <c r="C14803" s="54"/>
      <c r="N14803" s="33"/>
    </row>
    <row r="14804" spans="3:14" x14ac:dyDescent="0.3">
      <c r="C14804" s="54"/>
      <c r="N14804" s="33"/>
    </row>
    <row r="14805" spans="3:14" x14ac:dyDescent="0.3">
      <c r="C14805" s="54"/>
      <c r="N14805" s="33"/>
    </row>
    <row r="14806" spans="3:14" x14ac:dyDescent="0.3">
      <c r="C14806" s="54"/>
      <c r="N14806" s="33"/>
    </row>
    <row r="14807" spans="3:14" x14ac:dyDescent="0.3">
      <c r="C14807" s="54"/>
      <c r="N14807" s="33"/>
    </row>
    <row r="14808" spans="3:14" x14ac:dyDescent="0.3">
      <c r="C14808" s="54"/>
      <c r="N14808" s="33"/>
    </row>
    <row r="14809" spans="3:14" x14ac:dyDescent="0.3">
      <c r="C14809" s="54"/>
      <c r="N14809" s="33"/>
    </row>
    <row r="14810" spans="3:14" x14ac:dyDescent="0.3">
      <c r="C14810" s="54"/>
      <c r="N14810" s="33"/>
    </row>
    <row r="14811" spans="3:14" x14ac:dyDescent="0.3">
      <c r="C14811" s="54"/>
      <c r="N14811" s="33"/>
    </row>
    <row r="14812" spans="3:14" x14ac:dyDescent="0.3">
      <c r="C14812" s="54"/>
      <c r="N14812" s="33"/>
    </row>
    <row r="14813" spans="3:14" x14ac:dyDescent="0.3">
      <c r="C14813" s="54"/>
      <c r="N14813" s="33"/>
    </row>
    <row r="14814" spans="3:14" x14ac:dyDescent="0.3">
      <c r="C14814" s="54"/>
      <c r="N14814" s="33"/>
    </row>
    <row r="14815" spans="3:14" x14ac:dyDescent="0.3">
      <c r="C14815" s="54"/>
      <c r="N14815" s="33"/>
    </row>
    <row r="14816" spans="3:14" x14ac:dyDescent="0.3">
      <c r="C14816" s="54"/>
      <c r="N14816" s="33"/>
    </row>
    <row r="14817" spans="3:14" x14ac:dyDescent="0.3">
      <c r="C14817" s="54"/>
      <c r="N14817" s="33"/>
    </row>
    <row r="14818" spans="3:14" x14ac:dyDescent="0.3">
      <c r="C14818" s="54"/>
      <c r="N14818" s="33"/>
    </row>
    <row r="14819" spans="3:14" x14ac:dyDescent="0.3">
      <c r="C14819" s="54"/>
      <c r="N14819" s="33"/>
    </row>
    <row r="14820" spans="3:14" x14ac:dyDescent="0.3">
      <c r="C14820" s="54"/>
      <c r="N14820" s="33"/>
    </row>
    <row r="14821" spans="3:14" x14ac:dyDescent="0.3">
      <c r="C14821" s="54"/>
      <c r="N14821" s="33"/>
    </row>
    <row r="14822" spans="3:14" x14ac:dyDescent="0.3">
      <c r="C14822" s="54"/>
      <c r="N14822" s="33"/>
    </row>
    <row r="14823" spans="3:14" x14ac:dyDescent="0.3">
      <c r="C14823" s="54"/>
      <c r="N14823" s="33"/>
    </row>
    <row r="14824" spans="3:14" x14ac:dyDescent="0.3">
      <c r="C14824" s="54"/>
      <c r="N14824" s="33"/>
    </row>
    <row r="14825" spans="3:14" x14ac:dyDescent="0.3">
      <c r="C14825" s="54"/>
      <c r="N14825" s="33"/>
    </row>
    <row r="14826" spans="3:14" x14ac:dyDescent="0.3">
      <c r="C14826" s="54"/>
      <c r="N14826" s="33"/>
    </row>
    <row r="14827" spans="3:14" x14ac:dyDescent="0.3">
      <c r="C14827" s="54"/>
      <c r="N14827" s="33"/>
    </row>
    <row r="14828" spans="3:14" x14ac:dyDescent="0.3">
      <c r="C14828" s="54"/>
      <c r="N14828" s="33"/>
    </row>
    <row r="14829" spans="3:14" x14ac:dyDescent="0.3">
      <c r="C14829" s="54"/>
      <c r="N14829" s="33"/>
    </row>
    <row r="14830" spans="3:14" x14ac:dyDescent="0.3">
      <c r="C14830" s="54"/>
      <c r="N14830" s="33"/>
    </row>
    <row r="14831" spans="3:14" x14ac:dyDescent="0.3">
      <c r="C14831" s="54"/>
      <c r="N14831" s="33"/>
    </row>
    <row r="14832" spans="3:14" x14ac:dyDescent="0.3">
      <c r="C14832" s="54"/>
      <c r="N14832" s="33"/>
    </row>
    <row r="14833" spans="3:14" x14ac:dyDescent="0.3">
      <c r="C14833" s="54"/>
      <c r="N14833" s="33"/>
    </row>
    <row r="14834" spans="3:14" x14ac:dyDescent="0.3">
      <c r="C14834" s="54"/>
      <c r="N14834" s="33"/>
    </row>
    <row r="14835" spans="3:14" x14ac:dyDescent="0.3">
      <c r="C14835" s="54"/>
      <c r="N14835" s="33"/>
    </row>
    <row r="14836" spans="3:14" x14ac:dyDescent="0.3">
      <c r="C14836" s="54"/>
      <c r="N14836" s="33"/>
    </row>
    <row r="14837" spans="3:14" x14ac:dyDescent="0.3">
      <c r="C14837" s="54"/>
      <c r="N14837" s="33"/>
    </row>
    <row r="14838" spans="3:14" x14ac:dyDescent="0.3">
      <c r="C14838" s="54"/>
      <c r="N14838" s="33"/>
    </row>
    <row r="14839" spans="3:14" x14ac:dyDescent="0.3">
      <c r="C14839" s="54"/>
      <c r="N14839" s="33"/>
    </row>
    <row r="14840" spans="3:14" x14ac:dyDescent="0.3">
      <c r="C14840" s="54"/>
      <c r="N14840" s="33"/>
    </row>
    <row r="14841" spans="3:14" x14ac:dyDescent="0.3">
      <c r="C14841" s="54"/>
      <c r="N14841" s="33"/>
    </row>
    <row r="14842" spans="3:14" x14ac:dyDescent="0.3">
      <c r="C14842" s="54"/>
      <c r="N14842" s="33"/>
    </row>
    <row r="14843" spans="3:14" x14ac:dyDescent="0.3">
      <c r="C14843" s="54"/>
      <c r="N14843" s="33"/>
    </row>
    <row r="14844" spans="3:14" x14ac:dyDescent="0.3">
      <c r="C14844" s="54"/>
      <c r="N14844" s="33"/>
    </row>
    <row r="14845" spans="3:14" x14ac:dyDescent="0.3">
      <c r="C14845" s="54"/>
      <c r="N14845" s="33"/>
    </row>
    <row r="14846" spans="3:14" x14ac:dyDescent="0.3">
      <c r="C14846" s="54"/>
      <c r="N14846" s="33"/>
    </row>
    <row r="14847" spans="3:14" x14ac:dyDescent="0.3">
      <c r="C14847" s="54"/>
      <c r="N14847" s="33"/>
    </row>
    <row r="14848" spans="3:14" x14ac:dyDescent="0.3">
      <c r="C14848" s="54"/>
      <c r="N14848" s="33"/>
    </row>
    <row r="14849" spans="3:14" x14ac:dyDescent="0.3">
      <c r="C14849" s="54"/>
      <c r="N14849" s="33"/>
    </row>
    <row r="14850" spans="3:14" x14ac:dyDescent="0.3">
      <c r="C14850" s="54"/>
      <c r="N14850" s="33"/>
    </row>
    <row r="14851" spans="3:14" x14ac:dyDescent="0.3">
      <c r="C14851" s="54"/>
      <c r="N14851" s="33"/>
    </row>
    <row r="14852" spans="3:14" x14ac:dyDescent="0.3">
      <c r="C14852" s="54"/>
      <c r="N14852" s="33"/>
    </row>
    <row r="14853" spans="3:14" x14ac:dyDescent="0.3">
      <c r="C14853" s="54"/>
      <c r="N14853" s="33"/>
    </row>
    <row r="14854" spans="3:14" x14ac:dyDescent="0.3">
      <c r="C14854" s="54"/>
      <c r="N14854" s="33"/>
    </row>
    <row r="14855" spans="3:14" x14ac:dyDescent="0.3">
      <c r="C14855" s="54"/>
      <c r="N14855" s="33"/>
    </row>
    <row r="14856" spans="3:14" x14ac:dyDescent="0.3">
      <c r="C14856" s="54"/>
      <c r="N14856" s="33"/>
    </row>
    <row r="14857" spans="3:14" x14ac:dyDescent="0.3">
      <c r="C14857" s="54"/>
      <c r="N14857" s="33"/>
    </row>
    <row r="14858" spans="3:14" x14ac:dyDescent="0.3">
      <c r="C14858" s="54"/>
      <c r="N14858" s="33"/>
    </row>
    <row r="14859" spans="3:14" x14ac:dyDescent="0.3">
      <c r="C14859" s="54"/>
      <c r="N14859" s="33"/>
    </row>
    <row r="14860" spans="3:14" x14ac:dyDescent="0.3">
      <c r="C14860" s="54"/>
      <c r="N14860" s="33"/>
    </row>
    <row r="14861" spans="3:14" x14ac:dyDescent="0.3">
      <c r="C14861" s="54"/>
      <c r="N14861" s="33"/>
    </row>
    <row r="14862" spans="3:14" x14ac:dyDescent="0.3">
      <c r="C14862" s="54"/>
      <c r="N14862" s="33"/>
    </row>
    <row r="14863" spans="3:14" x14ac:dyDescent="0.3">
      <c r="C14863" s="54"/>
      <c r="N14863" s="33"/>
    </row>
    <row r="14864" spans="3:14" x14ac:dyDescent="0.3">
      <c r="C14864" s="54"/>
      <c r="N14864" s="33"/>
    </row>
    <row r="14865" spans="3:14" x14ac:dyDescent="0.3">
      <c r="C14865" s="54"/>
      <c r="N14865" s="33"/>
    </row>
    <row r="14866" spans="3:14" x14ac:dyDescent="0.3">
      <c r="C14866" s="54"/>
      <c r="N14866" s="33"/>
    </row>
    <row r="14867" spans="3:14" x14ac:dyDescent="0.3">
      <c r="C14867" s="54"/>
      <c r="N14867" s="33"/>
    </row>
    <row r="14868" spans="3:14" x14ac:dyDescent="0.3">
      <c r="C14868" s="54"/>
      <c r="N14868" s="33"/>
    </row>
    <row r="14869" spans="3:14" x14ac:dyDescent="0.3">
      <c r="C14869" s="54"/>
      <c r="N14869" s="33"/>
    </row>
    <row r="14870" spans="3:14" x14ac:dyDescent="0.3">
      <c r="C14870" s="54"/>
      <c r="N14870" s="33"/>
    </row>
    <row r="14871" spans="3:14" x14ac:dyDescent="0.3">
      <c r="C14871" s="54"/>
      <c r="N14871" s="33"/>
    </row>
    <row r="14872" spans="3:14" x14ac:dyDescent="0.3">
      <c r="C14872" s="54"/>
      <c r="N14872" s="33"/>
    </row>
    <row r="14873" spans="3:14" x14ac:dyDescent="0.3">
      <c r="C14873" s="54"/>
      <c r="N14873" s="33"/>
    </row>
    <row r="14874" spans="3:14" x14ac:dyDescent="0.3">
      <c r="C14874" s="54"/>
      <c r="N14874" s="33"/>
    </row>
    <row r="14875" spans="3:14" x14ac:dyDescent="0.3">
      <c r="C14875" s="54"/>
      <c r="N14875" s="33"/>
    </row>
    <row r="14876" spans="3:14" x14ac:dyDescent="0.3">
      <c r="C14876" s="54"/>
      <c r="N14876" s="33"/>
    </row>
    <row r="14877" spans="3:14" x14ac:dyDescent="0.3">
      <c r="C14877" s="54"/>
      <c r="N14877" s="33"/>
    </row>
    <row r="14878" spans="3:14" x14ac:dyDescent="0.3">
      <c r="C14878" s="54"/>
      <c r="N14878" s="33"/>
    </row>
    <row r="14879" spans="3:14" x14ac:dyDescent="0.3">
      <c r="C14879" s="54"/>
      <c r="N14879" s="33"/>
    </row>
    <row r="14880" spans="3:14" x14ac:dyDescent="0.3">
      <c r="C14880" s="54"/>
      <c r="N14880" s="33"/>
    </row>
    <row r="14881" spans="3:14" x14ac:dyDescent="0.3">
      <c r="C14881" s="54"/>
      <c r="N14881" s="33"/>
    </row>
    <row r="14882" spans="3:14" x14ac:dyDescent="0.3">
      <c r="C14882" s="54"/>
      <c r="N14882" s="33"/>
    </row>
    <row r="14883" spans="3:14" x14ac:dyDescent="0.3">
      <c r="C14883" s="54"/>
      <c r="N14883" s="33"/>
    </row>
    <row r="14884" spans="3:14" x14ac:dyDescent="0.3">
      <c r="C14884" s="54"/>
      <c r="N14884" s="33"/>
    </row>
    <row r="14885" spans="3:14" x14ac:dyDescent="0.3">
      <c r="C14885" s="54"/>
      <c r="N14885" s="33"/>
    </row>
    <row r="14886" spans="3:14" x14ac:dyDescent="0.3">
      <c r="C14886" s="54"/>
      <c r="N14886" s="33"/>
    </row>
    <row r="14887" spans="3:14" x14ac:dyDescent="0.3">
      <c r="C14887" s="54"/>
      <c r="N14887" s="33"/>
    </row>
    <row r="14888" spans="3:14" x14ac:dyDescent="0.3">
      <c r="C14888" s="54"/>
      <c r="N14888" s="33"/>
    </row>
    <row r="14889" spans="3:14" x14ac:dyDescent="0.3">
      <c r="C14889" s="54"/>
      <c r="N14889" s="33"/>
    </row>
    <row r="14890" spans="3:14" x14ac:dyDescent="0.3">
      <c r="C14890" s="54"/>
      <c r="N14890" s="33"/>
    </row>
    <row r="14891" spans="3:14" x14ac:dyDescent="0.3">
      <c r="C14891" s="54"/>
      <c r="N14891" s="33"/>
    </row>
    <row r="14892" spans="3:14" x14ac:dyDescent="0.3">
      <c r="C14892" s="54"/>
      <c r="N14892" s="33"/>
    </row>
    <row r="14893" spans="3:14" x14ac:dyDescent="0.3">
      <c r="C14893" s="54"/>
      <c r="N14893" s="33"/>
    </row>
    <row r="14894" spans="3:14" x14ac:dyDescent="0.3">
      <c r="C14894" s="54"/>
      <c r="N14894" s="33"/>
    </row>
    <row r="14895" spans="3:14" x14ac:dyDescent="0.3">
      <c r="C14895" s="54"/>
      <c r="N14895" s="33"/>
    </row>
    <row r="14896" spans="3:14" x14ac:dyDescent="0.3">
      <c r="C14896" s="54"/>
      <c r="N14896" s="33"/>
    </row>
    <row r="14897" spans="3:14" x14ac:dyDescent="0.3">
      <c r="C14897" s="54"/>
      <c r="N14897" s="33"/>
    </row>
    <row r="14898" spans="3:14" x14ac:dyDescent="0.3">
      <c r="C14898" s="54"/>
      <c r="N14898" s="33"/>
    </row>
    <row r="14899" spans="3:14" x14ac:dyDescent="0.3">
      <c r="C14899" s="54"/>
      <c r="N14899" s="33"/>
    </row>
    <row r="14900" spans="3:14" x14ac:dyDescent="0.3">
      <c r="C14900" s="54"/>
      <c r="N14900" s="33"/>
    </row>
    <row r="14901" spans="3:14" x14ac:dyDescent="0.3">
      <c r="C14901" s="54"/>
      <c r="N14901" s="33"/>
    </row>
    <row r="14902" spans="3:14" x14ac:dyDescent="0.3">
      <c r="C14902" s="54"/>
      <c r="N14902" s="33"/>
    </row>
    <row r="14903" spans="3:14" x14ac:dyDescent="0.3">
      <c r="C14903" s="54"/>
      <c r="N14903" s="33"/>
    </row>
    <row r="14904" spans="3:14" x14ac:dyDescent="0.3">
      <c r="C14904" s="54"/>
      <c r="N14904" s="33"/>
    </row>
    <row r="14905" spans="3:14" x14ac:dyDescent="0.3">
      <c r="C14905" s="54"/>
      <c r="N14905" s="33"/>
    </row>
    <row r="14906" spans="3:14" x14ac:dyDescent="0.3">
      <c r="C14906" s="54"/>
      <c r="N14906" s="33"/>
    </row>
    <row r="14907" spans="3:14" x14ac:dyDescent="0.3">
      <c r="C14907" s="54"/>
      <c r="N14907" s="33"/>
    </row>
    <row r="14908" spans="3:14" x14ac:dyDescent="0.3">
      <c r="C14908" s="54"/>
      <c r="N14908" s="33"/>
    </row>
    <row r="14909" spans="3:14" x14ac:dyDescent="0.3">
      <c r="C14909" s="54"/>
      <c r="N14909" s="33"/>
    </row>
    <row r="14910" spans="3:14" x14ac:dyDescent="0.3">
      <c r="C14910" s="54"/>
      <c r="N14910" s="33"/>
    </row>
    <row r="14911" spans="3:14" x14ac:dyDescent="0.3">
      <c r="C14911" s="54"/>
      <c r="N14911" s="33"/>
    </row>
    <row r="14912" spans="3:14" x14ac:dyDescent="0.3">
      <c r="C14912" s="54"/>
      <c r="N14912" s="33"/>
    </row>
    <row r="14913" spans="3:14" x14ac:dyDescent="0.3">
      <c r="C14913" s="54"/>
      <c r="N14913" s="33"/>
    </row>
    <row r="14914" spans="3:14" x14ac:dyDescent="0.3">
      <c r="C14914" s="54"/>
      <c r="N14914" s="33"/>
    </row>
    <row r="14915" spans="3:14" x14ac:dyDescent="0.3">
      <c r="C14915" s="54"/>
      <c r="N14915" s="33"/>
    </row>
    <row r="14916" spans="3:14" x14ac:dyDescent="0.3">
      <c r="C14916" s="54"/>
      <c r="N14916" s="33"/>
    </row>
    <row r="14917" spans="3:14" x14ac:dyDescent="0.3">
      <c r="C14917" s="54"/>
      <c r="N14917" s="33"/>
    </row>
    <row r="14918" spans="3:14" x14ac:dyDescent="0.3">
      <c r="C14918" s="54"/>
      <c r="N14918" s="33"/>
    </row>
    <row r="14919" spans="3:14" x14ac:dyDescent="0.3">
      <c r="C14919" s="54"/>
      <c r="N14919" s="33"/>
    </row>
    <row r="14920" spans="3:14" x14ac:dyDescent="0.3">
      <c r="C14920" s="54"/>
      <c r="N14920" s="33"/>
    </row>
    <row r="14921" spans="3:14" x14ac:dyDescent="0.3">
      <c r="C14921" s="54"/>
      <c r="N14921" s="33"/>
    </row>
    <row r="14922" spans="3:14" x14ac:dyDescent="0.3">
      <c r="C14922" s="54"/>
      <c r="N14922" s="33"/>
    </row>
    <row r="14923" spans="3:14" x14ac:dyDescent="0.3">
      <c r="C14923" s="54"/>
      <c r="N14923" s="33"/>
    </row>
    <row r="14924" spans="3:14" x14ac:dyDescent="0.3">
      <c r="C14924" s="54"/>
      <c r="N14924" s="33"/>
    </row>
    <row r="14925" spans="3:14" x14ac:dyDescent="0.3">
      <c r="C14925" s="54"/>
      <c r="N14925" s="33"/>
    </row>
    <row r="14926" spans="3:14" x14ac:dyDescent="0.3">
      <c r="C14926" s="54"/>
      <c r="N14926" s="33"/>
    </row>
    <row r="14927" spans="3:14" x14ac:dyDescent="0.3">
      <c r="C14927" s="54"/>
      <c r="N14927" s="33"/>
    </row>
    <row r="14928" spans="3:14" x14ac:dyDescent="0.3">
      <c r="C14928" s="54"/>
      <c r="N14928" s="33"/>
    </row>
    <row r="14929" spans="3:14" x14ac:dyDescent="0.3">
      <c r="C14929" s="54"/>
      <c r="N14929" s="33"/>
    </row>
    <row r="14930" spans="3:14" x14ac:dyDescent="0.3">
      <c r="C14930" s="54"/>
      <c r="N14930" s="33"/>
    </row>
    <row r="14931" spans="3:14" x14ac:dyDescent="0.3">
      <c r="C14931" s="54"/>
      <c r="N14931" s="33"/>
    </row>
    <row r="14932" spans="3:14" x14ac:dyDescent="0.3">
      <c r="C14932" s="54"/>
      <c r="N14932" s="33"/>
    </row>
    <row r="14933" spans="3:14" x14ac:dyDescent="0.3">
      <c r="C14933" s="54"/>
      <c r="N14933" s="33"/>
    </row>
    <row r="14934" spans="3:14" x14ac:dyDescent="0.3">
      <c r="C14934" s="54"/>
      <c r="N14934" s="33"/>
    </row>
    <row r="14935" spans="3:14" x14ac:dyDescent="0.3">
      <c r="C14935" s="54"/>
      <c r="N14935" s="33"/>
    </row>
    <row r="14936" spans="3:14" x14ac:dyDescent="0.3">
      <c r="C14936" s="54"/>
      <c r="N14936" s="33"/>
    </row>
    <row r="14937" spans="3:14" x14ac:dyDescent="0.3">
      <c r="C14937" s="54"/>
      <c r="N14937" s="33"/>
    </row>
    <row r="14938" spans="3:14" x14ac:dyDescent="0.3">
      <c r="C14938" s="54"/>
      <c r="N14938" s="33"/>
    </row>
    <row r="14939" spans="3:14" x14ac:dyDescent="0.3">
      <c r="C14939" s="54"/>
      <c r="N14939" s="33"/>
    </row>
    <row r="14940" spans="3:14" x14ac:dyDescent="0.3">
      <c r="C14940" s="54"/>
      <c r="N14940" s="33"/>
    </row>
    <row r="14941" spans="3:14" x14ac:dyDescent="0.3">
      <c r="C14941" s="54"/>
      <c r="N14941" s="33"/>
    </row>
    <row r="14942" spans="3:14" x14ac:dyDescent="0.3">
      <c r="C14942" s="54"/>
      <c r="N14942" s="33"/>
    </row>
    <row r="14943" spans="3:14" x14ac:dyDescent="0.3">
      <c r="C14943" s="54"/>
      <c r="N14943" s="33"/>
    </row>
    <row r="14944" spans="3:14" x14ac:dyDescent="0.3">
      <c r="C14944" s="54"/>
      <c r="N14944" s="33"/>
    </row>
    <row r="14945" spans="3:14" x14ac:dyDescent="0.3">
      <c r="C14945" s="54"/>
      <c r="N14945" s="33"/>
    </row>
    <row r="14946" spans="3:14" x14ac:dyDescent="0.3">
      <c r="C14946" s="54"/>
      <c r="N14946" s="33"/>
    </row>
    <row r="14947" spans="3:14" x14ac:dyDescent="0.3">
      <c r="C14947" s="54"/>
      <c r="N14947" s="33"/>
    </row>
    <row r="14948" spans="3:14" x14ac:dyDescent="0.3">
      <c r="C14948" s="54"/>
      <c r="N14948" s="33"/>
    </row>
    <row r="14949" spans="3:14" x14ac:dyDescent="0.3">
      <c r="C14949" s="54"/>
      <c r="N14949" s="33"/>
    </row>
    <row r="14950" spans="3:14" x14ac:dyDescent="0.3">
      <c r="C14950" s="54"/>
      <c r="N14950" s="33"/>
    </row>
    <row r="14951" spans="3:14" x14ac:dyDescent="0.3">
      <c r="C14951" s="54"/>
      <c r="N14951" s="33"/>
    </row>
    <row r="14952" spans="3:14" x14ac:dyDescent="0.3">
      <c r="C14952" s="54"/>
      <c r="N14952" s="33"/>
    </row>
    <row r="14953" spans="3:14" x14ac:dyDescent="0.3">
      <c r="C14953" s="54"/>
      <c r="N14953" s="33"/>
    </row>
    <row r="14954" spans="3:14" x14ac:dyDescent="0.3">
      <c r="C14954" s="54"/>
      <c r="N14954" s="33"/>
    </row>
    <row r="14955" spans="3:14" x14ac:dyDescent="0.3">
      <c r="C14955" s="54"/>
      <c r="N14955" s="33"/>
    </row>
    <row r="14956" spans="3:14" x14ac:dyDescent="0.3">
      <c r="C14956" s="54"/>
      <c r="N14956" s="33"/>
    </row>
    <row r="14957" spans="3:14" x14ac:dyDescent="0.3">
      <c r="C14957" s="54"/>
      <c r="N14957" s="33"/>
    </row>
    <row r="14958" spans="3:14" x14ac:dyDescent="0.3">
      <c r="C14958" s="54"/>
      <c r="N14958" s="33"/>
    </row>
    <row r="14959" spans="3:14" x14ac:dyDescent="0.3">
      <c r="C14959" s="54"/>
      <c r="N14959" s="33"/>
    </row>
    <row r="14960" spans="3:14" x14ac:dyDescent="0.3">
      <c r="C14960" s="54"/>
      <c r="N14960" s="33"/>
    </row>
    <row r="14961" spans="3:14" x14ac:dyDescent="0.3">
      <c r="C14961" s="54"/>
      <c r="N14961" s="33"/>
    </row>
    <row r="14962" spans="3:14" x14ac:dyDescent="0.3">
      <c r="C14962" s="54"/>
      <c r="N14962" s="33"/>
    </row>
    <row r="14963" spans="3:14" x14ac:dyDescent="0.3">
      <c r="C14963" s="54"/>
      <c r="N14963" s="33"/>
    </row>
    <row r="14964" spans="3:14" x14ac:dyDescent="0.3">
      <c r="C14964" s="54"/>
      <c r="N14964" s="33"/>
    </row>
    <row r="14965" spans="3:14" x14ac:dyDescent="0.3">
      <c r="C14965" s="54"/>
      <c r="N14965" s="33"/>
    </row>
    <row r="14966" spans="3:14" x14ac:dyDescent="0.3">
      <c r="C14966" s="54"/>
      <c r="N14966" s="33"/>
    </row>
    <row r="14967" spans="3:14" x14ac:dyDescent="0.3">
      <c r="C14967" s="54"/>
      <c r="N14967" s="33"/>
    </row>
    <row r="14968" spans="3:14" x14ac:dyDescent="0.3">
      <c r="C14968" s="54"/>
      <c r="N14968" s="33"/>
    </row>
    <row r="14969" spans="3:14" x14ac:dyDescent="0.3">
      <c r="C14969" s="54"/>
      <c r="N14969" s="33"/>
    </row>
    <row r="14970" spans="3:14" x14ac:dyDescent="0.3">
      <c r="C14970" s="54"/>
      <c r="N14970" s="33"/>
    </row>
    <row r="14971" spans="3:14" x14ac:dyDescent="0.3">
      <c r="C14971" s="54"/>
      <c r="N14971" s="33"/>
    </row>
    <row r="14972" spans="3:14" x14ac:dyDescent="0.3">
      <c r="C14972" s="54"/>
      <c r="N14972" s="33"/>
    </row>
    <row r="14973" spans="3:14" x14ac:dyDescent="0.3">
      <c r="C14973" s="54"/>
      <c r="N14973" s="33"/>
    </row>
    <row r="14974" spans="3:14" x14ac:dyDescent="0.3">
      <c r="C14974" s="54"/>
      <c r="N14974" s="33"/>
    </row>
    <row r="14975" spans="3:14" x14ac:dyDescent="0.3">
      <c r="C14975" s="54"/>
      <c r="N14975" s="33"/>
    </row>
    <row r="14976" spans="3:14" x14ac:dyDescent="0.3">
      <c r="C14976" s="54"/>
      <c r="N14976" s="33"/>
    </row>
    <row r="14977" spans="3:14" x14ac:dyDescent="0.3">
      <c r="C14977" s="54"/>
      <c r="N14977" s="33"/>
    </row>
    <row r="14978" spans="3:14" x14ac:dyDescent="0.3">
      <c r="C14978" s="54"/>
      <c r="N14978" s="33"/>
    </row>
    <row r="14979" spans="3:14" x14ac:dyDescent="0.3">
      <c r="C14979" s="54"/>
      <c r="N14979" s="33"/>
    </row>
    <row r="14980" spans="3:14" x14ac:dyDescent="0.3">
      <c r="C14980" s="54"/>
      <c r="N14980" s="33"/>
    </row>
    <row r="14981" spans="3:14" x14ac:dyDescent="0.3">
      <c r="C14981" s="54"/>
      <c r="N14981" s="33"/>
    </row>
    <row r="14982" spans="3:14" x14ac:dyDescent="0.3">
      <c r="C14982" s="54"/>
      <c r="N14982" s="33"/>
    </row>
    <row r="14983" spans="3:14" x14ac:dyDescent="0.3">
      <c r="C14983" s="54"/>
      <c r="N14983" s="33"/>
    </row>
    <row r="14984" spans="3:14" x14ac:dyDescent="0.3">
      <c r="C14984" s="54"/>
      <c r="N14984" s="33"/>
    </row>
    <row r="14985" spans="3:14" x14ac:dyDescent="0.3">
      <c r="C14985" s="54"/>
      <c r="N14985" s="33"/>
    </row>
    <row r="14986" spans="3:14" x14ac:dyDescent="0.3">
      <c r="C14986" s="54"/>
      <c r="N14986" s="33"/>
    </row>
    <row r="14987" spans="3:14" x14ac:dyDescent="0.3">
      <c r="C14987" s="54"/>
      <c r="N14987" s="33"/>
    </row>
    <row r="14988" spans="3:14" x14ac:dyDescent="0.3">
      <c r="C14988" s="54"/>
      <c r="N14988" s="33"/>
    </row>
    <row r="14989" spans="3:14" x14ac:dyDescent="0.3">
      <c r="C14989" s="54"/>
      <c r="N14989" s="33"/>
    </row>
    <row r="14990" spans="3:14" x14ac:dyDescent="0.3">
      <c r="C14990" s="54"/>
      <c r="N14990" s="33"/>
    </row>
    <row r="14991" spans="3:14" x14ac:dyDescent="0.3">
      <c r="C14991" s="54"/>
      <c r="N14991" s="33"/>
    </row>
    <row r="14992" spans="3:14" x14ac:dyDescent="0.3">
      <c r="C14992" s="54"/>
      <c r="N14992" s="33"/>
    </row>
    <row r="14993" spans="3:14" x14ac:dyDescent="0.3">
      <c r="C14993" s="54"/>
      <c r="N14993" s="33"/>
    </row>
    <row r="14994" spans="3:14" x14ac:dyDescent="0.3">
      <c r="C14994" s="54"/>
      <c r="N14994" s="33"/>
    </row>
    <row r="14995" spans="3:14" x14ac:dyDescent="0.3">
      <c r="C14995" s="54"/>
      <c r="N14995" s="33"/>
    </row>
    <row r="14996" spans="3:14" x14ac:dyDescent="0.3">
      <c r="C14996" s="54"/>
      <c r="N14996" s="33"/>
    </row>
    <row r="14997" spans="3:14" x14ac:dyDescent="0.3">
      <c r="C14997" s="54"/>
      <c r="N14997" s="33"/>
    </row>
    <row r="14998" spans="3:14" x14ac:dyDescent="0.3">
      <c r="C14998" s="54"/>
      <c r="N14998" s="33"/>
    </row>
    <row r="14999" spans="3:14" x14ac:dyDescent="0.3">
      <c r="C14999" s="54"/>
      <c r="N14999" s="33"/>
    </row>
    <row r="15000" spans="3:14" x14ac:dyDescent="0.3">
      <c r="C15000" s="54"/>
      <c r="N15000" s="33"/>
    </row>
    <row r="15001" spans="3:14" x14ac:dyDescent="0.3">
      <c r="C15001" s="54"/>
      <c r="N15001" s="33"/>
    </row>
    <row r="15002" spans="3:14" x14ac:dyDescent="0.3">
      <c r="C15002" s="54"/>
      <c r="N15002" s="33"/>
    </row>
    <row r="15003" spans="3:14" x14ac:dyDescent="0.3">
      <c r="C15003" s="54"/>
      <c r="N15003" s="33"/>
    </row>
    <row r="15004" spans="3:14" x14ac:dyDescent="0.3">
      <c r="C15004" s="54"/>
      <c r="N15004" s="33"/>
    </row>
    <row r="15005" spans="3:14" x14ac:dyDescent="0.3">
      <c r="C15005" s="54"/>
      <c r="N15005" s="33"/>
    </row>
    <row r="15006" spans="3:14" x14ac:dyDescent="0.3">
      <c r="C15006" s="54"/>
      <c r="N15006" s="33"/>
    </row>
    <row r="15007" spans="3:14" x14ac:dyDescent="0.3">
      <c r="C15007" s="54"/>
      <c r="N15007" s="33"/>
    </row>
    <row r="15008" spans="3:14" x14ac:dyDescent="0.3">
      <c r="C15008" s="54"/>
      <c r="N15008" s="33"/>
    </row>
    <row r="15009" spans="3:14" x14ac:dyDescent="0.3">
      <c r="C15009" s="54"/>
      <c r="N15009" s="33"/>
    </row>
    <row r="15010" spans="3:14" x14ac:dyDescent="0.3">
      <c r="C15010" s="54"/>
      <c r="N15010" s="33"/>
    </row>
    <row r="15011" spans="3:14" x14ac:dyDescent="0.3">
      <c r="C15011" s="54"/>
      <c r="N15011" s="33"/>
    </row>
    <row r="15012" spans="3:14" x14ac:dyDescent="0.3">
      <c r="C15012" s="54"/>
      <c r="N15012" s="33"/>
    </row>
    <row r="15013" spans="3:14" x14ac:dyDescent="0.3">
      <c r="C15013" s="54"/>
      <c r="N15013" s="33"/>
    </row>
    <row r="15014" spans="3:14" x14ac:dyDescent="0.3">
      <c r="C15014" s="54"/>
      <c r="N15014" s="33"/>
    </row>
    <row r="15015" spans="3:14" x14ac:dyDescent="0.3">
      <c r="C15015" s="54"/>
      <c r="N15015" s="33"/>
    </row>
    <row r="15016" spans="3:14" x14ac:dyDescent="0.3">
      <c r="C15016" s="54"/>
      <c r="N15016" s="33"/>
    </row>
    <row r="15017" spans="3:14" x14ac:dyDescent="0.3">
      <c r="C15017" s="54"/>
      <c r="N15017" s="33"/>
    </row>
    <row r="15018" spans="3:14" x14ac:dyDescent="0.3">
      <c r="C15018" s="54"/>
      <c r="N15018" s="33"/>
    </row>
    <row r="15019" spans="3:14" x14ac:dyDescent="0.3">
      <c r="C15019" s="54"/>
      <c r="N15019" s="33"/>
    </row>
    <row r="15020" spans="3:14" x14ac:dyDescent="0.3">
      <c r="C15020" s="54"/>
      <c r="N15020" s="33"/>
    </row>
    <row r="15021" spans="3:14" x14ac:dyDescent="0.3">
      <c r="C15021" s="54"/>
      <c r="N15021" s="33"/>
    </row>
    <row r="15022" spans="3:14" x14ac:dyDescent="0.3">
      <c r="C15022" s="54"/>
      <c r="N15022" s="33"/>
    </row>
    <row r="15023" spans="3:14" x14ac:dyDescent="0.3">
      <c r="C15023" s="54"/>
      <c r="N15023" s="33"/>
    </row>
    <row r="15024" spans="3:14" x14ac:dyDescent="0.3">
      <c r="C15024" s="54"/>
      <c r="N15024" s="33"/>
    </row>
    <row r="15025" spans="3:14" x14ac:dyDescent="0.3">
      <c r="C15025" s="54"/>
      <c r="N15025" s="33"/>
    </row>
    <row r="15026" spans="3:14" x14ac:dyDescent="0.3">
      <c r="C15026" s="54"/>
      <c r="N15026" s="33"/>
    </row>
    <row r="15027" spans="3:14" x14ac:dyDescent="0.3">
      <c r="C15027" s="54"/>
      <c r="N15027" s="33"/>
    </row>
    <row r="15028" spans="3:14" x14ac:dyDescent="0.3">
      <c r="C15028" s="54"/>
      <c r="N15028" s="33"/>
    </row>
    <row r="15029" spans="3:14" x14ac:dyDescent="0.3">
      <c r="C15029" s="54"/>
      <c r="N15029" s="33"/>
    </row>
    <row r="15030" spans="3:14" x14ac:dyDescent="0.3">
      <c r="C15030" s="54"/>
      <c r="N15030" s="33"/>
    </row>
    <row r="15031" spans="3:14" x14ac:dyDescent="0.3">
      <c r="C15031" s="54"/>
      <c r="N15031" s="33"/>
    </row>
    <row r="15032" spans="3:14" x14ac:dyDescent="0.3">
      <c r="C15032" s="54"/>
      <c r="N15032" s="33"/>
    </row>
    <row r="15033" spans="3:14" x14ac:dyDescent="0.3">
      <c r="C15033" s="54"/>
      <c r="N15033" s="33"/>
    </row>
    <row r="15034" spans="3:14" x14ac:dyDescent="0.3">
      <c r="C15034" s="54"/>
      <c r="N15034" s="33"/>
    </row>
    <row r="15035" spans="3:14" x14ac:dyDescent="0.3">
      <c r="C15035" s="54"/>
      <c r="N15035" s="33"/>
    </row>
    <row r="15036" spans="3:14" x14ac:dyDescent="0.3">
      <c r="C15036" s="54"/>
      <c r="N15036" s="33"/>
    </row>
    <row r="15037" spans="3:14" x14ac:dyDescent="0.3">
      <c r="C15037" s="54"/>
      <c r="N15037" s="33"/>
    </row>
    <row r="15038" spans="3:14" x14ac:dyDescent="0.3">
      <c r="C15038" s="54"/>
      <c r="N15038" s="33"/>
    </row>
    <row r="15039" spans="3:14" x14ac:dyDescent="0.3">
      <c r="C15039" s="54"/>
      <c r="N15039" s="33"/>
    </row>
    <row r="15040" spans="3:14" x14ac:dyDescent="0.3">
      <c r="C15040" s="54"/>
      <c r="N15040" s="33"/>
    </row>
    <row r="15041" spans="3:14" x14ac:dyDescent="0.3">
      <c r="C15041" s="54"/>
      <c r="N15041" s="33"/>
    </row>
    <row r="15042" spans="3:14" x14ac:dyDescent="0.3">
      <c r="C15042" s="54"/>
      <c r="N15042" s="33"/>
    </row>
    <row r="15043" spans="3:14" x14ac:dyDescent="0.3">
      <c r="C15043" s="54"/>
      <c r="N15043" s="33"/>
    </row>
    <row r="15044" spans="3:14" x14ac:dyDescent="0.3">
      <c r="C15044" s="54"/>
      <c r="N15044" s="33"/>
    </row>
    <row r="15045" spans="3:14" x14ac:dyDescent="0.3">
      <c r="C15045" s="54"/>
      <c r="N15045" s="33"/>
    </row>
    <row r="15046" spans="3:14" x14ac:dyDescent="0.3">
      <c r="C15046" s="54"/>
      <c r="N15046" s="33"/>
    </row>
    <row r="15047" spans="3:14" x14ac:dyDescent="0.3">
      <c r="C15047" s="54"/>
      <c r="N15047" s="33"/>
    </row>
    <row r="15048" spans="3:14" x14ac:dyDescent="0.3">
      <c r="C15048" s="54"/>
      <c r="N15048" s="33"/>
    </row>
    <row r="15049" spans="3:14" x14ac:dyDescent="0.3">
      <c r="C15049" s="54"/>
      <c r="N15049" s="33"/>
    </row>
    <row r="15050" spans="3:14" x14ac:dyDescent="0.3">
      <c r="C15050" s="54"/>
      <c r="N15050" s="33"/>
    </row>
    <row r="15051" spans="3:14" x14ac:dyDescent="0.3">
      <c r="C15051" s="54"/>
      <c r="N15051" s="33"/>
    </row>
    <row r="15052" spans="3:14" x14ac:dyDescent="0.3">
      <c r="C15052" s="54"/>
      <c r="N15052" s="33"/>
    </row>
    <row r="15053" spans="3:14" x14ac:dyDescent="0.3">
      <c r="C15053" s="54"/>
      <c r="N15053" s="33"/>
    </row>
    <row r="15054" spans="3:14" x14ac:dyDescent="0.3">
      <c r="C15054" s="54"/>
      <c r="N15054" s="33"/>
    </row>
    <row r="15055" spans="3:14" x14ac:dyDescent="0.3">
      <c r="C15055" s="54"/>
      <c r="N15055" s="33"/>
    </row>
    <row r="15056" spans="3:14" x14ac:dyDescent="0.3">
      <c r="C15056" s="54"/>
      <c r="N15056" s="33"/>
    </row>
    <row r="15057" spans="3:14" x14ac:dyDescent="0.3">
      <c r="C15057" s="54"/>
      <c r="N15057" s="33"/>
    </row>
    <row r="15058" spans="3:14" x14ac:dyDescent="0.3">
      <c r="C15058" s="54"/>
      <c r="N15058" s="33"/>
    </row>
    <row r="15059" spans="3:14" x14ac:dyDescent="0.3">
      <c r="C15059" s="54"/>
      <c r="N15059" s="33"/>
    </row>
    <row r="15060" spans="3:14" x14ac:dyDescent="0.3">
      <c r="C15060" s="54"/>
      <c r="N15060" s="33"/>
    </row>
    <row r="15061" spans="3:14" x14ac:dyDescent="0.3">
      <c r="C15061" s="54"/>
      <c r="N15061" s="33"/>
    </row>
    <row r="15062" spans="3:14" x14ac:dyDescent="0.3">
      <c r="C15062" s="54"/>
      <c r="N15062" s="33"/>
    </row>
    <row r="15063" spans="3:14" x14ac:dyDescent="0.3">
      <c r="C15063" s="54"/>
      <c r="N15063" s="33"/>
    </row>
    <row r="15064" spans="3:14" x14ac:dyDescent="0.3">
      <c r="C15064" s="54"/>
      <c r="N15064" s="33"/>
    </row>
    <row r="15065" spans="3:14" x14ac:dyDescent="0.3">
      <c r="C15065" s="54"/>
      <c r="N15065" s="33"/>
    </row>
    <row r="15066" spans="3:14" x14ac:dyDescent="0.3">
      <c r="C15066" s="54"/>
      <c r="N15066" s="33"/>
    </row>
    <row r="15067" spans="3:14" x14ac:dyDescent="0.3">
      <c r="C15067" s="54"/>
      <c r="N15067" s="33"/>
    </row>
    <row r="15068" spans="3:14" x14ac:dyDescent="0.3">
      <c r="C15068" s="54"/>
      <c r="N15068" s="33"/>
    </row>
    <row r="15069" spans="3:14" x14ac:dyDescent="0.3">
      <c r="C15069" s="54"/>
      <c r="N15069" s="33"/>
    </row>
    <row r="15070" spans="3:14" x14ac:dyDescent="0.3">
      <c r="C15070" s="54"/>
      <c r="N15070" s="33"/>
    </row>
    <row r="15071" spans="3:14" x14ac:dyDescent="0.3">
      <c r="C15071" s="54"/>
      <c r="N15071" s="33"/>
    </row>
    <row r="15072" spans="3:14" x14ac:dyDescent="0.3">
      <c r="C15072" s="54"/>
      <c r="N15072" s="33"/>
    </row>
    <row r="15073" spans="3:14" x14ac:dyDescent="0.3">
      <c r="C15073" s="54"/>
      <c r="N15073" s="33"/>
    </row>
    <row r="15074" spans="3:14" x14ac:dyDescent="0.3">
      <c r="C15074" s="54"/>
      <c r="N15074" s="33"/>
    </row>
    <row r="15075" spans="3:14" x14ac:dyDescent="0.3">
      <c r="C15075" s="54"/>
      <c r="N15075" s="33"/>
    </row>
    <row r="15076" spans="3:14" x14ac:dyDescent="0.3">
      <c r="C15076" s="54"/>
      <c r="N15076" s="33"/>
    </row>
    <row r="15077" spans="3:14" x14ac:dyDescent="0.3">
      <c r="C15077" s="54"/>
      <c r="N15077" s="33"/>
    </row>
    <row r="15078" spans="3:14" x14ac:dyDescent="0.3">
      <c r="C15078" s="54"/>
      <c r="N15078" s="33"/>
    </row>
    <row r="15079" spans="3:14" x14ac:dyDescent="0.3">
      <c r="C15079" s="54"/>
      <c r="N15079" s="33"/>
    </row>
    <row r="15080" spans="3:14" x14ac:dyDescent="0.3">
      <c r="C15080" s="54"/>
      <c r="N15080" s="33"/>
    </row>
    <row r="15081" spans="3:14" x14ac:dyDescent="0.3">
      <c r="C15081" s="54"/>
      <c r="N15081" s="33"/>
    </row>
    <row r="15082" spans="3:14" x14ac:dyDescent="0.3">
      <c r="C15082" s="54"/>
      <c r="N15082" s="33"/>
    </row>
    <row r="15083" spans="3:14" x14ac:dyDescent="0.3">
      <c r="C15083" s="54"/>
      <c r="N15083" s="33"/>
    </row>
    <row r="15084" spans="3:14" x14ac:dyDescent="0.3">
      <c r="C15084" s="54"/>
      <c r="N15084" s="33"/>
    </row>
    <row r="15085" spans="3:14" x14ac:dyDescent="0.3">
      <c r="C15085" s="54"/>
      <c r="N15085" s="33"/>
    </row>
    <row r="15086" spans="3:14" x14ac:dyDescent="0.3">
      <c r="C15086" s="54"/>
      <c r="N15086" s="33"/>
    </row>
    <row r="15087" spans="3:14" x14ac:dyDescent="0.3">
      <c r="C15087" s="54"/>
      <c r="N15087" s="33"/>
    </row>
    <row r="15088" spans="3:14" x14ac:dyDescent="0.3">
      <c r="C15088" s="54"/>
      <c r="N15088" s="33"/>
    </row>
    <row r="15089" spans="3:14" x14ac:dyDescent="0.3">
      <c r="C15089" s="54"/>
      <c r="N15089" s="33"/>
    </row>
    <row r="15090" spans="3:14" x14ac:dyDescent="0.3">
      <c r="C15090" s="54"/>
      <c r="N15090" s="33"/>
    </row>
    <row r="15091" spans="3:14" x14ac:dyDescent="0.3">
      <c r="C15091" s="54"/>
      <c r="N15091" s="33"/>
    </row>
    <row r="15092" spans="3:14" x14ac:dyDescent="0.3">
      <c r="C15092" s="54"/>
      <c r="N15092" s="33"/>
    </row>
    <row r="15093" spans="3:14" x14ac:dyDescent="0.3">
      <c r="C15093" s="54"/>
      <c r="N15093" s="33"/>
    </row>
    <row r="15094" spans="3:14" x14ac:dyDescent="0.3">
      <c r="C15094" s="54"/>
      <c r="N15094" s="33"/>
    </row>
    <row r="15095" spans="3:14" x14ac:dyDescent="0.3">
      <c r="C15095" s="54"/>
      <c r="N15095" s="33"/>
    </row>
    <row r="15096" spans="3:14" x14ac:dyDescent="0.3">
      <c r="C15096" s="54"/>
      <c r="N15096" s="33"/>
    </row>
    <row r="15097" spans="3:14" x14ac:dyDescent="0.3">
      <c r="C15097" s="54"/>
      <c r="N15097" s="33"/>
    </row>
    <row r="15098" spans="3:14" x14ac:dyDescent="0.3">
      <c r="C15098" s="54"/>
      <c r="N15098" s="33"/>
    </row>
    <row r="15099" spans="3:14" x14ac:dyDescent="0.3">
      <c r="C15099" s="54"/>
      <c r="N15099" s="33"/>
    </row>
    <row r="15100" spans="3:14" x14ac:dyDescent="0.3">
      <c r="C15100" s="54"/>
      <c r="N15100" s="33"/>
    </row>
    <row r="15101" spans="3:14" x14ac:dyDescent="0.3">
      <c r="C15101" s="54"/>
      <c r="N15101" s="33"/>
    </row>
    <row r="15102" spans="3:14" x14ac:dyDescent="0.3">
      <c r="C15102" s="54"/>
      <c r="N15102" s="33"/>
    </row>
    <row r="15103" spans="3:14" x14ac:dyDescent="0.3">
      <c r="C15103" s="54"/>
      <c r="N15103" s="33"/>
    </row>
    <row r="15104" spans="3:14" x14ac:dyDescent="0.3">
      <c r="C15104" s="54"/>
      <c r="N15104" s="33"/>
    </row>
    <row r="15105" spans="3:14" x14ac:dyDescent="0.3">
      <c r="C15105" s="54"/>
      <c r="N15105" s="33"/>
    </row>
    <row r="15106" spans="3:14" x14ac:dyDescent="0.3">
      <c r="C15106" s="54"/>
      <c r="N15106" s="33"/>
    </row>
    <row r="15107" spans="3:14" x14ac:dyDescent="0.3">
      <c r="C15107" s="54"/>
      <c r="N15107" s="33"/>
    </row>
    <row r="15108" spans="3:14" x14ac:dyDescent="0.3">
      <c r="C15108" s="54"/>
      <c r="N15108" s="33"/>
    </row>
    <row r="15109" spans="3:14" x14ac:dyDescent="0.3">
      <c r="C15109" s="54"/>
      <c r="N15109" s="33"/>
    </row>
    <row r="15110" spans="3:14" x14ac:dyDescent="0.3">
      <c r="C15110" s="54"/>
      <c r="N15110" s="33"/>
    </row>
    <row r="15111" spans="3:14" x14ac:dyDescent="0.3">
      <c r="C15111" s="54"/>
      <c r="N15111" s="33"/>
    </row>
    <row r="15112" spans="3:14" x14ac:dyDescent="0.3">
      <c r="C15112" s="54"/>
      <c r="N15112" s="33"/>
    </row>
    <row r="15113" spans="3:14" x14ac:dyDescent="0.3">
      <c r="C15113" s="54"/>
      <c r="N15113" s="33"/>
    </row>
    <row r="15114" spans="3:14" x14ac:dyDescent="0.3">
      <c r="C15114" s="54"/>
      <c r="N15114" s="33"/>
    </row>
    <row r="15115" spans="3:14" x14ac:dyDescent="0.3">
      <c r="C15115" s="54"/>
      <c r="N15115" s="33"/>
    </row>
    <row r="15116" spans="3:14" x14ac:dyDescent="0.3">
      <c r="C15116" s="54"/>
      <c r="N15116" s="33"/>
    </row>
    <row r="15117" spans="3:14" x14ac:dyDescent="0.3">
      <c r="C15117" s="54"/>
      <c r="N15117" s="33"/>
    </row>
    <row r="15118" spans="3:14" x14ac:dyDescent="0.3">
      <c r="C15118" s="54"/>
      <c r="N15118" s="33"/>
    </row>
    <row r="15119" spans="3:14" x14ac:dyDescent="0.3">
      <c r="C15119" s="54"/>
      <c r="N15119" s="33"/>
    </row>
    <row r="15120" spans="3:14" x14ac:dyDescent="0.3">
      <c r="C15120" s="54"/>
      <c r="N15120" s="33"/>
    </row>
    <row r="15121" spans="3:14" x14ac:dyDescent="0.3">
      <c r="C15121" s="54"/>
      <c r="N15121" s="33"/>
    </row>
    <row r="15122" spans="3:14" x14ac:dyDescent="0.3">
      <c r="C15122" s="54"/>
      <c r="N15122" s="33"/>
    </row>
    <row r="15123" spans="3:14" x14ac:dyDescent="0.3">
      <c r="C15123" s="54"/>
      <c r="N15123" s="33"/>
    </row>
    <row r="15124" spans="3:14" x14ac:dyDescent="0.3">
      <c r="C15124" s="54"/>
      <c r="N15124" s="33"/>
    </row>
    <row r="15125" spans="3:14" x14ac:dyDescent="0.3">
      <c r="C15125" s="54"/>
      <c r="N15125" s="33"/>
    </row>
    <row r="15126" spans="3:14" x14ac:dyDescent="0.3">
      <c r="C15126" s="54"/>
      <c r="N15126" s="33"/>
    </row>
    <row r="15127" spans="3:14" x14ac:dyDescent="0.3">
      <c r="C15127" s="54"/>
      <c r="N15127" s="33"/>
    </row>
    <row r="15128" spans="3:14" x14ac:dyDescent="0.3">
      <c r="C15128" s="54"/>
      <c r="N15128" s="33"/>
    </row>
    <row r="15129" spans="3:14" x14ac:dyDescent="0.3">
      <c r="C15129" s="54"/>
      <c r="N15129" s="33"/>
    </row>
    <row r="15130" spans="3:14" x14ac:dyDescent="0.3">
      <c r="C15130" s="54"/>
      <c r="N15130" s="33"/>
    </row>
    <row r="15131" spans="3:14" x14ac:dyDescent="0.3">
      <c r="C15131" s="54"/>
      <c r="N15131" s="33"/>
    </row>
    <row r="15132" spans="3:14" x14ac:dyDescent="0.3">
      <c r="C15132" s="54"/>
      <c r="N15132" s="33"/>
    </row>
    <row r="15133" spans="3:14" x14ac:dyDescent="0.3">
      <c r="C15133" s="54"/>
      <c r="N15133" s="33"/>
    </row>
    <row r="15134" spans="3:14" x14ac:dyDescent="0.3">
      <c r="C15134" s="54"/>
      <c r="N15134" s="33"/>
    </row>
    <row r="15135" spans="3:14" x14ac:dyDescent="0.3">
      <c r="C15135" s="54"/>
      <c r="N15135" s="33"/>
    </row>
    <row r="15136" spans="3:14" x14ac:dyDescent="0.3">
      <c r="C15136" s="54"/>
      <c r="N15136" s="33"/>
    </row>
    <row r="15137" spans="3:14" x14ac:dyDescent="0.3">
      <c r="C15137" s="54"/>
      <c r="N15137" s="33"/>
    </row>
    <row r="15138" spans="3:14" x14ac:dyDescent="0.3">
      <c r="C15138" s="54"/>
      <c r="N15138" s="33"/>
    </row>
    <row r="15139" spans="3:14" x14ac:dyDescent="0.3">
      <c r="C15139" s="54"/>
      <c r="N15139" s="33"/>
    </row>
    <row r="15140" spans="3:14" x14ac:dyDescent="0.3">
      <c r="C15140" s="54"/>
      <c r="N15140" s="33"/>
    </row>
    <row r="15141" spans="3:14" x14ac:dyDescent="0.3">
      <c r="C15141" s="54"/>
      <c r="N15141" s="33"/>
    </row>
    <row r="15142" spans="3:14" x14ac:dyDescent="0.3">
      <c r="C15142" s="54"/>
      <c r="N15142" s="33"/>
    </row>
    <row r="15143" spans="3:14" x14ac:dyDescent="0.3">
      <c r="C15143" s="54"/>
      <c r="N15143" s="33"/>
    </row>
    <row r="15144" spans="3:14" x14ac:dyDescent="0.3">
      <c r="C15144" s="54"/>
      <c r="N15144" s="33"/>
    </row>
    <row r="15145" spans="3:14" x14ac:dyDescent="0.3">
      <c r="C15145" s="54"/>
      <c r="N15145" s="33"/>
    </row>
    <row r="15146" spans="3:14" x14ac:dyDescent="0.3">
      <c r="C15146" s="54"/>
      <c r="N15146" s="33"/>
    </row>
    <row r="15147" spans="3:14" x14ac:dyDescent="0.3">
      <c r="C15147" s="54"/>
      <c r="N15147" s="33"/>
    </row>
    <row r="15148" spans="3:14" x14ac:dyDescent="0.3">
      <c r="C15148" s="54"/>
      <c r="N15148" s="33"/>
    </row>
    <row r="15149" spans="3:14" x14ac:dyDescent="0.3">
      <c r="C15149" s="54"/>
      <c r="N15149" s="33"/>
    </row>
    <row r="15150" spans="3:14" x14ac:dyDescent="0.3">
      <c r="C15150" s="54"/>
      <c r="N15150" s="33"/>
    </row>
    <row r="15151" spans="3:14" x14ac:dyDescent="0.3">
      <c r="C15151" s="54"/>
      <c r="N15151" s="33"/>
    </row>
    <row r="15152" spans="3:14" x14ac:dyDescent="0.3">
      <c r="C15152" s="54"/>
      <c r="N15152" s="33"/>
    </row>
    <row r="15153" spans="3:14" x14ac:dyDescent="0.3">
      <c r="C15153" s="54"/>
      <c r="N15153" s="33"/>
    </row>
    <row r="15154" spans="3:14" x14ac:dyDescent="0.3">
      <c r="C15154" s="54"/>
      <c r="N15154" s="33"/>
    </row>
    <row r="15155" spans="3:14" x14ac:dyDescent="0.3">
      <c r="C15155" s="54"/>
      <c r="N15155" s="33"/>
    </row>
    <row r="15156" spans="3:14" x14ac:dyDescent="0.3">
      <c r="C15156" s="54"/>
      <c r="N15156" s="33"/>
    </row>
    <row r="15157" spans="3:14" x14ac:dyDescent="0.3">
      <c r="C15157" s="54"/>
      <c r="N15157" s="33"/>
    </row>
    <row r="15158" spans="3:14" x14ac:dyDescent="0.3">
      <c r="C15158" s="54"/>
      <c r="N15158" s="33"/>
    </row>
    <row r="15159" spans="3:14" x14ac:dyDescent="0.3">
      <c r="C15159" s="54"/>
      <c r="N15159" s="33"/>
    </row>
    <row r="15160" spans="3:14" x14ac:dyDescent="0.3">
      <c r="C15160" s="54"/>
      <c r="N15160" s="33"/>
    </row>
    <row r="15161" spans="3:14" x14ac:dyDescent="0.3">
      <c r="C15161" s="54"/>
      <c r="N15161" s="33"/>
    </row>
    <row r="15162" spans="3:14" x14ac:dyDescent="0.3">
      <c r="C15162" s="54"/>
      <c r="N15162" s="33"/>
    </row>
    <row r="15163" spans="3:14" x14ac:dyDescent="0.3">
      <c r="C15163" s="54"/>
      <c r="N15163" s="33"/>
    </row>
    <row r="15164" spans="3:14" x14ac:dyDescent="0.3">
      <c r="C15164" s="54"/>
      <c r="N15164" s="33"/>
    </row>
    <row r="15165" spans="3:14" x14ac:dyDescent="0.3">
      <c r="C15165" s="54"/>
      <c r="N15165" s="33"/>
    </row>
    <row r="15166" spans="3:14" x14ac:dyDescent="0.3">
      <c r="C15166" s="54"/>
      <c r="N15166" s="33"/>
    </row>
    <row r="15167" spans="3:14" x14ac:dyDescent="0.3">
      <c r="C15167" s="54"/>
      <c r="N15167" s="33"/>
    </row>
    <row r="15168" spans="3:14" x14ac:dyDescent="0.3">
      <c r="C15168" s="54"/>
      <c r="N15168" s="33"/>
    </row>
    <row r="15169" spans="3:14" x14ac:dyDescent="0.3">
      <c r="C15169" s="54"/>
      <c r="N15169" s="33"/>
    </row>
    <row r="15170" spans="3:14" x14ac:dyDescent="0.3">
      <c r="C15170" s="54"/>
      <c r="N15170" s="33"/>
    </row>
    <row r="15171" spans="3:14" x14ac:dyDescent="0.3">
      <c r="C15171" s="54"/>
      <c r="N15171" s="33"/>
    </row>
    <row r="15172" spans="3:14" x14ac:dyDescent="0.3">
      <c r="C15172" s="54"/>
      <c r="N15172" s="33"/>
    </row>
    <row r="15173" spans="3:14" x14ac:dyDescent="0.3">
      <c r="C15173" s="54"/>
      <c r="N15173" s="33"/>
    </row>
    <row r="15174" spans="3:14" x14ac:dyDescent="0.3">
      <c r="C15174" s="54"/>
      <c r="N15174" s="33"/>
    </row>
    <row r="15175" spans="3:14" x14ac:dyDescent="0.3">
      <c r="C15175" s="54"/>
      <c r="N15175" s="33"/>
    </row>
    <row r="15176" spans="3:14" x14ac:dyDescent="0.3">
      <c r="C15176" s="54"/>
      <c r="N15176" s="33"/>
    </row>
    <row r="15177" spans="3:14" x14ac:dyDescent="0.3">
      <c r="C15177" s="54"/>
      <c r="N15177" s="33"/>
    </row>
    <row r="15178" spans="3:14" x14ac:dyDescent="0.3">
      <c r="C15178" s="54"/>
      <c r="N15178" s="33"/>
    </row>
    <row r="15179" spans="3:14" x14ac:dyDescent="0.3">
      <c r="C15179" s="54"/>
      <c r="N15179" s="33"/>
    </row>
    <row r="15180" spans="3:14" x14ac:dyDescent="0.3">
      <c r="C15180" s="54"/>
      <c r="N15180" s="33"/>
    </row>
    <row r="15181" spans="3:14" x14ac:dyDescent="0.3">
      <c r="C15181" s="54"/>
      <c r="N15181" s="33"/>
    </row>
    <row r="15182" spans="3:14" x14ac:dyDescent="0.3">
      <c r="C15182" s="54"/>
      <c r="N15182" s="33"/>
    </row>
    <row r="15183" spans="3:14" x14ac:dyDescent="0.3">
      <c r="C15183" s="54"/>
      <c r="N15183" s="33"/>
    </row>
    <row r="15184" spans="3:14" x14ac:dyDescent="0.3">
      <c r="C15184" s="54"/>
      <c r="N15184" s="33"/>
    </row>
    <row r="15185" spans="3:14" x14ac:dyDescent="0.3">
      <c r="C15185" s="54"/>
      <c r="N15185" s="33"/>
    </row>
    <row r="15186" spans="3:14" x14ac:dyDescent="0.3">
      <c r="C15186" s="54"/>
      <c r="N15186" s="33"/>
    </row>
    <row r="15187" spans="3:14" x14ac:dyDescent="0.3">
      <c r="C15187" s="54"/>
      <c r="N15187" s="33"/>
    </row>
    <row r="15188" spans="3:14" x14ac:dyDescent="0.3">
      <c r="C15188" s="54"/>
      <c r="N15188" s="33"/>
    </row>
    <row r="15189" spans="3:14" x14ac:dyDescent="0.3">
      <c r="C15189" s="54"/>
      <c r="N15189" s="33"/>
    </row>
    <row r="15190" spans="3:14" x14ac:dyDescent="0.3">
      <c r="C15190" s="54"/>
      <c r="N15190" s="33"/>
    </row>
    <row r="15191" spans="3:14" x14ac:dyDescent="0.3">
      <c r="C15191" s="54"/>
      <c r="N15191" s="33"/>
    </row>
    <row r="15192" spans="3:14" x14ac:dyDescent="0.3">
      <c r="C15192" s="54"/>
      <c r="N15192" s="33"/>
    </row>
    <row r="15193" spans="3:14" x14ac:dyDescent="0.3">
      <c r="C15193" s="54"/>
      <c r="N15193" s="33"/>
    </row>
    <row r="15194" spans="3:14" x14ac:dyDescent="0.3">
      <c r="C15194" s="54"/>
      <c r="N15194" s="33"/>
    </row>
    <row r="15195" spans="3:14" x14ac:dyDescent="0.3">
      <c r="C15195" s="54"/>
      <c r="N15195" s="33"/>
    </row>
    <row r="15196" spans="3:14" x14ac:dyDescent="0.3">
      <c r="C15196" s="54"/>
      <c r="N15196" s="33"/>
    </row>
    <row r="15197" spans="3:14" x14ac:dyDescent="0.3">
      <c r="C15197" s="54"/>
      <c r="N15197" s="33"/>
    </row>
    <row r="15198" spans="3:14" x14ac:dyDescent="0.3">
      <c r="C15198" s="54"/>
      <c r="N15198" s="33"/>
    </row>
    <row r="15199" spans="3:14" x14ac:dyDescent="0.3">
      <c r="C15199" s="54"/>
      <c r="N15199" s="33"/>
    </row>
    <row r="15200" spans="3:14" x14ac:dyDescent="0.3">
      <c r="C15200" s="54"/>
      <c r="N15200" s="33"/>
    </row>
    <row r="15201" spans="3:14" x14ac:dyDescent="0.3">
      <c r="C15201" s="54"/>
      <c r="N15201" s="33"/>
    </row>
    <row r="15202" spans="3:14" x14ac:dyDescent="0.3">
      <c r="C15202" s="54"/>
      <c r="N15202" s="33"/>
    </row>
    <row r="15203" spans="3:14" x14ac:dyDescent="0.3">
      <c r="C15203" s="54"/>
      <c r="N15203" s="33"/>
    </row>
    <row r="15204" spans="3:14" x14ac:dyDescent="0.3">
      <c r="C15204" s="54"/>
      <c r="N15204" s="33"/>
    </row>
    <row r="15205" spans="3:14" x14ac:dyDescent="0.3">
      <c r="C15205" s="54"/>
      <c r="N15205" s="33"/>
    </row>
    <row r="15206" spans="3:14" x14ac:dyDescent="0.3">
      <c r="C15206" s="54"/>
      <c r="N15206" s="33"/>
    </row>
    <row r="15207" spans="3:14" x14ac:dyDescent="0.3">
      <c r="C15207" s="54"/>
      <c r="N15207" s="33"/>
    </row>
    <row r="15208" spans="3:14" x14ac:dyDescent="0.3">
      <c r="C15208" s="54"/>
      <c r="N15208" s="33"/>
    </row>
    <row r="15209" spans="3:14" x14ac:dyDescent="0.3">
      <c r="C15209" s="54"/>
      <c r="N15209" s="33"/>
    </row>
    <row r="15210" spans="3:14" x14ac:dyDescent="0.3">
      <c r="C15210" s="54"/>
      <c r="N15210" s="33"/>
    </row>
    <row r="15211" spans="3:14" x14ac:dyDescent="0.3">
      <c r="C15211" s="54"/>
      <c r="N15211" s="33"/>
    </row>
    <row r="15212" spans="3:14" x14ac:dyDescent="0.3">
      <c r="C15212" s="54"/>
      <c r="N15212" s="33"/>
    </row>
    <row r="15213" spans="3:14" x14ac:dyDescent="0.3">
      <c r="C15213" s="54"/>
      <c r="N15213" s="33"/>
    </row>
    <row r="15214" spans="3:14" x14ac:dyDescent="0.3">
      <c r="C15214" s="54"/>
      <c r="N15214" s="33"/>
    </row>
    <row r="15215" spans="3:14" x14ac:dyDescent="0.3">
      <c r="C15215" s="54"/>
      <c r="N15215" s="33"/>
    </row>
    <row r="15216" spans="3:14" x14ac:dyDescent="0.3">
      <c r="C15216" s="54"/>
      <c r="N15216" s="33"/>
    </row>
    <row r="15217" spans="3:14" x14ac:dyDescent="0.3">
      <c r="C15217" s="54"/>
      <c r="N15217" s="33"/>
    </row>
    <row r="15218" spans="3:14" x14ac:dyDescent="0.3">
      <c r="C15218" s="54"/>
      <c r="N15218" s="33"/>
    </row>
    <row r="15219" spans="3:14" x14ac:dyDescent="0.3">
      <c r="C15219" s="54"/>
      <c r="N15219" s="33"/>
    </row>
    <row r="15220" spans="3:14" x14ac:dyDescent="0.3">
      <c r="C15220" s="54"/>
      <c r="N15220" s="33"/>
    </row>
    <row r="15221" spans="3:14" x14ac:dyDescent="0.3">
      <c r="C15221" s="54"/>
      <c r="N15221" s="33"/>
    </row>
    <row r="15222" spans="3:14" x14ac:dyDescent="0.3">
      <c r="C15222" s="54"/>
      <c r="N15222" s="33"/>
    </row>
    <row r="15223" spans="3:14" x14ac:dyDescent="0.3">
      <c r="C15223" s="54"/>
      <c r="N15223" s="33"/>
    </row>
    <row r="15224" spans="3:14" x14ac:dyDescent="0.3">
      <c r="C15224" s="54"/>
      <c r="N15224" s="33"/>
    </row>
    <row r="15225" spans="3:14" x14ac:dyDescent="0.3">
      <c r="C15225" s="54"/>
      <c r="N15225" s="33"/>
    </row>
    <row r="15226" spans="3:14" x14ac:dyDescent="0.3">
      <c r="C15226" s="54"/>
      <c r="N15226" s="33"/>
    </row>
    <row r="15227" spans="3:14" x14ac:dyDescent="0.3">
      <c r="C15227" s="54"/>
      <c r="N15227" s="33"/>
    </row>
    <row r="15228" spans="3:14" x14ac:dyDescent="0.3">
      <c r="C15228" s="54"/>
      <c r="N15228" s="33"/>
    </row>
    <row r="15229" spans="3:14" x14ac:dyDescent="0.3">
      <c r="C15229" s="54"/>
      <c r="N15229" s="33"/>
    </row>
    <row r="15230" spans="3:14" x14ac:dyDescent="0.3">
      <c r="C15230" s="54"/>
      <c r="N15230" s="33"/>
    </row>
    <row r="15231" spans="3:14" x14ac:dyDescent="0.3">
      <c r="C15231" s="54"/>
      <c r="N15231" s="33"/>
    </row>
    <row r="15232" spans="3:14" x14ac:dyDescent="0.3">
      <c r="C15232" s="54"/>
      <c r="N15232" s="33"/>
    </row>
    <row r="15233" spans="3:14" x14ac:dyDescent="0.3">
      <c r="C15233" s="54"/>
      <c r="N15233" s="33"/>
    </row>
    <row r="15234" spans="3:14" x14ac:dyDescent="0.3">
      <c r="C15234" s="54"/>
      <c r="N15234" s="33"/>
    </row>
    <row r="15235" spans="3:14" x14ac:dyDescent="0.3">
      <c r="C15235" s="54"/>
      <c r="N15235" s="33"/>
    </row>
    <row r="15236" spans="3:14" x14ac:dyDescent="0.3">
      <c r="C15236" s="54"/>
      <c r="N15236" s="33"/>
    </row>
    <row r="15237" spans="3:14" x14ac:dyDescent="0.3">
      <c r="C15237" s="54"/>
      <c r="N15237" s="33"/>
    </row>
    <row r="15238" spans="3:14" x14ac:dyDescent="0.3">
      <c r="C15238" s="54"/>
      <c r="N15238" s="33"/>
    </row>
    <row r="15239" spans="3:14" x14ac:dyDescent="0.3">
      <c r="C15239" s="54"/>
      <c r="N15239" s="33"/>
    </row>
    <row r="15240" spans="3:14" x14ac:dyDescent="0.3">
      <c r="C15240" s="54"/>
      <c r="N15240" s="33"/>
    </row>
    <row r="15241" spans="3:14" x14ac:dyDescent="0.3">
      <c r="C15241" s="54"/>
      <c r="N15241" s="33"/>
    </row>
    <row r="15242" spans="3:14" x14ac:dyDescent="0.3">
      <c r="C15242" s="54"/>
      <c r="N15242" s="33"/>
    </row>
    <row r="15243" spans="3:14" x14ac:dyDescent="0.3">
      <c r="C15243" s="54"/>
      <c r="N15243" s="33"/>
    </row>
    <row r="15244" spans="3:14" x14ac:dyDescent="0.3">
      <c r="C15244" s="54"/>
      <c r="N15244" s="33"/>
    </row>
    <row r="15245" spans="3:14" x14ac:dyDescent="0.3">
      <c r="C15245" s="54"/>
      <c r="N15245" s="33"/>
    </row>
    <row r="15246" spans="3:14" x14ac:dyDescent="0.3">
      <c r="C15246" s="54"/>
      <c r="N15246" s="33"/>
    </row>
    <row r="15247" spans="3:14" x14ac:dyDescent="0.3">
      <c r="C15247" s="54"/>
      <c r="N15247" s="33"/>
    </row>
    <row r="15248" spans="3:14" x14ac:dyDescent="0.3">
      <c r="C15248" s="54"/>
      <c r="N15248" s="33"/>
    </row>
    <row r="15249" spans="3:14" x14ac:dyDescent="0.3">
      <c r="C15249" s="54"/>
      <c r="N15249" s="33"/>
    </row>
    <row r="15250" spans="3:14" x14ac:dyDescent="0.3">
      <c r="C15250" s="54"/>
      <c r="N15250" s="33"/>
    </row>
    <row r="15251" spans="3:14" x14ac:dyDescent="0.3">
      <c r="C15251" s="54"/>
      <c r="N15251" s="33"/>
    </row>
    <row r="15252" spans="3:14" x14ac:dyDescent="0.3">
      <c r="C15252" s="54"/>
      <c r="N15252" s="33"/>
    </row>
    <row r="15253" spans="3:14" x14ac:dyDescent="0.3">
      <c r="C15253" s="54"/>
      <c r="N15253" s="33"/>
    </row>
    <row r="15254" spans="3:14" x14ac:dyDescent="0.3">
      <c r="C15254" s="54"/>
      <c r="N15254" s="33"/>
    </row>
    <row r="15255" spans="3:14" x14ac:dyDescent="0.3">
      <c r="C15255" s="54"/>
      <c r="N15255" s="33"/>
    </row>
    <row r="15256" spans="3:14" x14ac:dyDescent="0.3">
      <c r="C15256" s="54"/>
      <c r="N15256" s="33"/>
    </row>
    <row r="15257" spans="3:14" x14ac:dyDescent="0.3">
      <c r="C15257" s="54"/>
      <c r="N15257" s="33"/>
    </row>
    <row r="15258" spans="3:14" x14ac:dyDescent="0.3">
      <c r="C15258" s="54"/>
      <c r="N15258" s="33"/>
    </row>
    <row r="15259" spans="3:14" x14ac:dyDescent="0.3">
      <c r="C15259" s="54"/>
      <c r="N15259" s="33"/>
    </row>
    <row r="15260" spans="3:14" x14ac:dyDescent="0.3">
      <c r="C15260" s="54"/>
      <c r="N15260" s="33"/>
    </row>
    <row r="15261" spans="3:14" x14ac:dyDescent="0.3">
      <c r="C15261" s="54"/>
      <c r="N15261" s="33"/>
    </row>
    <row r="15262" spans="3:14" x14ac:dyDescent="0.3">
      <c r="C15262" s="54"/>
      <c r="N15262" s="33"/>
    </row>
    <row r="15263" spans="3:14" x14ac:dyDescent="0.3">
      <c r="C15263" s="54"/>
      <c r="N15263" s="33"/>
    </row>
    <row r="15264" spans="3:14" x14ac:dyDescent="0.3">
      <c r="C15264" s="54"/>
      <c r="N15264" s="33"/>
    </row>
    <row r="15265" spans="3:14" x14ac:dyDescent="0.3">
      <c r="C15265" s="54"/>
      <c r="N15265" s="33"/>
    </row>
    <row r="15266" spans="3:14" x14ac:dyDescent="0.3">
      <c r="C15266" s="54"/>
      <c r="N15266" s="33"/>
    </row>
    <row r="15267" spans="3:14" x14ac:dyDescent="0.3">
      <c r="C15267" s="54"/>
      <c r="N15267" s="33"/>
    </row>
    <row r="15268" spans="3:14" x14ac:dyDescent="0.3">
      <c r="C15268" s="54"/>
      <c r="N15268" s="33"/>
    </row>
    <row r="15269" spans="3:14" x14ac:dyDescent="0.3">
      <c r="C15269" s="54"/>
      <c r="N15269" s="33"/>
    </row>
    <row r="15270" spans="3:14" x14ac:dyDescent="0.3">
      <c r="C15270" s="54"/>
      <c r="N15270" s="33"/>
    </row>
    <row r="15271" spans="3:14" x14ac:dyDescent="0.3">
      <c r="C15271" s="54"/>
      <c r="N15271" s="33"/>
    </row>
    <row r="15272" spans="3:14" x14ac:dyDescent="0.3">
      <c r="C15272" s="54"/>
      <c r="N15272" s="33"/>
    </row>
    <row r="15273" spans="3:14" x14ac:dyDescent="0.3">
      <c r="C15273" s="54"/>
      <c r="N15273" s="33"/>
    </row>
    <row r="15274" spans="3:14" x14ac:dyDescent="0.3">
      <c r="C15274" s="54"/>
      <c r="N15274" s="33"/>
    </row>
    <row r="15275" spans="3:14" x14ac:dyDescent="0.3">
      <c r="C15275" s="54"/>
      <c r="N15275" s="33"/>
    </row>
    <row r="15276" spans="3:14" x14ac:dyDescent="0.3">
      <c r="C15276" s="54"/>
      <c r="N15276" s="33"/>
    </row>
    <row r="15277" spans="3:14" x14ac:dyDescent="0.3">
      <c r="C15277" s="54"/>
      <c r="N15277" s="33"/>
    </row>
    <row r="15278" spans="3:14" x14ac:dyDescent="0.3">
      <c r="C15278" s="54"/>
      <c r="N15278" s="33"/>
    </row>
    <row r="15279" spans="3:14" x14ac:dyDescent="0.3">
      <c r="C15279" s="54"/>
      <c r="N15279" s="33"/>
    </row>
    <row r="15280" spans="3:14" x14ac:dyDescent="0.3">
      <c r="C15280" s="54"/>
      <c r="N15280" s="33"/>
    </row>
    <row r="15281" spans="3:14" x14ac:dyDescent="0.3">
      <c r="C15281" s="54"/>
      <c r="N15281" s="33"/>
    </row>
    <row r="15282" spans="3:14" x14ac:dyDescent="0.3">
      <c r="C15282" s="54"/>
      <c r="N15282" s="33"/>
    </row>
    <row r="15283" spans="3:14" x14ac:dyDescent="0.3">
      <c r="C15283" s="54"/>
      <c r="N15283" s="33"/>
    </row>
    <row r="15284" spans="3:14" x14ac:dyDescent="0.3">
      <c r="C15284" s="54"/>
      <c r="N15284" s="33"/>
    </row>
    <row r="15285" spans="3:14" x14ac:dyDescent="0.3">
      <c r="C15285" s="54"/>
      <c r="N15285" s="33"/>
    </row>
    <row r="15286" spans="3:14" x14ac:dyDescent="0.3">
      <c r="C15286" s="54"/>
      <c r="N15286" s="33"/>
    </row>
    <row r="15287" spans="3:14" x14ac:dyDescent="0.3">
      <c r="C15287" s="54"/>
      <c r="N15287" s="33"/>
    </row>
    <row r="15288" spans="3:14" x14ac:dyDescent="0.3">
      <c r="C15288" s="54"/>
      <c r="N15288" s="33"/>
    </row>
    <row r="15289" spans="3:14" x14ac:dyDescent="0.3">
      <c r="C15289" s="54"/>
      <c r="N15289" s="33"/>
    </row>
    <row r="15290" spans="3:14" x14ac:dyDescent="0.3">
      <c r="C15290" s="54"/>
      <c r="N15290" s="33"/>
    </row>
    <row r="15291" spans="3:14" x14ac:dyDescent="0.3">
      <c r="C15291" s="54"/>
      <c r="N15291" s="33"/>
    </row>
    <row r="15292" spans="3:14" x14ac:dyDescent="0.3">
      <c r="C15292" s="54"/>
      <c r="N15292" s="33"/>
    </row>
    <row r="15293" spans="3:14" x14ac:dyDescent="0.3">
      <c r="C15293" s="54"/>
      <c r="N15293" s="33"/>
    </row>
    <row r="15294" spans="3:14" x14ac:dyDescent="0.3">
      <c r="C15294" s="54"/>
      <c r="N15294" s="33"/>
    </row>
    <row r="15295" spans="3:14" x14ac:dyDescent="0.3">
      <c r="C15295" s="54"/>
      <c r="N15295" s="33"/>
    </row>
    <row r="15296" spans="3:14" x14ac:dyDescent="0.3">
      <c r="C15296" s="54"/>
      <c r="N15296" s="33"/>
    </row>
    <row r="15297" spans="3:14" x14ac:dyDescent="0.3">
      <c r="C15297" s="54"/>
      <c r="N15297" s="33"/>
    </row>
    <row r="15298" spans="3:14" x14ac:dyDescent="0.3">
      <c r="C15298" s="54"/>
      <c r="N15298" s="33"/>
    </row>
    <row r="15299" spans="3:14" x14ac:dyDescent="0.3">
      <c r="C15299" s="54"/>
      <c r="N15299" s="33"/>
    </row>
    <row r="15300" spans="3:14" x14ac:dyDescent="0.3">
      <c r="C15300" s="54"/>
      <c r="N15300" s="33"/>
    </row>
    <row r="15301" spans="3:14" x14ac:dyDescent="0.3">
      <c r="C15301" s="54"/>
      <c r="N15301" s="33"/>
    </row>
    <row r="15302" spans="3:14" x14ac:dyDescent="0.3">
      <c r="C15302" s="54"/>
      <c r="N15302" s="33"/>
    </row>
    <row r="15303" spans="3:14" x14ac:dyDescent="0.3">
      <c r="C15303" s="54"/>
      <c r="N15303" s="33"/>
    </row>
    <row r="15304" spans="3:14" x14ac:dyDescent="0.3">
      <c r="C15304" s="54"/>
      <c r="N15304" s="33"/>
    </row>
    <row r="15305" spans="3:14" x14ac:dyDescent="0.3">
      <c r="C15305" s="54"/>
      <c r="N15305" s="33"/>
    </row>
    <row r="15306" spans="3:14" x14ac:dyDescent="0.3">
      <c r="C15306" s="54"/>
      <c r="N15306" s="33"/>
    </row>
    <row r="15307" spans="3:14" x14ac:dyDescent="0.3">
      <c r="C15307" s="54"/>
      <c r="N15307" s="33"/>
    </row>
    <row r="15308" spans="3:14" x14ac:dyDescent="0.3">
      <c r="C15308" s="54"/>
      <c r="N15308" s="33"/>
    </row>
    <row r="15309" spans="3:14" x14ac:dyDescent="0.3">
      <c r="C15309" s="54"/>
      <c r="N15309" s="33"/>
    </row>
    <row r="15310" spans="3:14" x14ac:dyDescent="0.3">
      <c r="C15310" s="54"/>
      <c r="N15310" s="33"/>
    </row>
    <row r="15311" spans="3:14" x14ac:dyDescent="0.3">
      <c r="C15311" s="54"/>
      <c r="N15311" s="33"/>
    </row>
    <row r="15312" spans="3:14" x14ac:dyDescent="0.3">
      <c r="C15312" s="54"/>
      <c r="N15312" s="33"/>
    </row>
    <row r="15313" spans="3:14" x14ac:dyDescent="0.3">
      <c r="C15313" s="54"/>
      <c r="N15313" s="33"/>
    </row>
    <row r="15314" spans="3:14" x14ac:dyDescent="0.3">
      <c r="C15314" s="54"/>
      <c r="N15314" s="33"/>
    </row>
    <row r="15315" spans="3:14" x14ac:dyDescent="0.3">
      <c r="C15315" s="54"/>
      <c r="N15315" s="33"/>
    </row>
    <row r="15316" spans="3:14" x14ac:dyDescent="0.3">
      <c r="C15316" s="54"/>
      <c r="N15316" s="33"/>
    </row>
    <row r="15317" spans="3:14" x14ac:dyDescent="0.3">
      <c r="C15317" s="54"/>
      <c r="N15317" s="33"/>
    </row>
    <row r="15318" spans="3:14" x14ac:dyDescent="0.3">
      <c r="C15318" s="54"/>
      <c r="N15318" s="33"/>
    </row>
    <row r="15319" spans="3:14" x14ac:dyDescent="0.3">
      <c r="C15319" s="54"/>
      <c r="N15319" s="33"/>
    </row>
    <row r="15320" spans="3:14" x14ac:dyDescent="0.3">
      <c r="C15320" s="54"/>
      <c r="N15320" s="33"/>
    </row>
    <row r="15321" spans="3:14" x14ac:dyDescent="0.3">
      <c r="C15321" s="54"/>
      <c r="N15321" s="33"/>
    </row>
    <row r="15322" spans="3:14" x14ac:dyDescent="0.3">
      <c r="C15322" s="54"/>
      <c r="N15322" s="33"/>
    </row>
    <row r="15323" spans="3:14" x14ac:dyDescent="0.3">
      <c r="C15323" s="54"/>
      <c r="N15323" s="33"/>
    </row>
    <row r="15324" spans="3:14" x14ac:dyDescent="0.3">
      <c r="C15324" s="54"/>
      <c r="N15324" s="33"/>
    </row>
    <row r="15325" spans="3:14" x14ac:dyDescent="0.3">
      <c r="C15325" s="54"/>
      <c r="N15325" s="33"/>
    </row>
    <row r="15326" spans="3:14" x14ac:dyDescent="0.3">
      <c r="C15326" s="54"/>
      <c r="N15326" s="33"/>
    </row>
    <row r="15327" spans="3:14" x14ac:dyDescent="0.3">
      <c r="C15327" s="54"/>
      <c r="N15327" s="33"/>
    </row>
    <row r="15328" spans="3:14" x14ac:dyDescent="0.3">
      <c r="C15328" s="54"/>
      <c r="N15328" s="33"/>
    </row>
    <row r="15329" spans="3:14" x14ac:dyDescent="0.3">
      <c r="C15329" s="54"/>
      <c r="N15329" s="33"/>
    </row>
    <row r="15330" spans="3:14" x14ac:dyDescent="0.3">
      <c r="C15330" s="54"/>
      <c r="N15330" s="33"/>
    </row>
    <row r="15331" spans="3:14" x14ac:dyDescent="0.3">
      <c r="C15331" s="54"/>
      <c r="N15331" s="33"/>
    </row>
    <row r="15332" spans="3:14" x14ac:dyDescent="0.3">
      <c r="C15332" s="54"/>
      <c r="N15332" s="33"/>
    </row>
    <row r="15333" spans="3:14" x14ac:dyDescent="0.3">
      <c r="C15333" s="54"/>
      <c r="N15333" s="33"/>
    </row>
    <row r="15334" spans="3:14" x14ac:dyDescent="0.3">
      <c r="C15334" s="54"/>
      <c r="N15334" s="33"/>
    </row>
    <row r="15335" spans="3:14" x14ac:dyDescent="0.3">
      <c r="C15335" s="54"/>
      <c r="N15335" s="33"/>
    </row>
    <row r="15336" spans="3:14" x14ac:dyDescent="0.3">
      <c r="C15336" s="54"/>
      <c r="N15336" s="33"/>
    </row>
    <row r="15337" spans="3:14" x14ac:dyDescent="0.3">
      <c r="C15337" s="54"/>
      <c r="N15337" s="33"/>
    </row>
    <row r="15338" spans="3:14" x14ac:dyDescent="0.3">
      <c r="C15338" s="54"/>
      <c r="N15338" s="33"/>
    </row>
    <row r="15339" spans="3:14" x14ac:dyDescent="0.3">
      <c r="C15339" s="54"/>
      <c r="N15339" s="33"/>
    </row>
    <row r="15340" spans="3:14" x14ac:dyDescent="0.3">
      <c r="C15340" s="54"/>
      <c r="N15340" s="33"/>
    </row>
    <row r="15341" spans="3:14" x14ac:dyDescent="0.3">
      <c r="C15341" s="54"/>
      <c r="N15341" s="33"/>
    </row>
    <row r="15342" spans="3:14" x14ac:dyDescent="0.3">
      <c r="C15342" s="54"/>
      <c r="N15342" s="33"/>
    </row>
    <row r="15343" spans="3:14" x14ac:dyDescent="0.3">
      <c r="C15343" s="54"/>
      <c r="N15343" s="33"/>
    </row>
    <row r="15344" spans="3:14" x14ac:dyDescent="0.3">
      <c r="C15344" s="54"/>
      <c r="N15344" s="33"/>
    </row>
    <row r="15345" spans="3:14" x14ac:dyDescent="0.3">
      <c r="C15345" s="54"/>
      <c r="N15345" s="33"/>
    </row>
    <row r="15346" spans="3:14" x14ac:dyDescent="0.3">
      <c r="C15346" s="54"/>
      <c r="N15346" s="33"/>
    </row>
    <row r="15347" spans="3:14" x14ac:dyDescent="0.3">
      <c r="C15347" s="54"/>
      <c r="N15347" s="33"/>
    </row>
    <row r="15348" spans="3:14" x14ac:dyDescent="0.3">
      <c r="C15348" s="54"/>
      <c r="N15348" s="33"/>
    </row>
    <row r="15349" spans="3:14" x14ac:dyDescent="0.3">
      <c r="C15349" s="54"/>
      <c r="N15349" s="33"/>
    </row>
    <row r="15350" spans="3:14" x14ac:dyDescent="0.3">
      <c r="C15350" s="54"/>
      <c r="N15350" s="33"/>
    </row>
    <row r="15351" spans="3:14" x14ac:dyDescent="0.3">
      <c r="C15351" s="54"/>
      <c r="N15351" s="33"/>
    </row>
    <row r="15352" spans="3:14" x14ac:dyDescent="0.3">
      <c r="C15352" s="54"/>
      <c r="N15352" s="33"/>
    </row>
    <row r="15353" spans="3:14" x14ac:dyDescent="0.3">
      <c r="C15353" s="54"/>
      <c r="N15353" s="33"/>
    </row>
    <row r="15354" spans="3:14" x14ac:dyDescent="0.3">
      <c r="C15354" s="54"/>
      <c r="N15354" s="33"/>
    </row>
    <row r="15355" spans="3:14" x14ac:dyDescent="0.3">
      <c r="C15355" s="54"/>
      <c r="N15355" s="33"/>
    </row>
    <row r="15356" spans="3:14" x14ac:dyDescent="0.3">
      <c r="C15356" s="54"/>
      <c r="N15356" s="33"/>
    </row>
    <row r="15357" spans="3:14" x14ac:dyDescent="0.3">
      <c r="C15357" s="54"/>
      <c r="N15357" s="33"/>
    </row>
    <row r="15358" spans="3:14" x14ac:dyDescent="0.3">
      <c r="C15358" s="54"/>
      <c r="N15358" s="33"/>
    </row>
    <row r="15359" spans="3:14" x14ac:dyDescent="0.3">
      <c r="C15359" s="54"/>
      <c r="N15359" s="33"/>
    </row>
    <row r="15360" spans="3:14" x14ac:dyDescent="0.3">
      <c r="C15360" s="54"/>
      <c r="N15360" s="33"/>
    </row>
    <row r="15361" spans="3:14" x14ac:dyDescent="0.3">
      <c r="C15361" s="54"/>
      <c r="N15361" s="33"/>
    </row>
    <row r="15362" spans="3:14" x14ac:dyDescent="0.3">
      <c r="C15362" s="54"/>
      <c r="N15362" s="33"/>
    </row>
    <row r="15363" spans="3:14" x14ac:dyDescent="0.3">
      <c r="C15363" s="54"/>
      <c r="N15363" s="33"/>
    </row>
    <row r="15364" spans="3:14" x14ac:dyDescent="0.3">
      <c r="C15364" s="54"/>
      <c r="N15364" s="33"/>
    </row>
    <row r="15365" spans="3:14" x14ac:dyDescent="0.3">
      <c r="C15365" s="54"/>
      <c r="N15365" s="33"/>
    </row>
    <row r="15366" spans="3:14" x14ac:dyDescent="0.3">
      <c r="C15366" s="54"/>
      <c r="N15366" s="33"/>
    </row>
    <row r="15367" spans="3:14" x14ac:dyDescent="0.3">
      <c r="C15367" s="54"/>
      <c r="N15367" s="33"/>
    </row>
    <row r="15368" spans="3:14" x14ac:dyDescent="0.3">
      <c r="C15368" s="54"/>
      <c r="N15368" s="33"/>
    </row>
    <row r="15369" spans="3:14" x14ac:dyDescent="0.3">
      <c r="C15369" s="54"/>
      <c r="N15369" s="33"/>
    </row>
    <row r="15370" spans="3:14" x14ac:dyDescent="0.3">
      <c r="C15370" s="54"/>
      <c r="N15370" s="33"/>
    </row>
    <row r="15371" spans="3:14" x14ac:dyDescent="0.3">
      <c r="C15371" s="54"/>
      <c r="N15371" s="33"/>
    </row>
    <row r="15372" spans="3:14" x14ac:dyDescent="0.3">
      <c r="C15372" s="54"/>
      <c r="N15372" s="33"/>
    </row>
    <row r="15373" spans="3:14" x14ac:dyDescent="0.3">
      <c r="C15373" s="54"/>
      <c r="N15373" s="33"/>
    </row>
    <row r="15374" spans="3:14" x14ac:dyDescent="0.3">
      <c r="C15374" s="54"/>
      <c r="N15374" s="33"/>
    </row>
    <row r="15375" spans="3:14" x14ac:dyDescent="0.3">
      <c r="C15375" s="54"/>
      <c r="N15375" s="33"/>
    </row>
    <row r="15376" spans="3:14" x14ac:dyDescent="0.3">
      <c r="C15376" s="54"/>
      <c r="N15376" s="33"/>
    </row>
    <row r="15377" spans="3:14" x14ac:dyDescent="0.3">
      <c r="C15377" s="54"/>
      <c r="N15377" s="33"/>
    </row>
    <row r="15378" spans="3:14" x14ac:dyDescent="0.3">
      <c r="C15378" s="54"/>
      <c r="N15378" s="33"/>
    </row>
    <row r="15379" spans="3:14" x14ac:dyDescent="0.3">
      <c r="C15379" s="54"/>
      <c r="N15379" s="33"/>
    </row>
    <row r="15380" spans="3:14" x14ac:dyDescent="0.3">
      <c r="C15380" s="54"/>
      <c r="N15380" s="33"/>
    </row>
    <row r="15381" spans="3:14" x14ac:dyDescent="0.3">
      <c r="C15381" s="54"/>
      <c r="N15381" s="33"/>
    </row>
    <row r="15382" spans="3:14" x14ac:dyDescent="0.3">
      <c r="C15382" s="54"/>
      <c r="N15382" s="33"/>
    </row>
    <row r="15383" spans="3:14" x14ac:dyDescent="0.3">
      <c r="C15383" s="54"/>
      <c r="N15383" s="33"/>
    </row>
    <row r="15384" spans="3:14" x14ac:dyDescent="0.3">
      <c r="C15384" s="54"/>
      <c r="N15384" s="33"/>
    </row>
    <row r="15385" spans="3:14" x14ac:dyDescent="0.3">
      <c r="C15385" s="54"/>
      <c r="N15385" s="33"/>
    </row>
    <row r="15386" spans="3:14" x14ac:dyDescent="0.3">
      <c r="C15386" s="54"/>
      <c r="N15386" s="33"/>
    </row>
    <row r="15387" spans="3:14" x14ac:dyDescent="0.3">
      <c r="C15387" s="54"/>
      <c r="N15387" s="33"/>
    </row>
    <row r="15388" spans="3:14" x14ac:dyDescent="0.3">
      <c r="C15388" s="54"/>
      <c r="N15388" s="33"/>
    </row>
    <row r="15389" spans="3:14" x14ac:dyDescent="0.3">
      <c r="C15389" s="54"/>
      <c r="N15389" s="33"/>
    </row>
    <row r="15390" spans="3:14" x14ac:dyDescent="0.3">
      <c r="C15390" s="54"/>
      <c r="N15390" s="33"/>
    </row>
    <row r="15391" spans="3:14" x14ac:dyDescent="0.3">
      <c r="C15391" s="54"/>
      <c r="N15391" s="33"/>
    </row>
    <row r="15392" spans="3:14" x14ac:dyDescent="0.3">
      <c r="C15392" s="54"/>
      <c r="N15392" s="33"/>
    </row>
    <row r="15393" spans="3:14" x14ac:dyDescent="0.3">
      <c r="C15393" s="54"/>
      <c r="N15393" s="33"/>
    </row>
    <row r="15394" spans="3:14" x14ac:dyDescent="0.3">
      <c r="C15394" s="54"/>
      <c r="N15394" s="33"/>
    </row>
    <row r="15395" spans="3:14" x14ac:dyDescent="0.3">
      <c r="C15395" s="54"/>
      <c r="N15395" s="33"/>
    </row>
    <row r="15396" spans="3:14" x14ac:dyDescent="0.3">
      <c r="C15396" s="54"/>
      <c r="N15396" s="33"/>
    </row>
    <row r="15397" spans="3:14" x14ac:dyDescent="0.3">
      <c r="C15397" s="54"/>
      <c r="N15397" s="33"/>
    </row>
    <row r="15398" spans="3:14" x14ac:dyDescent="0.3">
      <c r="C15398" s="54"/>
      <c r="N15398" s="33"/>
    </row>
    <row r="15399" spans="3:14" x14ac:dyDescent="0.3">
      <c r="C15399" s="54"/>
      <c r="N15399" s="33"/>
    </row>
    <row r="15400" spans="3:14" x14ac:dyDescent="0.3">
      <c r="C15400" s="54"/>
      <c r="N15400" s="33"/>
    </row>
    <row r="15401" spans="3:14" x14ac:dyDescent="0.3">
      <c r="C15401" s="54"/>
      <c r="N15401" s="33"/>
    </row>
    <row r="15402" spans="3:14" x14ac:dyDescent="0.3">
      <c r="C15402" s="54"/>
      <c r="N15402" s="33"/>
    </row>
    <row r="15403" spans="3:14" x14ac:dyDescent="0.3">
      <c r="C15403" s="54"/>
      <c r="N15403" s="33"/>
    </row>
    <row r="15404" spans="3:14" x14ac:dyDescent="0.3">
      <c r="C15404" s="54"/>
      <c r="N15404" s="33"/>
    </row>
    <row r="15405" spans="3:14" x14ac:dyDescent="0.3">
      <c r="C15405" s="54"/>
      <c r="N15405" s="33"/>
    </row>
    <row r="15406" spans="3:14" x14ac:dyDescent="0.3">
      <c r="C15406" s="54"/>
      <c r="N15406" s="33"/>
    </row>
    <row r="15407" spans="3:14" x14ac:dyDescent="0.3">
      <c r="C15407" s="54"/>
      <c r="N15407" s="33"/>
    </row>
    <row r="15408" spans="3:14" x14ac:dyDescent="0.3">
      <c r="C15408" s="54"/>
      <c r="N15408" s="33"/>
    </row>
    <row r="15409" spans="3:14" x14ac:dyDescent="0.3">
      <c r="C15409" s="54"/>
      <c r="N15409" s="33"/>
    </row>
    <row r="15410" spans="3:14" x14ac:dyDescent="0.3">
      <c r="C15410" s="54"/>
      <c r="N15410" s="33"/>
    </row>
    <row r="15411" spans="3:14" x14ac:dyDescent="0.3">
      <c r="C15411" s="54"/>
      <c r="N15411" s="33"/>
    </row>
    <row r="15412" spans="3:14" x14ac:dyDescent="0.3">
      <c r="C15412" s="54"/>
      <c r="N15412" s="33"/>
    </row>
    <row r="15413" spans="3:14" x14ac:dyDescent="0.3">
      <c r="C15413" s="54"/>
      <c r="N15413" s="33"/>
    </row>
    <row r="15414" spans="3:14" x14ac:dyDescent="0.3">
      <c r="C15414" s="54"/>
      <c r="N15414" s="33"/>
    </row>
    <row r="15415" spans="3:14" x14ac:dyDescent="0.3">
      <c r="C15415" s="54"/>
      <c r="N15415" s="33"/>
    </row>
    <row r="15416" spans="3:14" x14ac:dyDescent="0.3">
      <c r="C15416" s="54"/>
      <c r="N15416" s="33"/>
    </row>
    <row r="15417" spans="3:14" x14ac:dyDescent="0.3">
      <c r="C15417" s="54"/>
      <c r="N15417" s="33"/>
    </row>
    <row r="15418" spans="3:14" x14ac:dyDescent="0.3">
      <c r="C15418" s="54"/>
      <c r="N15418" s="33"/>
    </row>
    <row r="15419" spans="3:14" x14ac:dyDescent="0.3">
      <c r="C15419" s="54"/>
      <c r="N15419" s="33"/>
    </row>
    <row r="15420" spans="3:14" x14ac:dyDescent="0.3">
      <c r="C15420" s="54"/>
      <c r="N15420" s="33"/>
    </row>
    <row r="15421" spans="3:14" x14ac:dyDescent="0.3">
      <c r="C15421" s="54"/>
      <c r="N15421" s="33"/>
    </row>
    <row r="15422" spans="3:14" x14ac:dyDescent="0.3">
      <c r="C15422" s="54"/>
      <c r="N15422" s="33"/>
    </row>
    <row r="15423" spans="3:14" x14ac:dyDescent="0.3">
      <c r="C15423" s="54"/>
      <c r="N15423" s="33"/>
    </row>
    <row r="15424" spans="3:14" x14ac:dyDescent="0.3">
      <c r="C15424" s="54"/>
      <c r="N15424" s="33"/>
    </row>
    <row r="15425" spans="3:14" x14ac:dyDescent="0.3">
      <c r="C15425" s="54"/>
      <c r="N15425" s="33"/>
    </row>
    <row r="15426" spans="3:14" x14ac:dyDescent="0.3">
      <c r="C15426" s="54"/>
      <c r="N15426" s="33"/>
    </row>
    <row r="15427" spans="3:14" x14ac:dyDescent="0.3">
      <c r="C15427" s="54"/>
      <c r="N15427" s="33"/>
    </row>
    <row r="15428" spans="3:14" x14ac:dyDescent="0.3">
      <c r="C15428" s="54"/>
      <c r="N15428" s="33"/>
    </row>
    <row r="15429" spans="3:14" x14ac:dyDescent="0.3">
      <c r="C15429" s="54"/>
      <c r="N15429" s="33"/>
    </row>
    <row r="15430" spans="3:14" x14ac:dyDescent="0.3">
      <c r="C15430" s="54"/>
      <c r="N15430" s="33"/>
    </row>
    <row r="15431" spans="3:14" x14ac:dyDescent="0.3">
      <c r="C15431" s="54"/>
      <c r="N15431" s="33"/>
    </row>
    <row r="15432" spans="3:14" x14ac:dyDescent="0.3">
      <c r="C15432" s="54"/>
      <c r="N15432" s="33"/>
    </row>
    <row r="15433" spans="3:14" x14ac:dyDescent="0.3">
      <c r="C15433" s="54"/>
      <c r="N15433" s="33"/>
    </row>
    <row r="15434" spans="3:14" x14ac:dyDescent="0.3">
      <c r="C15434" s="54"/>
      <c r="N15434" s="33"/>
    </row>
    <row r="15435" spans="3:14" x14ac:dyDescent="0.3">
      <c r="C15435" s="54"/>
      <c r="N15435" s="33"/>
    </row>
    <row r="15436" spans="3:14" x14ac:dyDescent="0.3">
      <c r="C15436" s="54"/>
      <c r="N15436" s="33"/>
    </row>
    <row r="15437" spans="3:14" x14ac:dyDescent="0.3">
      <c r="C15437" s="54"/>
      <c r="N15437" s="33"/>
    </row>
    <row r="15438" spans="3:14" x14ac:dyDescent="0.3">
      <c r="C15438" s="54"/>
      <c r="N15438" s="33"/>
    </row>
    <row r="15439" spans="3:14" x14ac:dyDescent="0.3">
      <c r="C15439" s="54"/>
      <c r="N15439" s="33"/>
    </row>
    <row r="15440" spans="3:14" x14ac:dyDescent="0.3">
      <c r="C15440" s="54"/>
      <c r="N15440" s="33"/>
    </row>
    <row r="15441" spans="3:14" x14ac:dyDescent="0.3">
      <c r="C15441" s="54"/>
      <c r="N15441" s="33"/>
    </row>
    <row r="15442" spans="3:14" x14ac:dyDescent="0.3">
      <c r="C15442" s="54"/>
      <c r="N15442" s="33"/>
    </row>
    <row r="15443" spans="3:14" x14ac:dyDescent="0.3">
      <c r="C15443" s="54"/>
      <c r="N15443" s="33"/>
    </row>
    <row r="15444" spans="3:14" x14ac:dyDescent="0.3">
      <c r="C15444" s="54"/>
      <c r="N15444" s="33"/>
    </row>
    <row r="15445" spans="3:14" x14ac:dyDescent="0.3">
      <c r="C15445" s="54"/>
      <c r="N15445" s="33"/>
    </row>
    <row r="15446" spans="3:14" x14ac:dyDescent="0.3">
      <c r="C15446" s="54"/>
      <c r="N15446" s="33"/>
    </row>
    <row r="15447" spans="3:14" x14ac:dyDescent="0.3">
      <c r="C15447" s="54"/>
      <c r="N15447" s="33"/>
    </row>
    <row r="15448" spans="3:14" x14ac:dyDescent="0.3">
      <c r="C15448" s="54"/>
      <c r="N15448" s="33"/>
    </row>
    <row r="15449" spans="3:14" x14ac:dyDescent="0.3">
      <c r="C15449" s="54"/>
      <c r="N15449" s="33"/>
    </row>
    <row r="15450" spans="3:14" x14ac:dyDescent="0.3">
      <c r="C15450" s="54"/>
      <c r="N15450" s="33"/>
    </row>
    <row r="15451" spans="3:14" x14ac:dyDescent="0.3">
      <c r="C15451" s="54"/>
      <c r="N15451" s="33"/>
    </row>
    <row r="15452" spans="3:14" x14ac:dyDescent="0.3">
      <c r="C15452" s="54"/>
      <c r="N15452" s="33"/>
    </row>
    <row r="15453" spans="3:14" x14ac:dyDescent="0.3">
      <c r="C15453" s="54"/>
      <c r="N15453" s="33"/>
    </row>
    <row r="15454" spans="3:14" x14ac:dyDescent="0.3">
      <c r="C15454" s="54"/>
      <c r="N15454" s="33"/>
    </row>
    <row r="15455" spans="3:14" x14ac:dyDescent="0.3">
      <c r="C15455" s="54"/>
      <c r="N15455" s="33"/>
    </row>
    <row r="15456" spans="3:14" x14ac:dyDescent="0.3">
      <c r="C15456" s="54"/>
      <c r="N15456" s="33"/>
    </row>
    <row r="15457" spans="3:14" x14ac:dyDescent="0.3">
      <c r="C15457" s="54"/>
      <c r="N15457" s="33"/>
    </row>
    <row r="15458" spans="3:14" x14ac:dyDescent="0.3">
      <c r="C15458" s="54"/>
      <c r="N15458" s="33"/>
    </row>
    <row r="15459" spans="3:14" x14ac:dyDescent="0.3">
      <c r="C15459" s="54"/>
      <c r="N15459" s="33"/>
    </row>
    <row r="15460" spans="3:14" x14ac:dyDescent="0.3">
      <c r="C15460" s="54"/>
      <c r="N15460" s="33"/>
    </row>
    <row r="15461" spans="3:14" x14ac:dyDescent="0.3">
      <c r="C15461" s="54"/>
      <c r="N15461" s="33"/>
    </row>
    <row r="15462" spans="3:14" x14ac:dyDescent="0.3">
      <c r="C15462" s="54"/>
      <c r="N15462" s="33"/>
    </row>
    <row r="15463" spans="3:14" x14ac:dyDescent="0.3">
      <c r="C15463" s="54"/>
      <c r="N15463" s="33"/>
    </row>
    <row r="15464" spans="3:14" x14ac:dyDescent="0.3">
      <c r="C15464" s="54"/>
      <c r="N15464" s="33"/>
    </row>
    <row r="15465" spans="3:14" x14ac:dyDescent="0.3">
      <c r="C15465" s="54"/>
      <c r="N15465" s="33"/>
    </row>
    <row r="15466" spans="3:14" x14ac:dyDescent="0.3">
      <c r="C15466" s="54"/>
      <c r="N15466" s="33"/>
    </row>
    <row r="15467" spans="3:14" x14ac:dyDescent="0.3">
      <c r="C15467" s="54"/>
      <c r="N15467" s="33"/>
    </row>
    <row r="15468" spans="3:14" x14ac:dyDescent="0.3">
      <c r="C15468" s="54"/>
      <c r="N15468" s="33"/>
    </row>
    <row r="15469" spans="3:14" x14ac:dyDescent="0.3">
      <c r="C15469" s="54"/>
      <c r="N15469" s="33"/>
    </row>
    <row r="15470" spans="3:14" x14ac:dyDescent="0.3">
      <c r="C15470" s="54"/>
      <c r="N15470" s="33"/>
    </row>
    <row r="15471" spans="3:14" x14ac:dyDescent="0.3">
      <c r="C15471" s="54"/>
      <c r="N15471" s="33"/>
    </row>
    <row r="15472" spans="3:14" x14ac:dyDescent="0.3">
      <c r="C15472" s="54"/>
      <c r="N15472" s="33"/>
    </row>
    <row r="15473" spans="3:14" x14ac:dyDescent="0.3">
      <c r="C15473" s="54"/>
      <c r="N15473" s="33"/>
    </row>
    <row r="15474" spans="3:14" x14ac:dyDescent="0.3">
      <c r="C15474" s="54"/>
      <c r="N15474" s="33"/>
    </row>
    <row r="15475" spans="3:14" x14ac:dyDescent="0.3">
      <c r="C15475" s="54"/>
      <c r="N15475" s="33"/>
    </row>
    <row r="15476" spans="3:14" x14ac:dyDescent="0.3">
      <c r="C15476" s="54"/>
      <c r="N15476" s="33"/>
    </row>
    <row r="15477" spans="3:14" x14ac:dyDescent="0.3">
      <c r="C15477" s="54"/>
      <c r="N15477" s="33"/>
    </row>
    <row r="15478" spans="3:14" x14ac:dyDescent="0.3">
      <c r="C15478" s="54"/>
      <c r="N15478" s="33"/>
    </row>
    <row r="15479" spans="3:14" x14ac:dyDescent="0.3">
      <c r="C15479" s="54"/>
      <c r="N15479" s="33"/>
    </row>
    <row r="15480" spans="3:14" x14ac:dyDescent="0.3">
      <c r="C15480" s="54"/>
      <c r="N15480" s="33"/>
    </row>
    <row r="15481" spans="3:14" x14ac:dyDescent="0.3">
      <c r="C15481" s="54"/>
      <c r="N15481" s="33"/>
    </row>
    <row r="15482" spans="3:14" x14ac:dyDescent="0.3">
      <c r="C15482" s="54"/>
      <c r="N15482" s="33"/>
    </row>
    <row r="15483" spans="3:14" x14ac:dyDescent="0.3">
      <c r="C15483" s="54"/>
      <c r="N15483" s="33"/>
    </row>
    <row r="15484" spans="3:14" x14ac:dyDescent="0.3">
      <c r="C15484" s="54"/>
      <c r="N15484" s="33"/>
    </row>
    <row r="15485" spans="3:14" x14ac:dyDescent="0.3">
      <c r="C15485" s="54"/>
      <c r="N15485" s="33"/>
    </row>
    <row r="15486" spans="3:14" x14ac:dyDescent="0.3">
      <c r="C15486" s="54"/>
      <c r="N15486" s="33"/>
    </row>
    <row r="15487" spans="3:14" x14ac:dyDescent="0.3">
      <c r="C15487" s="54"/>
      <c r="N15487" s="33"/>
    </row>
    <row r="15488" spans="3:14" x14ac:dyDescent="0.3">
      <c r="C15488" s="54"/>
      <c r="N15488" s="33"/>
    </row>
    <row r="15489" spans="3:14" x14ac:dyDescent="0.3">
      <c r="C15489" s="54"/>
      <c r="N15489" s="33"/>
    </row>
    <row r="15490" spans="3:14" x14ac:dyDescent="0.3">
      <c r="C15490" s="54"/>
      <c r="N15490" s="33"/>
    </row>
    <row r="15491" spans="3:14" x14ac:dyDescent="0.3">
      <c r="C15491" s="54"/>
      <c r="N15491" s="33"/>
    </row>
    <row r="15492" spans="3:14" x14ac:dyDescent="0.3">
      <c r="C15492" s="54"/>
      <c r="N15492" s="33"/>
    </row>
    <row r="15493" spans="3:14" x14ac:dyDescent="0.3">
      <c r="C15493" s="54"/>
      <c r="N15493" s="33"/>
    </row>
    <row r="15494" spans="3:14" x14ac:dyDescent="0.3">
      <c r="C15494" s="54"/>
      <c r="N15494" s="33"/>
    </row>
    <row r="15495" spans="3:14" x14ac:dyDescent="0.3">
      <c r="C15495" s="54"/>
      <c r="N15495" s="33"/>
    </row>
    <row r="15496" spans="3:14" x14ac:dyDescent="0.3">
      <c r="C15496" s="54"/>
      <c r="N15496" s="33"/>
    </row>
    <row r="15497" spans="3:14" x14ac:dyDescent="0.3">
      <c r="C15497" s="54"/>
      <c r="N15497" s="33"/>
    </row>
    <row r="15498" spans="3:14" x14ac:dyDescent="0.3">
      <c r="C15498" s="54"/>
      <c r="N15498" s="33"/>
    </row>
    <row r="15499" spans="3:14" x14ac:dyDescent="0.3">
      <c r="C15499" s="54"/>
      <c r="N15499" s="33"/>
    </row>
    <row r="15500" spans="3:14" x14ac:dyDescent="0.3">
      <c r="C15500" s="54"/>
      <c r="N15500" s="33"/>
    </row>
    <row r="15501" spans="3:14" x14ac:dyDescent="0.3">
      <c r="C15501" s="54"/>
      <c r="N15501" s="33"/>
    </row>
    <row r="15502" spans="3:14" x14ac:dyDescent="0.3">
      <c r="C15502" s="54"/>
      <c r="N15502" s="33"/>
    </row>
    <row r="15503" spans="3:14" x14ac:dyDescent="0.3">
      <c r="C15503" s="54"/>
      <c r="N15503" s="33"/>
    </row>
    <row r="15504" spans="3:14" x14ac:dyDescent="0.3">
      <c r="C15504" s="54"/>
      <c r="N15504" s="33"/>
    </row>
    <row r="15505" spans="3:14" x14ac:dyDescent="0.3">
      <c r="C15505" s="54"/>
      <c r="N15505" s="33"/>
    </row>
    <row r="15506" spans="3:14" x14ac:dyDescent="0.3">
      <c r="C15506" s="54"/>
      <c r="N15506" s="33"/>
    </row>
    <row r="15507" spans="3:14" x14ac:dyDescent="0.3">
      <c r="C15507" s="54"/>
      <c r="N15507" s="33"/>
    </row>
    <row r="15508" spans="3:14" x14ac:dyDescent="0.3">
      <c r="C15508" s="54"/>
      <c r="N15508" s="33"/>
    </row>
    <row r="15509" spans="3:14" x14ac:dyDescent="0.3">
      <c r="C15509" s="54"/>
      <c r="N15509" s="33"/>
    </row>
    <row r="15510" spans="3:14" x14ac:dyDescent="0.3">
      <c r="C15510" s="54"/>
      <c r="N15510" s="33"/>
    </row>
    <row r="15511" spans="3:14" x14ac:dyDescent="0.3">
      <c r="C15511" s="54"/>
      <c r="N15511" s="33"/>
    </row>
    <row r="15512" spans="3:14" x14ac:dyDescent="0.3">
      <c r="C15512" s="54"/>
      <c r="N15512" s="33"/>
    </row>
    <row r="15513" spans="3:14" x14ac:dyDescent="0.3">
      <c r="C15513" s="54"/>
      <c r="N15513" s="33"/>
    </row>
    <row r="15514" spans="3:14" x14ac:dyDescent="0.3">
      <c r="C15514" s="54"/>
      <c r="N15514" s="33"/>
    </row>
    <row r="15515" spans="3:14" x14ac:dyDescent="0.3">
      <c r="C15515" s="54"/>
      <c r="N15515" s="33"/>
    </row>
    <row r="15516" spans="3:14" x14ac:dyDescent="0.3">
      <c r="C15516" s="54"/>
      <c r="N15516" s="33"/>
    </row>
    <row r="15517" spans="3:14" x14ac:dyDescent="0.3">
      <c r="C15517" s="54"/>
      <c r="N15517" s="33"/>
    </row>
    <row r="15518" spans="3:14" x14ac:dyDescent="0.3">
      <c r="C15518" s="54"/>
      <c r="N15518" s="33"/>
    </row>
    <row r="15519" spans="3:14" x14ac:dyDescent="0.3">
      <c r="C15519" s="54"/>
      <c r="N15519" s="33"/>
    </row>
    <row r="15520" spans="3:14" x14ac:dyDescent="0.3">
      <c r="C15520" s="54"/>
      <c r="N15520" s="33"/>
    </row>
    <row r="15521" spans="3:14" x14ac:dyDescent="0.3">
      <c r="C15521" s="54"/>
      <c r="N15521" s="33"/>
    </row>
    <row r="15522" spans="3:14" x14ac:dyDescent="0.3">
      <c r="C15522" s="54"/>
      <c r="N15522" s="33"/>
    </row>
    <row r="15523" spans="3:14" x14ac:dyDescent="0.3">
      <c r="C15523" s="54"/>
      <c r="N15523" s="33"/>
    </row>
    <row r="15524" spans="3:14" x14ac:dyDescent="0.3">
      <c r="C15524" s="54"/>
      <c r="N15524" s="33"/>
    </row>
    <row r="15525" spans="3:14" x14ac:dyDescent="0.3">
      <c r="C15525" s="54"/>
      <c r="N15525" s="33"/>
    </row>
    <row r="15526" spans="3:14" x14ac:dyDescent="0.3">
      <c r="C15526" s="54"/>
      <c r="N15526" s="33"/>
    </row>
    <row r="15527" spans="3:14" x14ac:dyDescent="0.3">
      <c r="C15527" s="54"/>
      <c r="N15527" s="33"/>
    </row>
    <row r="15528" spans="3:14" x14ac:dyDescent="0.3">
      <c r="C15528" s="54"/>
      <c r="N15528" s="33"/>
    </row>
    <row r="15529" spans="3:14" x14ac:dyDescent="0.3">
      <c r="C15529" s="54"/>
      <c r="N15529" s="33"/>
    </row>
    <row r="15530" spans="3:14" x14ac:dyDescent="0.3">
      <c r="C15530" s="54"/>
      <c r="N15530" s="33"/>
    </row>
    <row r="15531" spans="3:14" x14ac:dyDescent="0.3">
      <c r="C15531" s="54"/>
      <c r="N15531" s="33"/>
    </row>
    <row r="15532" spans="3:14" x14ac:dyDescent="0.3">
      <c r="C15532" s="54"/>
      <c r="N15532" s="33"/>
    </row>
    <row r="15533" spans="3:14" x14ac:dyDescent="0.3">
      <c r="C15533" s="54"/>
      <c r="N15533" s="33"/>
    </row>
    <row r="15534" spans="3:14" x14ac:dyDescent="0.3">
      <c r="C15534" s="54"/>
      <c r="N15534" s="33"/>
    </row>
    <row r="15535" spans="3:14" x14ac:dyDescent="0.3">
      <c r="C15535" s="54"/>
      <c r="N15535" s="33"/>
    </row>
    <row r="15536" spans="3:14" x14ac:dyDescent="0.3">
      <c r="C15536" s="54"/>
      <c r="N15536" s="33"/>
    </row>
    <row r="15537" spans="3:14" x14ac:dyDescent="0.3">
      <c r="C15537" s="54"/>
      <c r="N15537" s="33"/>
    </row>
    <row r="15538" spans="3:14" x14ac:dyDescent="0.3">
      <c r="C15538" s="54"/>
      <c r="N15538" s="33"/>
    </row>
    <row r="15539" spans="3:14" x14ac:dyDescent="0.3">
      <c r="C15539" s="54"/>
      <c r="N15539" s="33"/>
    </row>
    <row r="15540" spans="3:14" x14ac:dyDescent="0.3">
      <c r="C15540" s="54"/>
      <c r="N15540" s="33"/>
    </row>
    <row r="15541" spans="3:14" x14ac:dyDescent="0.3">
      <c r="C15541" s="54"/>
      <c r="N15541" s="33"/>
    </row>
    <row r="15542" spans="3:14" x14ac:dyDescent="0.3">
      <c r="C15542" s="54"/>
      <c r="N15542" s="33"/>
    </row>
    <row r="15543" spans="3:14" x14ac:dyDescent="0.3">
      <c r="C15543" s="54"/>
      <c r="N15543" s="33"/>
    </row>
    <row r="15544" spans="3:14" x14ac:dyDescent="0.3">
      <c r="C15544" s="54"/>
      <c r="N15544" s="33"/>
    </row>
    <row r="15545" spans="3:14" x14ac:dyDescent="0.3">
      <c r="C15545" s="54"/>
      <c r="N15545" s="33"/>
    </row>
    <row r="15546" spans="3:14" x14ac:dyDescent="0.3">
      <c r="C15546" s="54"/>
      <c r="N15546" s="33"/>
    </row>
    <row r="15547" spans="3:14" x14ac:dyDescent="0.3">
      <c r="C15547" s="54"/>
      <c r="N15547" s="33"/>
    </row>
    <row r="15548" spans="3:14" x14ac:dyDescent="0.3">
      <c r="C15548" s="54"/>
      <c r="N15548" s="33"/>
    </row>
    <row r="15549" spans="3:14" x14ac:dyDescent="0.3">
      <c r="C15549" s="54"/>
      <c r="N15549" s="33"/>
    </row>
    <row r="15550" spans="3:14" x14ac:dyDescent="0.3">
      <c r="C15550" s="54"/>
      <c r="N15550" s="33"/>
    </row>
    <row r="15551" spans="3:14" x14ac:dyDescent="0.3">
      <c r="C15551" s="54"/>
      <c r="N15551" s="33"/>
    </row>
    <row r="15552" spans="3:14" x14ac:dyDescent="0.3">
      <c r="C15552" s="54"/>
      <c r="N15552" s="33"/>
    </row>
    <row r="15553" spans="3:14" x14ac:dyDescent="0.3">
      <c r="C15553" s="54"/>
      <c r="N15553" s="33"/>
    </row>
    <row r="15554" spans="3:14" x14ac:dyDescent="0.3">
      <c r="C15554" s="54"/>
      <c r="N15554" s="33"/>
    </row>
    <row r="15555" spans="3:14" x14ac:dyDescent="0.3">
      <c r="C15555" s="54"/>
      <c r="N15555" s="33"/>
    </row>
    <row r="15556" spans="3:14" x14ac:dyDescent="0.3">
      <c r="C15556" s="54"/>
      <c r="N15556" s="33"/>
    </row>
    <row r="15557" spans="3:14" x14ac:dyDescent="0.3">
      <c r="C15557" s="54"/>
      <c r="N15557" s="33"/>
    </row>
    <row r="15558" spans="3:14" x14ac:dyDescent="0.3">
      <c r="C15558" s="54"/>
      <c r="N15558" s="33"/>
    </row>
    <row r="15559" spans="3:14" x14ac:dyDescent="0.3">
      <c r="C15559" s="54"/>
      <c r="N15559" s="33"/>
    </row>
    <row r="15560" spans="3:14" x14ac:dyDescent="0.3">
      <c r="C15560" s="54"/>
      <c r="N15560" s="33"/>
    </row>
    <row r="15561" spans="3:14" x14ac:dyDescent="0.3">
      <c r="C15561" s="54"/>
      <c r="N15561" s="33"/>
    </row>
    <row r="15562" spans="3:14" x14ac:dyDescent="0.3">
      <c r="C15562" s="54"/>
      <c r="N15562" s="33"/>
    </row>
    <row r="15563" spans="3:14" x14ac:dyDescent="0.3">
      <c r="C15563" s="54"/>
      <c r="N15563" s="33"/>
    </row>
    <row r="15564" spans="3:14" x14ac:dyDescent="0.3">
      <c r="C15564" s="54"/>
      <c r="N15564" s="33"/>
    </row>
    <row r="15565" spans="3:14" x14ac:dyDescent="0.3">
      <c r="C15565" s="54"/>
      <c r="N15565" s="33"/>
    </row>
    <row r="15566" spans="3:14" x14ac:dyDescent="0.3">
      <c r="C15566" s="54"/>
      <c r="N15566" s="33"/>
    </row>
    <row r="15567" spans="3:14" x14ac:dyDescent="0.3">
      <c r="C15567" s="54"/>
      <c r="N15567" s="33"/>
    </row>
    <row r="15568" spans="3:14" x14ac:dyDescent="0.3">
      <c r="C15568" s="54"/>
      <c r="N15568" s="33"/>
    </row>
    <row r="15569" spans="3:14" x14ac:dyDescent="0.3">
      <c r="C15569" s="54"/>
      <c r="N15569" s="33"/>
    </row>
    <row r="15570" spans="3:14" x14ac:dyDescent="0.3">
      <c r="C15570" s="54"/>
      <c r="N15570" s="33"/>
    </row>
    <row r="15571" spans="3:14" x14ac:dyDescent="0.3">
      <c r="C15571" s="54"/>
      <c r="N15571" s="33"/>
    </row>
    <row r="15572" spans="3:14" x14ac:dyDescent="0.3">
      <c r="C15572" s="54"/>
      <c r="N15572" s="33"/>
    </row>
    <row r="15573" spans="3:14" x14ac:dyDescent="0.3">
      <c r="C15573" s="54"/>
      <c r="N15573" s="33"/>
    </row>
    <row r="15574" spans="3:14" x14ac:dyDescent="0.3">
      <c r="C15574" s="54"/>
      <c r="N15574" s="33"/>
    </row>
    <row r="15575" spans="3:14" x14ac:dyDescent="0.3">
      <c r="C15575" s="54"/>
      <c r="N15575" s="33"/>
    </row>
    <row r="15576" spans="3:14" x14ac:dyDescent="0.3">
      <c r="C15576" s="54"/>
      <c r="N15576" s="33"/>
    </row>
    <row r="15577" spans="3:14" x14ac:dyDescent="0.3">
      <c r="C15577" s="54"/>
      <c r="N15577" s="33"/>
    </row>
    <row r="15578" spans="3:14" x14ac:dyDescent="0.3">
      <c r="C15578" s="54"/>
      <c r="N15578" s="33"/>
    </row>
    <row r="15579" spans="3:14" x14ac:dyDescent="0.3">
      <c r="C15579" s="54"/>
      <c r="N15579" s="33"/>
    </row>
    <row r="15580" spans="3:14" x14ac:dyDescent="0.3">
      <c r="C15580" s="54"/>
      <c r="N15580" s="33"/>
    </row>
    <row r="15581" spans="3:14" x14ac:dyDescent="0.3">
      <c r="C15581" s="54"/>
      <c r="N15581" s="33"/>
    </row>
    <row r="15582" spans="3:14" x14ac:dyDescent="0.3">
      <c r="C15582" s="54"/>
      <c r="N15582" s="33"/>
    </row>
    <row r="15583" spans="3:14" x14ac:dyDescent="0.3">
      <c r="C15583" s="54"/>
      <c r="N15583" s="33"/>
    </row>
    <row r="15584" spans="3:14" x14ac:dyDescent="0.3">
      <c r="C15584" s="54"/>
      <c r="N15584" s="33"/>
    </row>
    <row r="15585" spans="3:14" x14ac:dyDescent="0.3">
      <c r="C15585" s="54"/>
      <c r="N15585" s="33"/>
    </row>
    <row r="15586" spans="3:14" x14ac:dyDescent="0.3">
      <c r="C15586" s="54"/>
      <c r="N15586" s="33"/>
    </row>
    <row r="15587" spans="3:14" x14ac:dyDescent="0.3">
      <c r="C15587" s="54"/>
      <c r="N15587" s="33"/>
    </row>
    <row r="15588" spans="3:14" x14ac:dyDescent="0.3">
      <c r="C15588" s="54"/>
      <c r="N15588" s="33"/>
    </row>
    <row r="15589" spans="3:14" x14ac:dyDescent="0.3">
      <c r="C15589" s="54"/>
      <c r="N15589" s="33"/>
    </row>
    <row r="15590" spans="3:14" x14ac:dyDescent="0.3">
      <c r="C15590" s="54"/>
      <c r="N15590" s="33"/>
    </row>
    <row r="15591" spans="3:14" x14ac:dyDescent="0.3">
      <c r="C15591" s="54"/>
      <c r="N15591" s="33"/>
    </row>
    <row r="15592" spans="3:14" x14ac:dyDescent="0.3">
      <c r="C15592" s="54"/>
      <c r="N15592" s="33"/>
    </row>
    <row r="15593" spans="3:14" x14ac:dyDescent="0.3">
      <c r="C15593" s="54"/>
      <c r="N15593" s="33"/>
    </row>
    <row r="15594" spans="3:14" x14ac:dyDescent="0.3">
      <c r="C15594" s="54"/>
      <c r="N15594" s="33"/>
    </row>
    <row r="15595" spans="3:14" x14ac:dyDescent="0.3">
      <c r="C15595" s="54"/>
      <c r="N15595" s="33"/>
    </row>
    <row r="15596" spans="3:14" x14ac:dyDescent="0.3">
      <c r="C15596" s="54"/>
      <c r="N15596" s="33"/>
    </row>
    <row r="15597" spans="3:14" x14ac:dyDescent="0.3">
      <c r="C15597" s="54"/>
      <c r="N15597" s="33"/>
    </row>
    <row r="15598" spans="3:14" x14ac:dyDescent="0.3">
      <c r="C15598" s="54"/>
      <c r="N15598" s="33"/>
    </row>
    <row r="15599" spans="3:14" x14ac:dyDescent="0.3">
      <c r="C15599" s="54"/>
      <c r="N15599" s="33"/>
    </row>
    <row r="15600" spans="3:14" x14ac:dyDescent="0.3">
      <c r="C15600" s="54"/>
      <c r="N15600" s="33"/>
    </row>
    <row r="15601" spans="3:14" x14ac:dyDescent="0.3">
      <c r="C15601" s="54"/>
      <c r="N15601" s="33"/>
    </row>
    <row r="15602" spans="3:14" x14ac:dyDescent="0.3">
      <c r="C15602" s="54"/>
      <c r="N15602" s="33"/>
    </row>
    <row r="15603" spans="3:14" x14ac:dyDescent="0.3">
      <c r="C15603" s="54"/>
      <c r="N15603" s="33"/>
    </row>
    <row r="15604" spans="3:14" x14ac:dyDescent="0.3">
      <c r="C15604" s="54"/>
      <c r="N15604" s="33"/>
    </row>
    <row r="15605" spans="3:14" x14ac:dyDescent="0.3">
      <c r="C15605" s="54"/>
      <c r="N15605" s="33"/>
    </row>
    <row r="15606" spans="3:14" x14ac:dyDescent="0.3">
      <c r="C15606" s="54"/>
      <c r="N15606" s="33"/>
    </row>
    <row r="15607" spans="3:14" x14ac:dyDescent="0.3">
      <c r="C15607" s="54"/>
      <c r="N15607" s="33"/>
    </row>
    <row r="15608" spans="3:14" x14ac:dyDescent="0.3">
      <c r="C15608" s="54"/>
      <c r="N15608" s="33"/>
    </row>
    <row r="15609" spans="3:14" x14ac:dyDescent="0.3">
      <c r="C15609" s="54"/>
      <c r="N15609" s="33"/>
    </row>
    <row r="15610" spans="3:14" x14ac:dyDescent="0.3">
      <c r="C15610" s="54"/>
      <c r="N15610" s="33"/>
    </row>
    <row r="15611" spans="3:14" x14ac:dyDescent="0.3">
      <c r="C15611" s="54"/>
      <c r="N15611" s="33"/>
    </row>
    <row r="15612" spans="3:14" x14ac:dyDescent="0.3">
      <c r="C15612" s="54"/>
      <c r="N15612" s="33"/>
    </row>
    <row r="15613" spans="3:14" x14ac:dyDescent="0.3">
      <c r="C15613" s="54"/>
      <c r="N15613" s="33"/>
    </row>
    <row r="15614" spans="3:14" x14ac:dyDescent="0.3">
      <c r="C15614" s="54"/>
      <c r="N15614" s="33"/>
    </row>
    <row r="15615" spans="3:14" x14ac:dyDescent="0.3">
      <c r="C15615" s="54"/>
      <c r="N15615" s="33"/>
    </row>
    <row r="15616" spans="3:14" x14ac:dyDescent="0.3">
      <c r="C15616" s="54"/>
      <c r="N15616" s="33"/>
    </row>
    <row r="15617" spans="3:14" x14ac:dyDescent="0.3">
      <c r="C15617" s="54"/>
      <c r="N15617" s="33"/>
    </row>
    <row r="15618" spans="3:14" x14ac:dyDescent="0.3">
      <c r="C15618" s="54"/>
      <c r="N15618" s="33"/>
    </row>
    <row r="15619" spans="3:14" x14ac:dyDescent="0.3">
      <c r="C15619" s="54"/>
      <c r="N15619" s="33"/>
    </row>
    <row r="15620" spans="3:14" x14ac:dyDescent="0.3">
      <c r="C15620" s="54"/>
      <c r="N15620" s="33"/>
    </row>
    <row r="15621" spans="3:14" x14ac:dyDescent="0.3">
      <c r="C15621" s="54"/>
      <c r="N15621" s="33"/>
    </row>
    <row r="15622" spans="3:14" x14ac:dyDescent="0.3">
      <c r="C15622" s="54"/>
      <c r="N15622" s="33"/>
    </row>
    <row r="15623" spans="3:14" x14ac:dyDescent="0.3">
      <c r="C15623" s="54"/>
      <c r="N15623" s="33"/>
    </row>
    <row r="15624" spans="3:14" x14ac:dyDescent="0.3">
      <c r="C15624" s="54"/>
      <c r="N15624" s="33"/>
    </row>
    <row r="15625" spans="3:14" x14ac:dyDescent="0.3">
      <c r="C15625" s="54"/>
      <c r="N15625" s="33"/>
    </row>
    <row r="15626" spans="3:14" x14ac:dyDescent="0.3">
      <c r="C15626" s="54"/>
      <c r="N15626" s="33"/>
    </row>
    <row r="15627" spans="3:14" x14ac:dyDescent="0.3">
      <c r="C15627" s="54"/>
      <c r="N15627" s="33"/>
    </row>
    <row r="15628" spans="3:14" x14ac:dyDescent="0.3">
      <c r="C15628" s="54"/>
      <c r="N15628" s="33"/>
    </row>
    <row r="15629" spans="3:14" x14ac:dyDescent="0.3">
      <c r="C15629" s="54"/>
      <c r="N15629" s="33"/>
    </row>
    <row r="15630" spans="3:14" x14ac:dyDescent="0.3">
      <c r="C15630" s="54"/>
      <c r="N15630" s="33"/>
    </row>
    <row r="15631" spans="3:14" x14ac:dyDescent="0.3">
      <c r="C15631" s="54"/>
      <c r="N15631" s="33"/>
    </row>
    <row r="15632" spans="3:14" x14ac:dyDescent="0.3">
      <c r="C15632" s="54"/>
      <c r="N15632" s="33"/>
    </row>
    <row r="15633" spans="3:14" x14ac:dyDescent="0.3">
      <c r="C15633" s="54"/>
      <c r="N15633" s="33"/>
    </row>
    <row r="15634" spans="3:14" x14ac:dyDescent="0.3">
      <c r="C15634" s="54"/>
      <c r="N15634" s="33"/>
    </row>
    <row r="15635" spans="3:14" x14ac:dyDescent="0.3">
      <c r="C15635" s="54"/>
      <c r="N15635" s="33"/>
    </row>
    <row r="15636" spans="3:14" x14ac:dyDescent="0.3">
      <c r="C15636" s="54"/>
      <c r="N15636" s="33"/>
    </row>
    <row r="15637" spans="3:14" x14ac:dyDescent="0.3">
      <c r="C15637" s="54"/>
      <c r="N15637" s="33"/>
    </row>
    <row r="15638" spans="3:14" x14ac:dyDescent="0.3">
      <c r="C15638" s="54"/>
      <c r="N15638" s="33"/>
    </row>
    <row r="15639" spans="3:14" x14ac:dyDescent="0.3">
      <c r="C15639" s="54"/>
      <c r="N15639" s="33"/>
    </row>
    <row r="15640" spans="3:14" x14ac:dyDescent="0.3">
      <c r="C15640" s="54"/>
      <c r="N15640" s="33"/>
    </row>
    <row r="15641" spans="3:14" x14ac:dyDescent="0.3">
      <c r="C15641" s="54"/>
      <c r="N15641" s="33"/>
    </row>
    <row r="15642" spans="3:14" x14ac:dyDescent="0.3">
      <c r="C15642" s="54"/>
      <c r="N15642" s="33"/>
    </row>
    <row r="15643" spans="3:14" x14ac:dyDescent="0.3">
      <c r="C15643" s="54"/>
      <c r="N15643" s="33"/>
    </row>
    <row r="15644" spans="3:14" x14ac:dyDescent="0.3">
      <c r="C15644" s="54"/>
      <c r="N15644" s="33"/>
    </row>
    <row r="15645" spans="3:14" x14ac:dyDescent="0.3">
      <c r="C15645" s="54"/>
      <c r="N15645" s="33"/>
    </row>
    <row r="15646" spans="3:14" x14ac:dyDescent="0.3">
      <c r="C15646" s="54"/>
      <c r="N15646" s="33"/>
    </row>
    <row r="15647" spans="3:14" x14ac:dyDescent="0.3">
      <c r="C15647" s="54"/>
      <c r="N15647" s="33"/>
    </row>
    <row r="15648" spans="3:14" x14ac:dyDescent="0.3">
      <c r="C15648" s="54"/>
      <c r="N15648" s="33"/>
    </row>
    <row r="15649" spans="3:14" x14ac:dyDescent="0.3">
      <c r="C15649" s="54"/>
      <c r="N15649" s="33"/>
    </row>
    <row r="15650" spans="3:14" x14ac:dyDescent="0.3">
      <c r="C15650" s="54"/>
      <c r="N15650" s="33"/>
    </row>
    <row r="15651" spans="3:14" x14ac:dyDescent="0.3">
      <c r="C15651" s="54"/>
      <c r="N15651" s="33"/>
    </row>
    <row r="15652" spans="3:14" x14ac:dyDescent="0.3">
      <c r="C15652" s="54"/>
      <c r="N15652" s="33"/>
    </row>
    <row r="15653" spans="3:14" x14ac:dyDescent="0.3">
      <c r="C15653" s="54"/>
      <c r="N15653" s="33"/>
    </row>
    <row r="15654" spans="3:14" x14ac:dyDescent="0.3">
      <c r="C15654" s="54"/>
      <c r="N15654" s="33"/>
    </row>
    <row r="15655" spans="3:14" x14ac:dyDescent="0.3">
      <c r="C15655" s="54"/>
      <c r="N15655" s="33"/>
    </row>
    <row r="15656" spans="3:14" x14ac:dyDescent="0.3">
      <c r="C15656" s="54"/>
      <c r="N15656" s="33"/>
    </row>
    <row r="15657" spans="3:14" x14ac:dyDescent="0.3">
      <c r="C15657" s="54"/>
      <c r="N15657" s="33"/>
    </row>
    <row r="15658" spans="3:14" x14ac:dyDescent="0.3">
      <c r="C15658" s="54"/>
      <c r="N15658" s="33"/>
    </row>
    <row r="15659" spans="3:14" x14ac:dyDescent="0.3">
      <c r="C15659" s="54"/>
      <c r="N15659" s="33"/>
    </row>
    <row r="15660" spans="3:14" x14ac:dyDescent="0.3">
      <c r="C15660" s="54"/>
      <c r="N15660" s="33"/>
    </row>
    <row r="15661" spans="3:14" x14ac:dyDescent="0.3">
      <c r="C15661" s="54"/>
      <c r="N15661" s="33"/>
    </row>
    <row r="15662" spans="3:14" x14ac:dyDescent="0.3">
      <c r="C15662" s="54"/>
      <c r="N15662" s="33"/>
    </row>
    <row r="15663" spans="3:14" x14ac:dyDescent="0.3">
      <c r="C15663" s="54"/>
      <c r="N15663" s="33"/>
    </row>
    <row r="15664" spans="3:14" x14ac:dyDescent="0.3">
      <c r="C15664" s="54"/>
      <c r="N15664" s="33"/>
    </row>
    <row r="15665" spans="3:14" x14ac:dyDescent="0.3">
      <c r="C15665" s="54"/>
      <c r="N15665" s="33"/>
    </row>
    <row r="15666" spans="3:14" x14ac:dyDescent="0.3">
      <c r="C15666" s="54"/>
      <c r="N15666" s="33"/>
    </row>
    <row r="15667" spans="3:14" x14ac:dyDescent="0.3">
      <c r="C15667" s="54"/>
      <c r="N15667" s="33"/>
    </row>
    <row r="15668" spans="3:14" x14ac:dyDescent="0.3">
      <c r="C15668" s="54"/>
      <c r="N15668" s="33"/>
    </row>
    <row r="15669" spans="3:14" x14ac:dyDescent="0.3">
      <c r="C15669" s="54"/>
      <c r="N15669" s="33"/>
    </row>
    <row r="15670" spans="3:14" x14ac:dyDescent="0.3">
      <c r="C15670" s="54"/>
      <c r="N15670" s="33"/>
    </row>
    <row r="15671" spans="3:14" x14ac:dyDescent="0.3">
      <c r="C15671" s="54"/>
      <c r="N15671" s="33"/>
    </row>
    <row r="15672" spans="3:14" x14ac:dyDescent="0.3">
      <c r="C15672" s="54"/>
      <c r="N15672" s="33"/>
    </row>
    <row r="15673" spans="3:14" x14ac:dyDescent="0.3">
      <c r="C15673" s="54"/>
      <c r="N15673" s="33"/>
    </row>
    <row r="15674" spans="3:14" x14ac:dyDescent="0.3">
      <c r="C15674" s="54"/>
      <c r="N15674" s="33"/>
    </row>
    <row r="15675" spans="3:14" x14ac:dyDescent="0.3">
      <c r="C15675" s="54"/>
      <c r="N15675" s="33"/>
    </row>
    <row r="15676" spans="3:14" x14ac:dyDescent="0.3">
      <c r="C15676" s="54"/>
      <c r="N15676" s="33"/>
    </row>
    <row r="15677" spans="3:14" x14ac:dyDescent="0.3">
      <c r="C15677" s="54"/>
      <c r="N15677" s="33"/>
    </row>
    <row r="15678" spans="3:14" x14ac:dyDescent="0.3">
      <c r="C15678" s="54"/>
      <c r="N15678" s="33"/>
    </row>
    <row r="15679" spans="3:14" x14ac:dyDescent="0.3">
      <c r="C15679" s="54"/>
      <c r="N15679" s="33"/>
    </row>
    <row r="15680" spans="3:14" x14ac:dyDescent="0.3">
      <c r="C15680" s="54"/>
      <c r="N15680" s="33"/>
    </row>
    <row r="15681" spans="3:14" x14ac:dyDescent="0.3">
      <c r="C15681" s="54"/>
      <c r="N15681" s="33"/>
    </row>
    <row r="15682" spans="3:14" x14ac:dyDescent="0.3">
      <c r="C15682" s="54"/>
      <c r="N15682" s="33"/>
    </row>
    <row r="15683" spans="3:14" x14ac:dyDescent="0.3">
      <c r="C15683" s="54"/>
      <c r="N15683" s="33"/>
    </row>
    <row r="15684" spans="3:14" x14ac:dyDescent="0.3">
      <c r="C15684" s="54"/>
      <c r="N15684" s="33"/>
    </row>
    <row r="15685" spans="3:14" x14ac:dyDescent="0.3">
      <c r="C15685" s="54"/>
      <c r="N15685" s="33"/>
    </row>
    <row r="15686" spans="3:14" x14ac:dyDescent="0.3">
      <c r="C15686" s="54"/>
      <c r="N15686" s="33"/>
    </row>
    <row r="15687" spans="3:14" x14ac:dyDescent="0.3">
      <c r="C15687" s="54"/>
      <c r="N15687" s="33"/>
    </row>
    <row r="15688" spans="3:14" x14ac:dyDescent="0.3">
      <c r="C15688" s="54"/>
      <c r="N15688" s="33"/>
    </row>
    <row r="15689" spans="3:14" x14ac:dyDescent="0.3">
      <c r="C15689" s="54"/>
      <c r="N15689" s="33"/>
    </row>
    <row r="15690" spans="3:14" x14ac:dyDescent="0.3">
      <c r="C15690" s="54"/>
      <c r="N15690" s="33"/>
    </row>
    <row r="15691" spans="3:14" x14ac:dyDescent="0.3">
      <c r="C15691" s="54"/>
      <c r="N15691" s="33"/>
    </row>
    <row r="15692" spans="3:14" x14ac:dyDescent="0.3">
      <c r="C15692" s="54"/>
      <c r="N15692" s="33"/>
    </row>
    <row r="15693" spans="3:14" x14ac:dyDescent="0.3">
      <c r="C15693" s="54"/>
      <c r="N15693" s="33"/>
    </row>
    <row r="15694" spans="3:14" x14ac:dyDescent="0.3">
      <c r="C15694" s="54"/>
      <c r="N15694" s="33"/>
    </row>
    <row r="15695" spans="3:14" x14ac:dyDescent="0.3">
      <c r="C15695" s="54"/>
      <c r="N15695" s="33"/>
    </row>
    <row r="15696" spans="3:14" x14ac:dyDescent="0.3">
      <c r="C15696" s="54"/>
      <c r="N15696" s="33"/>
    </row>
    <row r="15697" spans="3:14" x14ac:dyDescent="0.3">
      <c r="C15697" s="54"/>
      <c r="N15697" s="33"/>
    </row>
    <row r="15698" spans="3:14" x14ac:dyDescent="0.3">
      <c r="C15698" s="54"/>
      <c r="N15698" s="33"/>
    </row>
    <row r="15699" spans="3:14" x14ac:dyDescent="0.3">
      <c r="C15699" s="54"/>
      <c r="N15699" s="33"/>
    </row>
    <row r="15700" spans="3:14" x14ac:dyDescent="0.3">
      <c r="C15700" s="54"/>
      <c r="N15700" s="33"/>
    </row>
    <row r="15701" spans="3:14" x14ac:dyDescent="0.3">
      <c r="C15701" s="54"/>
      <c r="N15701" s="33"/>
    </row>
    <row r="15702" spans="3:14" x14ac:dyDescent="0.3">
      <c r="C15702" s="54"/>
      <c r="N15702" s="33"/>
    </row>
    <row r="15703" spans="3:14" x14ac:dyDescent="0.3">
      <c r="C15703" s="54"/>
      <c r="N15703" s="33"/>
    </row>
    <row r="15704" spans="3:14" x14ac:dyDescent="0.3">
      <c r="C15704" s="54"/>
      <c r="N15704" s="33"/>
    </row>
    <row r="15705" spans="3:14" x14ac:dyDescent="0.3">
      <c r="C15705" s="54"/>
      <c r="N15705" s="33"/>
    </row>
    <row r="15706" spans="3:14" x14ac:dyDescent="0.3">
      <c r="C15706" s="54"/>
      <c r="N15706" s="33"/>
    </row>
    <row r="15707" spans="3:14" x14ac:dyDescent="0.3">
      <c r="C15707" s="54"/>
      <c r="N15707" s="33"/>
    </row>
    <row r="15708" spans="3:14" x14ac:dyDescent="0.3">
      <c r="C15708" s="54"/>
      <c r="N15708" s="33"/>
    </row>
    <row r="15709" spans="3:14" x14ac:dyDescent="0.3">
      <c r="C15709" s="54"/>
      <c r="N15709" s="33"/>
    </row>
    <row r="15710" spans="3:14" x14ac:dyDescent="0.3">
      <c r="C15710" s="54"/>
      <c r="N15710" s="33"/>
    </row>
    <row r="15711" spans="3:14" x14ac:dyDescent="0.3">
      <c r="C15711" s="54"/>
      <c r="N15711" s="33"/>
    </row>
    <row r="15712" spans="3:14" x14ac:dyDescent="0.3">
      <c r="C15712" s="54"/>
      <c r="N15712" s="33"/>
    </row>
    <row r="15713" spans="3:14" x14ac:dyDescent="0.3">
      <c r="C15713" s="54"/>
      <c r="N15713" s="33"/>
    </row>
    <row r="15714" spans="3:14" x14ac:dyDescent="0.3">
      <c r="C15714" s="54"/>
      <c r="N15714" s="33"/>
    </row>
    <row r="15715" spans="3:14" x14ac:dyDescent="0.3">
      <c r="C15715" s="54"/>
      <c r="N15715" s="33"/>
    </row>
    <row r="15716" spans="3:14" x14ac:dyDescent="0.3">
      <c r="C15716" s="54"/>
      <c r="N15716" s="33"/>
    </row>
    <row r="15717" spans="3:14" x14ac:dyDescent="0.3">
      <c r="C15717" s="54"/>
      <c r="N15717" s="33"/>
    </row>
    <row r="15718" spans="3:14" x14ac:dyDescent="0.3">
      <c r="C15718" s="54"/>
      <c r="N15718" s="33"/>
    </row>
    <row r="15719" spans="3:14" x14ac:dyDescent="0.3">
      <c r="C15719" s="54"/>
      <c r="N15719" s="33"/>
    </row>
    <row r="15720" spans="3:14" x14ac:dyDescent="0.3">
      <c r="C15720" s="54"/>
      <c r="N15720" s="33"/>
    </row>
    <row r="15721" spans="3:14" x14ac:dyDescent="0.3">
      <c r="C15721" s="54"/>
      <c r="N15721" s="33"/>
    </row>
    <row r="15722" spans="3:14" x14ac:dyDescent="0.3">
      <c r="C15722" s="54"/>
      <c r="N15722" s="33"/>
    </row>
    <row r="15723" spans="3:14" x14ac:dyDescent="0.3">
      <c r="C15723" s="54"/>
      <c r="N15723" s="33"/>
    </row>
    <row r="15724" spans="3:14" x14ac:dyDescent="0.3">
      <c r="C15724" s="54"/>
      <c r="N15724" s="33"/>
    </row>
    <row r="15725" spans="3:14" x14ac:dyDescent="0.3">
      <c r="C15725" s="54"/>
      <c r="N15725" s="33"/>
    </row>
    <row r="15726" spans="3:14" x14ac:dyDescent="0.3">
      <c r="C15726" s="54"/>
      <c r="N15726" s="33"/>
    </row>
    <row r="15727" spans="3:14" x14ac:dyDescent="0.3">
      <c r="C15727" s="54"/>
      <c r="N15727" s="33"/>
    </row>
    <row r="15728" spans="3:14" x14ac:dyDescent="0.3">
      <c r="C15728" s="54"/>
      <c r="N15728" s="33"/>
    </row>
    <row r="15729" spans="3:14" x14ac:dyDescent="0.3">
      <c r="C15729" s="54"/>
      <c r="N15729" s="33"/>
    </row>
    <row r="15730" spans="3:14" x14ac:dyDescent="0.3">
      <c r="C15730" s="54"/>
      <c r="N15730" s="33"/>
    </row>
    <row r="15731" spans="3:14" x14ac:dyDescent="0.3">
      <c r="C15731" s="54"/>
      <c r="N15731" s="33"/>
    </row>
    <row r="15732" spans="3:14" x14ac:dyDescent="0.3">
      <c r="C15732" s="54"/>
      <c r="N15732" s="33"/>
    </row>
    <row r="15733" spans="3:14" x14ac:dyDescent="0.3">
      <c r="C15733" s="54"/>
      <c r="N15733" s="33"/>
    </row>
    <row r="15734" spans="3:14" x14ac:dyDescent="0.3">
      <c r="C15734" s="54"/>
      <c r="N15734" s="33"/>
    </row>
    <row r="15735" spans="3:14" x14ac:dyDescent="0.3">
      <c r="C15735" s="54"/>
      <c r="N15735" s="33"/>
    </row>
    <row r="15736" spans="3:14" x14ac:dyDescent="0.3">
      <c r="C15736" s="54"/>
      <c r="N15736" s="33"/>
    </row>
    <row r="15737" spans="3:14" x14ac:dyDescent="0.3">
      <c r="C15737" s="54"/>
      <c r="N15737" s="33"/>
    </row>
    <row r="15738" spans="3:14" x14ac:dyDescent="0.3">
      <c r="C15738" s="54"/>
      <c r="N15738" s="33"/>
    </row>
    <row r="15739" spans="3:14" x14ac:dyDescent="0.3">
      <c r="C15739" s="54"/>
      <c r="N15739" s="33"/>
    </row>
    <row r="15740" spans="3:14" x14ac:dyDescent="0.3">
      <c r="C15740" s="54"/>
      <c r="N15740" s="33"/>
    </row>
    <row r="15741" spans="3:14" x14ac:dyDescent="0.3">
      <c r="C15741" s="54"/>
      <c r="N15741" s="33"/>
    </row>
    <row r="15742" spans="3:14" x14ac:dyDescent="0.3">
      <c r="C15742" s="54"/>
      <c r="N15742" s="33"/>
    </row>
    <row r="15743" spans="3:14" x14ac:dyDescent="0.3">
      <c r="C15743" s="54"/>
      <c r="N15743" s="33"/>
    </row>
    <row r="15744" spans="3:14" x14ac:dyDescent="0.3">
      <c r="C15744" s="54"/>
      <c r="N15744" s="33"/>
    </row>
    <row r="15745" spans="3:14" x14ac:dyDescent="0.3">
      <c r="C15745" s="54"/>
      <c r="N15745" s="33"/>
    </row>
    <row r="15746" spans="3:14" x14ac:dyDescent="0.3">
      <c r="C15746" s="54"/>
      <c r="N15746" s="33"/>
    </row>
    <row r="15747" spans="3:14" x14ac:dyDescent="0.3">
      <c r="C15747" s="54"/>
      <c r="N15747" s="33"/>
    </row>
    <row r="15748" spans="3:14" x14ac:dyDescent="0.3">
      <c r="C15748" s="54"/>
      <c r="N15748" s="33"/>
    </row>
    <row r="15749" spans="3:14" x14ac:dyDescent="0.3">
      <c r="C15749" s="54"/>
      <c r="N15749" s="33"/>
    </row>
    <row r="15750" spans="3:14" x14ac:dyDescent="0.3">
      <c r="C15750" s="54"/>
      <c r="N15750" s="33"/>
    </row>
    <row r="15751" spans="3:14" x14ac:dyDescent="0.3">
      <c r="C15751" s="54"/>
      <c r="N15751" s="33"/>
    </row>
    <row r="15752" spans="3:14" x14ac:dyDescent="0.3">
      <c r="C15752" s="54"/>
      <c r="N15752" s="33"/>
    </row>
    <row r="15753" spans="3:14" x14ac:dyDescent="0.3">
      <c r="C15753" s="54"/>
      <c r="N15753" s="33"/>
    </row>
    <row r="15754" spans="3:14" x14ac:dyDescent="0.3">
      <c r="C15754" s="54"/>
      <c r="N15754" s="33"/>
    </row>
    <row r="15755" spans="3:14" x14ac:dyDescent="0.3">
      <c r="C15755" s="54"/>
      <c r="N15755" s="33"/>
    </row>
    <row r="15756" spans="3:14" x14ac:dyDescent="0.3">
      <c r="C15756" s="54"/>
      <c r="N15756" s="33"/>
    </row>
    <row r="15757" spans="3:14" x14ac:dyDescent="0.3">
      <c r="C15757" s="54"/>
      <c r="N15757" s="33"/>
    </row>
    <row r="15758" spans="3:14" x14ac:dyDescent="0.3">
      <c r="C15758" s="54"/>
      <c r="N15758" s="33"/>
    </row>
    <row r="15759" spans="3:14" x14ac:dyDescent="0.3">
      <c r="C15759" s="54"/>
      <c r="N15759" s="33"/>
    </row>
    <row r="15760" spans="3:14" x14ac:dyDescent="0.3">
      <c r="C15760" s="54"/>
      <c r="N15760" s="33"/>
    </row>
    <row r="15761" spans="3:14" x14ac:dyDescent="0.3">
      <c r="C15761" s="54"/>
      <c r="N15761" s="33"/>
    </row>
    <row r="15762" spans="3:14" x14ac:dyDescent="0.3">
      <c r="C15762" s="54"/>
      <c r="N15762" s="33"/>
    </row>
    <row r="15763" spans="3:14" x14ac:dyDescent="0.3">
      <c r="C15763" s="54"/>
      <c r="N15763" s="33"/>
    </row>
    <row r="15764" spans="3:14" x14ac:dyDescent="0.3">
      <c r="C15764" s="54"/>
      <c r="N15764" s="33"/>
    </row>
    <row r="15765" spans="3:14" x14ac:dyDescent="0.3">
      <c r="C15765" s="54"/>
      <c r="N15765" s="33"/>
    </row>
    <row r="15766" spans="3:14" x14ac:dyDescent="0.3">
      <c r="C15766" s="54"/>
      <c r="N15766" s="33"/>
    </row>
    <row r="15767" spans="3:14" x14ac:dyDescent="0.3">
      <c r="C15767" s="54"/>
      <c r="N15767" s="33"/>
    </row>
    <row r="15768" spans="3:14" x14ac:dyDescent="0.3">
      <c r="C15768" s="54"/>
      <c r="N15768" s="33"/>
    </row>
    <row r="15769" spans="3:14" x14ac:dyDescent="0.3">
      <c r="C15769" s="54"/>
      <c r="N15769" s="33"/>
    </row>
    <row r="15770" spans="3:14" x14ac:dyDescent="0.3">
      <c r="C15770" s="54"/>
      <c r="N15770" s="33"/>
    </row>
    <row r="15771" spans="3:14" x14ac:dyDescent="0.3">
      <c r="C15771" s="54"/>
      <c r="N15771" s="33"/>
    </row>
    <row r="15772" spans="3:14" x14ac:dyDescent="0.3">
      <c r="C15772" s="54"/>
      <c r="N15772" s="33"/>
    </row>
    <row r="15773" spans="3:14" x14ac:dyDescent="0.3">
      <c r="C15773" s="54"/>
      <c r="N15773" s="33"/>
    </row>
    <row r="15774" spans="3:14" x14ac:dyDescent="0.3">
      <c r="C15774" s="54"/>
      <c r="N15774" s="33"/>
    </row>
    <row r="15775" spans="3:14" x14ac:dyDescent="0.3">
      <c r="C15775" s="54"/>
      <c r="N15775" s="33"/>
    </row>
    <row r="15776" spans="3:14" x14ac:dyDescent="0.3">
      <c r="C15776" s="54"/>
      <c r="N15776" s="33"/>
    </row>
    <row r="15777" spans="3:14" x14ac:dyDescent="0.3">
      <c r="C15777" s="54"/>
      <c r="N15777" s="33"/>
    </row>
    <row r="15778" spans="3:14" x14ac:dyDescent="0.3">
      <c r="C15778" s="54"/>
      <c r="N15778" s="33"/>
    </row>
    <row r="15779" spans="3:14" x14ac:dyDescent="0.3">
      <c r="C15779" s="54"/>
      <c r="N15779" s="33"/>
    </row>
    <row r="15780" spans="3:14" x14ac:dyDescent="0.3">
      <c r="C15780" s="54"/>
      <c r="N15780" s="33"/>
    </row>
    <row r="15781" spans="3:14" x14ac:dyDescent="0.3">
      <c r="C15781" s="54"/>
      <c r="N15781" s="33"/>
    </row>
    <row r="15782" spans="3:14" x14ac:dyDescent="0.3">
      <c r="C15782" s="54"/>
      <c r="N15782" s="33"/>
    </row>
    <row r="15783" spans="3:14" x14ac:dyDescent="0.3">
      <c r="C15783" s="54"/>
      <c r="N15783" s="33"/>
    </row>
    <row r="15784" spans="3:14" x14ac:dyDescent="0.3">
      <c r="C15784" s="54"/>
      <c r="N15784" s="33"/>
    </row>
    <row r="15785" spans="3:14" x14ac:dyDescent="0.3">
      <c r="C15785" s="54"/>
      <c r="N15785" s="33"/>
    </row>
    <row r="15786" spans="3:14" x14ac:dyDescent="0.3">
      <c r="C15786" s="54"/>
      <c r="N15786" s="33"/>
    </row>
    <row r="15787" spans="3:14" x14ac:dyDescent="0.3">
      <c r="C15787" s="54"/>
      <c r="N15787" s="33"/>
    </row>
    <row r="15788" spans="3:14" x14ac:dyDescent="0.3">
      <c r="C15788" s="54"/>
      <c r="N15788" s="33"/>
    </row>
    <row r="15789" spans="3:14" x14ac:dyDescent="0.3">
      <c r="C15789" s="54"/>
      <c r="N15789" s="33"/>
    </row>
    <row r="15790" spans="3:14" x14ac:dyDescent="0.3">
      <c r="C15790" s="54"/>
      <c r="N15790" s="33"/>
    </row>
    <row r="15791" spans="3:14" x14ac:dyDescent="0.3">
      <c r="C15791" s="54"/>
      <c r="N15791" s="33"/>
    </row>
    <row r="15792" spans="3:14" x14ac:dyDescent="0.3">
      <c r="C15792" s="54"/>
      <c r="N15792" s="33"/>
    </row>
    <row r="15793" spans="3:14" x14ac:dyDescent="0.3">
      <c r="C15793" s="54"/>
      <c r="N15793" s="33"/>
    </row>
    <row r="15794" spans="3:14" x14ac:dyDescent="0.3">
      <c r="C15794" s="54"/>
      <c r="N15794" s="33"/>
    </row>
    <row r="15795" spans="3:14" x14ac:dyDescent="0.3">
      <c r="C15795" s="54"/>
      <c r="N15795" s="33"/>
    </row>
    <row r="15796" spans="3:14" x14ac:dyDescent="0.3">
      <c r="C15796" s="54"/>
      <c r="N15796" s="33"/>
    </row>
    <row r="15797" spans="3:14" x14ac:dyDescent="0.3">
      <c r="C15797" s="54"/>
      <c r="N15797" s="33"/>
    </row>
    <row r="15798" spans="3:14" x14ac:dyDescent="0.3">
      <c r="C15798" s="54"/>
      <c r="N15798" s="33"/>
    </row>
    <row r="15799" spans="3:14" x14ac:dyDescent="0.3">
      <c r="C15799" s="54"/>
      <c r="N15799" s="33"/>
    </row>
    <row r="15800" spans="3:14" x14ac:dyDescent="0.3">
      <c r="C15800" s="54"/>
      <c r="N15800" s="33"/>
    </row>
    <row r="15801" spans="3:14" x14ac:dyDescent="0.3">
      <c r="C15801" s="54"/>
      <c r="N15801" s="33"/>
    </row>
    <row r="15802" spans="3:14" x14ac:dyDescent="0.3">
      <c r="C15802" s="54"/>
      <c r="N15802" s="33"/>
    </row>
    <row r="15803" spans="3:14" x14ac:dyDescent="0.3">
      <c r="C15803" s="54"/>
      <c r="N15803" s="33"/>
    </row>
    <row r="15804" spans="3:14" x14ac:dyDescent="0.3">
      <c r="C15804" s="54"/>
      <c r="N15804" s="33"/>
    </row>
    <row r="15805" spans="3:14" x14ac:dyDescent="0.3">
      <c r="C15805" s="54"/>
      <c r="N15805" s="33"/>
    </row>
    <row r="15806" spans="3:14" x14ac:dyDescent="0.3">
      <c r="C15806" s="54"/>
      <c r="N15806" s="33"/>
    </row>
    <row r="15807" spans="3:14" x14ac:dyDescent="0.3">
      <c r="C15807" s="54"/>
      <c r="N15807" s="33"/>
    </row>
    <row r="15808" spans="3:14" x14ac:dyDescent="0.3">
      <c r="C15808" s="54"/>
      <c r="N15808" s="33"/>
    </row>
    <row r="15809" spans="3:14" x14ac:dyDescent="0.3">
      <c r="C15809" s="54"/>
      <c r="N15809" s="33"/>
    </row>
    <row r="15810" spans="3:14" x14ac:dyDescent="0.3">
      <c r="C15810" s="54"/>
      <c r="N15810" s="33"/>
    </row>
    <row r="15811" spans="3:14" x14ac:dyDescent="0.3">
      <c r="C15811" s="54"/>
      <c r="N15811" s="33"/>
    </row>
    <row r="15812" spans="3:14" x14ac:dyDescent="0.3">
      <c r="C15812" s="54"/>
      <c r="N15812" s="33"/>
    </row>
    <row r="15813" spans="3:14" x14ac:dyDescent="0.3">
      <c r="C15813" s="54"/>
      <c r="N15813" s="33"/>
    </row>
    <row r="15814" spans="3:14" x14ac:dyDescent="0.3">
      <c r="C15814" s="54"/>
      <c r="N15814" s="33"/>
    </row>
    <row r="15815" spans="3:14" x14ac:dyDescent="0.3">
      <c r="C15815" s="54"/>
      <c r="N15815" s="33"/>
    </row>
    <row r="15816" spans="3:14" x14ac:dyDescent="0.3">
      <c r="C15816" s="54"/>
      <c r="N15816" s="33"/>
    </row>
    <row r="15817" spans="3:14" x14ac:dyDescent="0.3">
      <c r="C15817" s="54"/>
      <c r="N15817" s="33"/>
    </row>
    <row r="15818" spans="3:14" x14ac:dyDescent="0.3">
      <c r="C15818" s="54"/>
      <c r="N15818" s="33"/>
    </row>
    <row r="15819" spans="3:14" x14ac:dyDescent="0.3">
      <c r="C15819" s="54"/>
      <c r="N15819" s="33"/>
    </row>
    <row r="15820" spans="3:14" x14ac:dyDescent="0.3">
      <c r="C15820" s="54"/>
      <c r="N15820" s="33"/>
    </row>
    <row r="15821" spans="3:14" x14ac:dyDescent="0.3">
      <c r="C15821" s="54"/>
      <c r="N15821" s="33"/>
    </row>
    <row r="15822" spans="3:14" x14ac:dyDescent="0.3">
      <c r="C15822" s="54"/>
      <c r="N15822" s="33"/>
    </row>
    <row r="15823" spans="3:14" x14ac:dyDescent="0.3">
      <c r="C15823" s="54"/>
      <c r="N15823" s="33"/>
    </row>
    <row r="15824" spans="3:14" x14ac:dyDescent="0.3">
      <c r="C15824" s="54"/>
      <c r="N15824" s="33"/>
    </row>
    <row r="15825" spans="3:14" x14ac:dyDescent="0.3">
      <c r="C15825" s="54"/>
      <c r="N15825" s="33"/>
    </row>
    <row r="15826" spans="3:14" x14ac:dyDescent="0.3">
      <c r="C15826" s="54"/>
      <c r="N15826" s="33"/>
    </row>
    <row r="15827" spans="3:14" x14ac:dyDescent="0.3">
      <c r="C15827" s="54"/>
      <c r="N15827" s="33"/>
    </row>
    <row r="15828" spans="3:14" x14ac:dyDescent="0.3">
      <c r="C15828" s="54"/>
      <c r="N15828" s="33"/>
    </row>
    <row r="15829" spans="3:14" x14ac:dyDescent="0.3">
      <c r="C15829" s="54"/>
      <c r="N15829" s="33"/>
    </row>
    <row r="15830" spans="3:14" x14ac:dyDescent="0.3">
      <c r="C15830" s="54"/>
      <c r="N15830" s="33"/>
    </row>
    <row r="15831" spans="3:14" x14ac:dyDescent="0.3">
      <c r="C15831" s="54"/>
      <c r="N15831" s="33"/>
    </row>
    <row r="15832" spans="3:14" x14ac:dyDescent="0.3">
      <c r="C15832" s="54"/>
      <c r="N15832" s="33"/>
    </row>
    <row r="15833" spans="3:14" x14ac:dyDescent="0.3">
      <c r="C15833" s="54"/>
      <c r="N15833" s="33"/>
    </row>
    <row r="15834" spans="3:14" x14ac:dyDescent="0.3">
      <c r="C15834" s="54"/>
      <c r="N15834" s="33"/>
    </row>
    <row r="15835" spans="3:14" x14ac:dyDescent="0.3">
      <c r="C15835" s="54"/>
      <c r="N15835" s="33"/>
    </row>
    <row r="15836" spans="3:14" x14ac:dyDescent="0.3">
      <c r="C15836" s="54"/>
      <c r="N15836" s="33"/>
    </row>
    <row r="15837" spans="3:14" x14ac:dyDescent="0.3">
      <c r="C15837" s="54"/>
      <c r="N15837" s="33"/>
    </row>
    <row r="15838" spans="3:14" x14ac:dyDescent="0.3">
      <c r="C15838" s="54"/>
      <c r="N15838" s="33"/>
    </row>
    <row r="15839" spans="3:14" x14ac:dyDescent="0.3">
      <c r="C15839" s="54"/>
      <c r="N15839" s="33"/>
    </row>
    <row r="15840" spans="3:14" x14ac:dyDescent="0.3">
      <c r="C15840" s="54"/>
      <c r="N15840" s="33"/>
    </row>
    <row r="15841" spans="3:14" x14ac:dyDescent="0.3">
      <c r="C15841" s="54"/>
      <c r="N15841" s="33"/>
    </row>
    <row r="15842" spans="3:14" x14ac:dyDescent="0.3">
      <c r="C15842" s="54"/>
      <c r="N15842" s="33"/>
    </row>
    <row r="15843" spans="3:14" x14ac:dyDescent="0.3">
      <c r="C15843" s="54"/>
      <c r="N15843" s="33"/>
    </row>
    <row r="15844" spans="3:14" x14ac:dyDescent="0.3">
      <c r="C15844" s="54"/>
      <c r="N15844" s="33"/>
    </row>
    <row r="15845" spans="3:14" x14ac:dyDescent="0.3">
      <c r="C15845" s="54"/>
      <c r="N15845" s="33"/>
    </row>
    <row r="15846" spans="3:14" x14ac:dyDescent="0.3">
      <c r="C15846" s="54"/>
      <c r="N15846" s="33"/>
    </row>
    <row r="15847" spans="3:14" x14ac:dyDescent="0.3">
      <c r="C15847" s="54"/>
      <c r="N15847" s="33"/>
    </row>
    <row r="15848" spans="3:14" x14ac:dyDescent="0.3">
      <c r="C15848" s="54"/>
      <c r="N15848" s="33"/>
    </row>
    <row r="15849" spans="3:14" x14ac:dyDescent="0.3">
      <c r="C15849" s="54"/>
      <c r="N15849" s="33"/>
    </row>
    <row r="15850" spans="3:14" x14ac:dyDescent="0.3">
      <c r="C15850" s="54"/>
      <c r="N15850" s="33"/>
    </row>
    <row r="15851" spans="3:14" x14ac:dyDescent="0.3">
      <c r="C15851" s="54"/>
      <c r="N15851" s="33"/>
    </row>
    <row r="15852" spans="3:14" x14ac:dyDescent="0.3">
      <c r="C15852" s="54"/>
      <c r="N15852" s="33"/>
    </row>
    <row r="15853" spans="3:14" x14ac:dyDescent="0.3">
      <c r="C15853" s="54"/>
      <c r="N15853" s="33"/>
    </row>
    <row r="15854" spans="3:14" x14ac:dyDescent="0.3">
      <c r="C15854" s="54"/>
      <c r="N15854" s="33"/>
    </row>
    <row r="15855" spans="3:14" x14ac:dyDescent="0.3">
      <c r="C15855" s="54"/>
      <c r="N15855" s="33"/>
    </row>
    <row r="15856" spans="3:14" x14ac:dyDescent="0.3">
      <c r="C15856" s="54"/>
      <c r="N15856" s="33"/>
    </row>
    <row r="15857" spans="3:14" x14ac:dyDescent="0.3">
      <c r="C15857" s="54"/>
      <c r="N15857" s="33"/>
    </row>
    <row r="15858" spans="3:14" x14ac:dyDescent="0.3">
      <c r="C15858" s="54"/>
      <c r="N15858" s="33"/>
    </row>
    <row r="15859" spans="3:14" x14ac:dyDescent="0.3">
      <c r="C15859" s="54"/>
      <c r="N15859" s="33"/>
    </row>
    <row r="15860" spans="3:14" x14ac:dyDescent="0.3">
      <c r="C15860" s="54"/>
      <c r="N15860" s="33"/>
    </row>
    <row r="15861" spans="3:14" x14ac:dyDescent="0.3">
      <c r="C15861" s="54"/>
      <c r="N15861" s="33"/>
    </row>
    <row r="15862" spans="3:14" x14ac:dyDescent="0.3">
      <c r="C15862" s="54"/>
      <c r="N15862" s="33"/>
    </row>
    <row r="15863" spans="3:14" x14ac:dyDescent="0.3">
      <c r="C15863" s="54"/>
      <c r="N15863" s="33"/>
    </row>
    <row r="15864" spans="3:14" x14ac:dyDescent="0.3">
      <c r="C15864" s="54"/>
      <c r="N15864" s="33"/>
    </row>
    <row r="15865" spans="3:14" x14ac:dyDescent="0.3">
      <c r="C15865" s="54"/>
      <c r="N15865" s="33"/>
    </row>
    <row r="15866" spans="3:14" x14ac:dyDescent="0.3">
      <c r="C15866" s="54"/>
      <c r="N15866" s="33"/>
    </row>
    <row r="15867" spans="3:14" x14ac:dyDescent="0.3">
      <c r="C15867" s="54"/>
      <c r="N15867" s="33"/>
    </row>
    <row r="15868" spans="3:14" x14ac:dyDescent="0.3">
      <c r="C15868" s="54"/>
      <c r="N15868" s="33"/>
    </row>
    <row r="15869" spans="3:14" x14ac:dyDescent="0.3">
      <c r="C15869" s="54"/>
      <c r="N15869" s="33"/>
    </row>
    <row r="15870" spans="3:14" x14ac:dyDescent="0.3">
      <c r="C15870" s="54"/>
      <c r="N15870" s="33"/>
    </row>
    <row r="15871" spans="3:14" x14ac:dyDescent="0.3">
      <c r="C15871" s="54"/>
      <c r="N15871" s="33"/>
    </row>
    <row r="15872" spans="3:14" x14ac:dyDescent="0.3">
      <c r="C15872" s="54"/>
      <c r="N15872" s="33"/>
    </row>
    <row r="15873" spans="3:14" x14ac:dyDescent="0.3">
      <c r="C15873" s="54"/>
      <c r="N15873" s="33"/>
    </row>
    <row r="15874" spans="3:14" x14ac:dyDescent="0.3">
      <c r="C15874" s="54"/>
      <c r="N15874" s="33"/>
    </row>
    <row r="15875" spans="3:14" x14ac:dyDescent="0.3">
      <c r="C15875" s="54"/>
      <c r="N15875" s="33"/>
    </row>
    <row r="15876" spans="3:14" x14ac:dyDescent="0.3">
      <c r="C15876" s="54"/>
      <c r="N15876" s="33"/>
    </row>
    <row r="15877" spans="3:14" x14ac:dyDescent="0.3">
      <c r="C15877" s="54"/>
      <c r="N15877" s="33"/>
    </row>
    <row r="15878" spans="3:14" x14ac:dyDescent="0.3">
      <c r="C15878" s="54"/>
      <c r="N15878" s="33"/>
    </row>
    <row r="15879" spans="3:14" x14ac:dyDescent="0.3">
      <c r="C15879" s="54"/>
      <c r="N15879" s="33"/>
    </row>
    <row r="15880" spans="3:14" x14ac:dyDescent="0.3">
      <c r="C15880" s="54"/>
      <c r="N15880" s="33"/>
    </row>
    <row r="15881" spans="3:14" x14ac:dyDescent="0.3">
      <c r="C15881" s="54"/>
      <c r="N15881" s="33"/>
    </row>
    <row r="15882" spans="3:14" x14ac:dyDescent="0.3">
      <c r="C15882" s="54"/>
      <c r="N15882" s="33"/>
    </row>
    <row r="15883" spans="3:14" x14ac:dyDescent="0.3">
      <c r="C15883" s="54"/>
      <c r="N15883" s="33"/>
    </row>
    <row r="15884" spans="3:14" x14ac:dyDescent="0.3">
      <c r="C15884" s="54"/>
      <c r="N15884" s="33"/>
    </row>
    <row r="15885" spans="3:14" x14ac:dyDescent="0.3">
      <c r="C15885" s="54"/>
      <c r="N15885" s="33"/>
    </row>
    <row r="15886" spans="3:14" x14ac:dyDescent="0.3">
      <c r="C15886" s="54"/>
      <c r="N15886" s="33"/>
    </row>
    <row r="15887" spans="3:14" x14ac:dyDescent="0.3">
      <c r="C15887" s="54"/>
      <c r="N15887" s="33"/>
    </row>
    <row r="15888" spans="3:14" x14ac:dyDescent="0.3">
      <c r="C15888" s="54"/>
      <c r="N15888" s="33"/>
    </row>
    <row r="15889" spans="3:14" x14ac:dyDescent="0.3">
      <c r="C15889" s="54"/>
      <c r="N15889" s="33"/>
    </row>
    <row r="15890" spans="3:14" x14ac:dyDescent="0.3">
      <c r="C15890" s="54"/>
      <c r="N15890" s="33"/>
    </row>
    <row r="15891" spans="3:14" x14ac:dyDescent="0.3">
      <c r="C15891" s="54"/>
      <c r="N15891" s="33"/>
    </row>
    <row r="15892" spans="3:14" x14ac:dyDescent="0.3">
      <c r="C15892" s="54"/>
      <c r="N15892" s="33"/>
    </row>
    <row r="15893" spans="3:14" x14ac:dyDescent="0.3">
      <c r="C15893" s="54"/>
      <c r="N15893" s="33"/>
    </row>
    <row r="15894" spans="3:14" x14ac:dyDescent="0.3">
      <c r="C15894" s="54"/>
      <c r="N15894" s="33"/>
    </row>
    <row r="15895" spans="3:14" x14ac:dyDescent="0.3">
      <c r="C15895" s="54"/>
      <c r="N15895" s="33"/>
    </row>
    <row r="15896" spans="3:14" x14ac:dyDescent="0.3">
      <c r="C15896" s="54"/>
      <c r="N15896" s="33"/>
    </row>
    <row r="15897" spans="3:14" x14ac:dyDescent="0.3">
      <c r="C15897" s="54"/>
      <c r="N15897" s="33"/>
    </row>
    <row r="15898" spans="3:14" x14ac:dyDescent="0.3">
      <c r="C15898" s="54"/>
      <c r="N15898" s="33"/>
    </row>
    <row r="15899" spans="3:14" x14ac:dyDescent="0.3">
      <c r="C15899" s="54"/>
      <c r="N15899" s="33"/>
    </row>
    <row r="15900" spans="3:14" x14ac:dyDescent="0.3">
      <c r="C15900" s="54"/>
      <c r="N15900" s="33"/>
    </row>
    <row r="15901" spans="3:14" x14ac:dyDescent="0.3">
      <c r="C15901" s="54"/>
      <c r="N15901" s="33"/>
    </row>
    <row r="15902" spans="3:14" x14ac:dyDescent="0.3">
      <c r="C15902" s="54"/>
      <c r="N15902" s="33"/>
    </row>
    <row r="15903" spans="3:14" x14ac:dyDescent="0.3">
      <c r="C15903" s="54"/>
      <c r="N15903" s="33"/>
    </row>
    <row r="15904" spans="3:14" x14ac:dyDescent="0.3">
      <c r="C15904" s="54"/>
      <c r="N15904" s="33"/>
    </row>
    <row r="15905" spans="3:14" x14ac:dyDescent="0.3">
      <c r="C15905" s="54"/>
      <c r="N15905" s="33"/>
    </row>
    <row r="15906" spans="3:14" x14ac:dyDescent="0.3">
      <c r="C15906" s="54"/>
      <c r="N15906" s="33"/>
    </row>
    <row r="15907" spans="3:14" x14ac:dyDescent="0.3">
      <c r="C15907" s="54"/>
      <c r="N15907" s="33"/>
    </row>
    <row r="15908" spans="3:14" x14ac:dyDescent="0.3">
      <c r="C15908" s="54"/>
      <c r="N15908" s="33"/>
    </row>
    <row r="15909" spans="3:14" x14ac:dyDescent="0.3">
      <c r="C15909" s="54"/>
      <c r="N15909" s="33"/>
    </row>
    <row r="15910" spans="3:14" x14ac:dyDescent="0.3">
      <c r="C15910" s="54"/>
      <c r="N15910" s="33"/>
    </row>
    <row r="15911" spans="3:14" x14ac:dyDescent="0.3">
      <c r="C15911" s="54"/>
      <c r="N15911" s="33"/>
    </row>
    <row r="15912" spans="3:14" x14ac:dyDescent="0.3">
      <c r="C15912" s="54"/>
      <c r="N15912" s="33"/>
    </row>
    <row r="15913" spans="3:14" x14ac:dyDescent="0.3">
      <c r="C15913" s="54"/>
      <c r="N15913" s="33"/>
    </row>
    <row r="15914" spans="3:14" x14ac:dyDescent="0.3">
      <c r="C15914" s="54"/>
      <c r="N15914" s="33"/>
    </row>
    <row r="15915" spans="3:14" x14ac:dyDescent="0.3">
      <c r="C15915" s="54"/>
      <c r="N15915" s="33"/>
    </row>
    <row r="15916" spans="3:14" x14ac:dyDescent="0.3">
      <c r="C15916" s="54"/>
      <c r="N15916" s="33"/>
    </row>
    <row r="15917" spans="3:14" x14ac:dyDescent="0.3">
      <c r="C15917" s="54"/>
      <c r="N15917" s="33"/>
    </row>
    <row r="15918" spans="3:14" x14ac:dyDescent="0.3">
      <c r="C15918" s="54"/>
      <c r="N15918" s="33"/>
    </row>
    <row r="15919" spans="3:14" x14ac:dyDescent="0.3">
      <c r="C15919" s="54"/>
      <c r="N15919" s="33"/>
    </row>
    <row r="15920" spans="3:14" x14ac:dyDescent="0.3">
      <c r="C15920" s="54"/>
      <c r="N15920" s="33"/>
    </row>
    <row r="15921" spans="3:14" x14ac:dyDescent="0.3">
      <c r="C15921" s="54"/>
      <c r="N15921" s="33"/>
    </row>
    <row r="15922" spans="3:14" x14ac:dyDescent="0.3">
      <c r="C15922" s="54"/>
      <c r="N15922" s="33"/>
    </row>
    <row r="15923" spans="3:14" x14ac:dyDescent="0.3">
      <c r="C15923" s="54"/>
      <c r="N15923" s="33"/>
    </row>
    <row r="15924" spans="3:14" x14ac:dyDescent="0.3">
      <c r="C15924" s="54"/>
      <c r="N15924" s="33"/>
    </row>
    <row r="15925" spans="3:14" x14ac:dyDescent="0.3">
      <c r="C15925" s="54"/>
      <c r="N15925" s="33"/>
    </row>
    <row r="15926" spans="3:14" x14ac:dyDescent="0.3">
      <c r="C15926" s="54"/>
      <c r="N15926" s="33"/>
    </row>
    <row r="15927" spans="3:14" x14ac:dyDescent="0.3">
      <c r="C15927" s="54"/>
      <c r="N15927" s="33"/>
    </row>
    <row r="15928" spans="3:14" x14ac:dyDescent="0.3">
      <c r="C15928" s="54"/>
      <c r="N15928" s="33"/>
    </row>
    <row r="15929" spans="3:14" x14ac:dyDescent="0.3">
      <c r="C15929" s="54"/>
      <c r="N15929" s="33"/>
    </row>
    <row r="15930" spans="3:14" x14ac:dyDescent="0.3">
      <c r="C15930" s="54"/>
      <c r="N15930" s="33"/>
    </row>
    <row r="15931" spans="3:14" x14ac:dyDescent="0.3">
      <c r="C15931" s="54"/>
      <c r="N15931" s="33"/>
    </row>
    <row r="15932" spans="3:14" x14ac:dyDescent="0.3">
      <c r="C15932" s="54"/>
      <c r="N15932" s="33"/>
    </row>
    <row r="15933" spans="3:14" x14ac:dyDescent="0.3">
      <c r="C15933" s="54"/>
      <c r="N15933" s="33"/>
    </row>
    <row r="15934" spans="3:14" x14ac:dyDescent="0.3">
      <c r="C15934" s="54"/>
      <c r="N15934" s="33"/>
    </row>
    <row r="15935" spans="3:14" x14ac:dyDescent="0.3">
      <c r="C15935" s="54"/>
      <c r="N15935" s="33"/>
    </row>
    <row r="15936" spans="3:14" x14ac:dyDescent="0.3">
      <c r="C15936" s="54"/>
      <c r="N15936" s="33"/>
    </row>
    <row r="15937" spans="3:14" x14ac:dyDescent="0.3">
      <c r="C15937" s="54"/>
      <c r="N15937" s="33"/>
    </row>
    <row r="15938" spans="3:14" x14ac:dyDescent="0.3">
      <c r="C15938" s="54"/>
      <c r="N15938" s="33"/>
    </row>
    <row r="15939" spans="3:14" x14ac:dyDescent="0.3">
      <c r="C15939" s="54"/>
      <c r="N15939" s="33"/>
    </row>
    <row r="15940" spans="3:14" x14ac:dyDescent="0.3">
      <c r="C15940" s="54"/>
      <c r="N15940" s="33"/>
    </row>
    <row r="15941" spans="3:14" x14ac:dyDescent="0.3">
      <c r="C15941" s="54"/>
      <c r="N15941" s="33"/>
    </row>
    <row r="15942" spans="3:14" x14ac:dyDescent="0.3">
      <c r="C15942" s="54"/>
      <c r="N15942" s="33"/>
    </row>
    <row r="15943" spans="3:14" x14ac:dyDescent="0.3">
      <c r="C15943" s="54"/>
      <c r="N15943" s="33"/>
    </row>
    <row r="15944" spans="3:14" x14ac:dyDescent="0.3">
      <c r="C15944" s="54"/>
      <c r="N15944" s="33"/>
    </row>
    <row r="15945" spans="3:14" x14ac:dyDescent="0.3">
      <c r="C15945" s="54"/>
      <c r="N15945" s="33"/>
    </row>
    <row r="15946" spans="3:14" x14ac:dyDescent="0.3">
      <c r="C15946" s="54"/>
      <c r="N15946" s="33"/>
    </row>
    <row r="15947" spans="3:14" x14ac:dyDescent="0.3">
      <c r="C15947" s="54"/>
      <c r="N15947" s="33"/>
    </row>
    <row r="15948" spans="3:14" x14ac:dyDescent="0.3">
      <c r="C15948" s="54"/>
      <c r="N15948" s="33"/>
    </row>
    <row r="15949" spans="3:14" x14ac:dyDescent="0.3">
      <c r="C15949" s="54"/>
      <c r="N15949" s="33"/>
    </row>
    <row r="15950" spans="3:14" x14ac:dyDescent="0.3">
      <c r="C15950" s="54"/>
      <c r="N15950" s="33"/>
    </row>
    <row r="15951" spans="3:14" x14ac:dyDescent="0.3">
      <c r="C15951" s="54"/>
      <c r="N15951" s="33"/>
    </row>
    <row r="15952" spans="3:14" x14ac:dyDescent="0.3">
      <c r="C15952" s="54"/>
      <c r="N15952" s="33"/>
    </row>
    <row r="15953" spans="3:14" x14ac:dyDescent="0.3">
      <c r="C15953" s="54"/>
      <c r="N15953" s="33"/>
    </row>
    <row r="15954" spans="3:14" x14ac:dyDescent="0.3">
      <c r="C15954" s="54"/>
      <c r="N15954" s="33"/>
    </row>
    <row r="15955" spans="3:14" x14ac:dyDescent="0.3">
      <c r="C15955" s="54"/>
      <c r="N15955" s="33"/>
    </row>
    <row r="15956" spans="3:14" x14ac:dyDescent="0.3">
      <c r="C15956" s="54"/>
      <c r="N15956" s="33"/>
    </row>
    <row r="15957" spans="3:14" x14ac:dyDescent="0.3">
      <c r="C15957" s="54"/>
      <c r="N15957" s="33"/>
    </row>
    <row r="15958" spans="3:14" x14ac:dyDescent="0.3">
      <c r="C15958" s="54"/>
      <c r="N15958" s="33"/>
    </row>
    <row r="15959" spans="3:14" x14ac:dyDescent="0.3">
      <c r="C15959" s="54"/>
      <c r="N15959" s="33"/>
    </row>
    <row r="15960" spans="3:14" x14ac:dyDescent="0.3">
      <c r="C15960" s="54"/>
      <c r="N15960" s="33"/>
    </row>
    <row r="15961" spans="3:14" x14ac:dyDescent="0.3">
      <c r="C15961" s="54"/>
      <c r="N15961" s="33"/>
    </row>
    <row r="15962" spans="3:14" x14ac:dyDescent="0.3">
      <c r="C15962" s="54"/>
      <c r="N15962" s="33"/>
    </row>
    <row r="15963" spans="3:14" x14ac:dyDescent="0.3">
      <c r="C15963" s="54"/>
      <c r="N15963" s="33"/>
    </row>
    <row r="15964" spans="3:14" x14ac:dyDescent="0.3">
      <c r="C15964" s="54"/>
      <c r="N15964" s="33"/>
    </row>
    <row r="15965" spans="3:14" x14ac:dyDescent="0.3">
      <c r="C15965" s="54"/>
      <c r="N15965" s="33"/>
    </row>
    <row r="15966" spans="3:14" x14ac:dyDescent="0.3">
      <c r="C15966" s="54"/>
      <c r="N15966" s="33"/>
    </row>
    <row r="15967" spans="3:14" x14ac:dyDescent="0.3">
      <c r="C15967" s="54"/>
      <c r="N15967" s="33"/>
    </row>
    <row r="15968" spans="3:14" x14ac:dyDescent="0.3">
      <c r="C15968" s="54"/>
      <c r="N15968" s="33"/>
    </row>
    <row r="15969" spans="3:14" x14ac:dyDescent="0.3">
      <c r="C15969" s="54"/>
      <c r="N15969" s="33"/>
    </row>
    <row r="15970" spans="3:14" x14ac:dyDescent="0.3">
      <c r="C15970" s="54"/>
      <c r="N15970" s="33"/>
    </row>
    <row r="15971" spans="3:14" x14ac:dyDescent="0.3">
      <c r="C15971" s="54"/>
      <c r="N15971" s="33"/>
    </row>
    <row r="15972" spans="3:14" x14ac:dyDescent="0.3">
      <c r="C15972" s="54"/>
      <c r="N15972" s="33"/>
    </row>
    <row r="15973" spans="3:14" x14ac:dyDescent="0.3">
      <c r="C15973" s="54"/>
      <c r="N15973" s="33"/>
    </row>
    <row r="15974" spans="3:14" x14ac:dyDescent="0.3">
      <c r="C15974" s="54"/>
      <c r="N15974" s="33"/>
    </row>
    <row r="15975" spans="3:14" x14ac:dyDescent="0.3">
      <c r="C15975" s="54"/>
      <c r="N15975" s="33"/>
    </row>
    <row r="15976" spans="3:14" x14ac:dyDescent="0.3">
      <c r="C15976" s="54"/>
      <c r="N15976" s="33"/>
    </row>
    <row r="15977" spans="3:14" x14ac:dyDescent="0.3">
      <c r="C15977" s="54"/>
      <c r="N15977" s="33"/>
    </row>
    <row r="15978" spans="3:14" x14ac:dyDescent="0.3">
      <c r="C15978" s="54"/>
      <c r="N15978" s="33"/>
    </row>
    <row r="15979" spans="3:14" x14ac:dyDescent="0.3">
      <c r="C15979" s="54"/>
      <c r="N15979" s="33"/>
    </row>
    <row r="15980" spans="3:14" x14ac:dyDescent="0.3">
      <c r="C15980" s="54"/>
      <c r="N15980" s="33"/>
    </row>
    <row r="15981" spans="3:14" x14ac:dyDescent="0.3">
      <c r="C15981" s="54"/>
      <c r="N15981" s="33"/>
    </row>
    <row r="15982" spans="3:14" x14ac:dyDescent="0.3">
      <c r="C15982" s="54"/>
      <c r="N15982" s="33"/>
    </row>
    <row r="15983" spans="3:14" x14ac:dyDescent="0.3">
      <c r="C15983" s="54"/>
      <c r="N15983" s="33"/>
    </row>
    <row r="15984" spans="3:14" x14ac:dyDescent="0.3">
      <c r="C15984" s="54"/>
      <c r="N15984" s="33"/>
    </row>
    <row r="15985" spans="3:14" x14ac:dyDescent="0.3">
      <c r="C15985" s="54"/>
      <c r="N15985" s="33"/>
    </row>
    <row r="15986" spans="3:14" x14ac:dyDescent="0.3">
      <c r="C15986" s="54"/>
      <c r="N15986" s="33"/>
    </row>
    <row r="15987" spans="3:14" x14ac:dyDescent="0.3">
      <c r="C15987" s="54"/>
      <c r="N15987" s="33"/>
    </row>
    <row r="15988" spans="3:14" x14ac:dyDescent="0.3">
      <c r="C15988" s="54"/>
      <c r="N15988" s="33"/>
    </row>
    <row r="15989" spans="3:14" x14ac:dyDescent="0.3">
      <c r="C15989" s="54"/>
      <c r="N15989" s="33"/>
    </row>
    <row r="15990" spans="3:14" x14ac:dyDescent="0.3">
      <c r="C15990" s="54"/>
      <c r="N15990" s="33"/>
    </row>
    <row r="15991" spans="3:14" x14ac:dyDescent="0.3">
      <c r="C15991" s="54"/>
      <c r="N15991" s="33"/>
    </row>
    <row r="15992" spans="3:14" x14ac:dyDescent="0.3">
      <c r="C15992" s="54"/>
      <c r="N15992" s="33"/>
    </row>
    <row r="15993" spans="3:14" x14ac:dyDescent="0.3">
      <c r="C15993" s="54"/>
      <c r="N15993" s="33"/>
    </row>
    <row r="15994" spans="3:14" x14ac:dyDescent="0.3">
      <c r="C15994" s="54"/>
      <c r="N15994" s="33"/>
    </row>
    <row r="15995" spans="3:14" x14ac:dyDescent="0.3">
      <c r="C15995" s="54"/>
      <c r="N15995" s="33"/>
    </row>
    <row r="15996" spans="3:14" x14ac:dyDescent="0.3">
      <c r="C15996" s="54"/>
      <c r="N15996" s="33"/>
    </row>
    <row r="15997" spans="3:14" x14ac:dyDescent="0.3">
      <c r="C15997" s="54"/>
      <c r="N15997" s="33"/>
    </row>
    <row r="15998" spans="3:14" x14ac:dyDescent="0.3">
      <c r="C15998" s="54"/>
      <c r="N15998" s="33"/>
    </row>
    <row r="15999" spans="3:14" x14ac:dyDescent="0.3">
      <c r="C15999" s="54"/>
      <c r="N15999" s="33"/>
    </row>
    <row r="16000" spans="3:14" x14ac:dyDescent="0.3">
      <c r="C16000" s="54"/>
      <c r="N16000" s="33"/>
    </row>
    <row r="16001" spans="3:14" x14ac:dyDescent="0.3">
      <c r="C16001" s="54"/>
      <c r="N16001" s="33"/>
    </row>
    <row r="16002" spans="3:14" x14ac:dyDescent="0.3">
      <c r="C16002" s="54"/>
      <c r="N16002" s="33"/>
    </row>
    <row r="16003" spans="3:14" x14ac:dyDescent="0.3">
      <c r="C16003" s="54"/>
      <c r="N16003" s="33"/>
    </row>
    <row r="16004" spans="3:14" x14ac:dyDescent="0.3">
      <c r="C16004" s="54"/>
      <c r="N16004" s="33"/>
    </row>
    <row r="16005" spans="3:14" x14ac:dyDescent="0.3">
      <c r="C16005" s="54"/>
      <c r="N16005" s="33"/>
    </row>
    <row r="16006" spans="3:14" x14ac:dyDescent="0.3">
      <c r="C16006" s="54"/>
      <c r="N16006" s="33"/>
    </row>
    <row r="16007" spans="3:14" x14ac:dyDescent="0.3">
      <c r="C16007" s="54"/>
      <c r="N16007" s="33"/>
    </row>
    <row r="16008" spans="3:14" x14ac:dyDescent="0.3">
      <c r="C16008" s="54"/>
      <c r="N16008" s="33"/>
    </row>
    <row r="16009" spans="3:14" x14ac:dyDescent="0.3">
      <c r="C16009" s="54"/>
      <c r="N16009" s="33"/>
    </row>
    <row r="16010" spans="3:14" x14ac:dyDescent="0.3">
      <c r="C16010" s="54"/>
      <c r="N16010" s="33"/>
    </row>
    <row r="16011" spans="3:14" x14ac:dyDescent="0.3">
      <c r="C16011" s="54"/>
      <c r="N16011" s="33"/>
    </row>
    <row r="16012" spans="3:14" x14ac:dyDescent="0.3">
      <c r="C16012" s="54"/>
      <c r="N16012" s="33"/>
    </row>
    <row r="16013" spans="3:14" x14ac:dyDescent="0.3">
      <c r="C16013" s="54"/>
      <c r="N16013" s="33"/>
    </row>
    <row r="16014" spans="3:14" x14ac:dyDescent="0.3">
      <c r="C16014" s="54"/>
      <c r="N16014" s="33"/>
    </row>
    <row r="16015" spans="3:14" x14ac:dyDescent="0.3">
      <c r="C16015" s="54"/>
      <c r="N16015" s="33"/>
    </row>
    <row r="16016" spans="3:14" x14ac:dyDescent="0.3">
      <c r="C16016" s="54"/>
      <c r="N16016" s="33"/>
    </row>
    <row r="16017" spans="3:14" x14ac:dyDescent="0.3">
      <c r="C16017" s="54"/>
      <c r="N16017" s="33"/>
    </row>
    <row r="16018" spans="3:14" x14ac:dyDescent="0.3">
      <c r="C16018" s="54"/>
      <c r="N16018" s="33"/>
    </row>
    <row r="16019" spans="3:14" x14ac:dyDescent="0.3">
      <c r="C16019" s="54"/>
      <c r="N16019" s="33"/>
    </row>
    <row r="16020" spans="3:14" x14ac:dyDescent="0.3">
      <c r="C16020" s="54"/>
      <c r="N16020" s="33"/>
    </row>
    <row r="16021" spans="3:14" x14ac:dyDescent="0.3">
      <c r="C16021" s="54"/>
      <c r="N16021" s="33"/>
    </row>
    <row r="16022" spans="3:14" x14ac:dyDescent="0.3">
      <c r="C16022" s="54"/>
      <c r="N16022" s="33"/>
    </row>
    <row r="16023" spans="3:14" x14ac:dyDescent="0.3">
      <c r="C16023" s="54"/>
      <c r="N16023" s="33"/>
    </row>
    <row r="16024" spans="3:14" x14ac:dyDescent="0.3">
      <c r="C16024" s="54"/>
      <c r="N16024" s="33"/>
    </row>
    <row r="16025" spans="3:14" x14ac:dyDescent="0.3">
      <c r="C16025" s="54"/>
      <c r="N16025" s="33"/>
    </row>
    <row r="16026" spans="3:14" x14ac:dyDescent="0.3">
      <c r="C16026" s="54"/>
      <c r="N16026" s="33"/>
    </row>
    <row r="16027" spans="3:14" x14ac:dyDescent="0.3">
      <c r="C16027" s="54"/>
      <c r="N16027" s="33"/>
    </row>
    <row r="16028" spans="3:14" x14ac:dyDescent="0.3">
      <c r="C16028" s="54"/>
      <c r="N16028" s="33"/>
    </row>
    <row r="16029" spans="3:14" x14ac:dyDescent="0.3">
      <c r="C16029" s="54"/>
      <c r="N16029" s="33"/>
    </row>
    <row r="16030" spans="3:14" x14ac:dyDescent="0.3">
      <c r="C16030" s="54"/>
      <c r="N16030" s="33"/>
    </row>
    <row r="16031" spans="3:14" x14ac:dyDescent="0.3">
      <c r="C16031" s="54"/>
      <c r="N16031" s="33"/>
    </row>
    <row r="16032" spans="3:14" x14ac:dyDescent="0.3">
      <c r="C16032" s="54"/>
      <c r="N16032" s="33"/>
    </row>
    <row r="16033" spans="3:14" x14ac:dyDescent="0.3">
      <c r="C16033" s="54"/>
      <c r="N16033" s="33"/>
    </row>
    <row r="16034" spans="3:14" x14ac:dyDescent="0.3">
      <c r="C16034" s="54"/>
      <c r="N16034" s="33"/>
    </row>
    <row r="16035" spans="3:14" x14ac:dyDescent="0.3">
      <c r="C16035" s="54"/>
      <c r="N16035" s="33"/>
    </row>
    <row r="16036" spans="3:14" x14ac:dyDescent="0.3">
      <c r="C16036" s="54"/>
      <c r="N16036" s="33"/>
    </row>
    <row r="16037" spans="3:14" x14ac:dyDescent="0.3">
      <c r="C16037" s="54"/>
      <c r="N16037" s="33"/>
    </row>
    <row r="16038" spans="3:14" x14ac:dyDescent="0.3">
      <c r="C16038" s="54"/>
      <c r="N16038" s="33"/>
    </row>
    <row r="16039" spans="3:14" x14ac:dyDescent="0.3">
      <c r="C16039" s="54"/>
      <c r="N16039" s="33"/>
    </row>
    <row r="16040" spans="3:14" x14ac:dyDescent="0.3">
      <c r="C16040" s="54"/>
      <c r="N16040" s="33"/>
    </row>
    <row r="16041" spans="3:14" x14ac:dyDescent="0.3">
      <c r="C16041" s="54"/>
      <c r="N16041" s="33"/>
    </row>
    <row r="16042" spans="3:14" x14ac:dyDescent="0.3">
      <c r="C16042" s="54"/>
      <c r="N16042" s="33"/>
    </row>
    <row r="16043" spans="3:14" x14ac:dyDescent="0.3">
      <c r="C16043" s="54"/>
      <c r="N16043" s="33"/>
    </row>
    <row r="16044" spans="3:14" x14ac:dyDescent="0.3">
      <c r="C16044" s="54"/>
      <c r="N16044" s="33"/>
    </row>
    <row r="16045" spans="3:14" x14ac:dyDescent="0.3">
      <c r="C16045" s="54"/>
      <c r="N16045" s="33"/>
    </row>
    <row r="16046" spans="3:14" x14ac:dyDescent="0.3">
      <c r="C16046" s="54"/>
      <c r="N16046" s="33"/>
    </row>
    <row r="16047" spans="3:14" x14ac:dyDescent="0.3">
      <c r="C16047" s="54"/>
      <c r="N16047" s="33"/>
    </row>
    <row r="16048" spans="3:14" x14ac:dyDescent="0.3">
      <c r="C16048" s="54"/>
      <c r="N16048" s="33"/>
    </row>
    <row r="16049" spans="3:14" x14ac:dyDescent="0.3">
      <c r="C16049" s="54"/>
      <c r="N16049" s="33"/>
    </row>
    <row r="16050" spans="3:14" x14ac:dyDescent="0.3">
      <c r="C16050" s="54"/>
      <c r="N16050" s="33"/>
    </row>
    <row r="16051" spans="3:14" x14ac:dyDescent="0.3">
      <c r="C16051" s="54"/>
      <c r="N16051" s="33"/>
    </row>
    <row r="16052" spans="3:14" x14ac:dyDescent="0.3">
      <c r="C16052" s="54"/>
      <c r="N16052" s="33"/>
    </row>
    <row r="16053" spans="3:14" x14ac:dyDescent="0.3">
      <c r="C16053" s="54"/>
      <c r="N16053" s="33"/>
    </row>
    <row r="16054" spans="3:14" x14ac:dyDescent="0.3">
      <c r="C16054" s="54"/>
      <c r="N16054" s="33"/>
    </row>
    <row r="16055" spans="3:14" x14ac:dyDescent="0.3">
      <c r="C16055" s="54"/>
      <c r="N16055" s="33"/>
    </row>
    <row r="16056" spans="3:14" x14ac:dyDescent="0.3">
      <c r="C16056" s="54"/>
      <c r="N16056" s="33"/>
    </row>
    <row r="16057" spans="3:14" x14ac:dyDescent="0.3">
      <c r="C16057" s="54"/>
      <c r="N16057" s="33"/>
    </row>
    <row r="16058" spans="3:14" x14ac:dyDescent="0.3">
      <c r="C16058" s="54"/>
      <c r="N16058" s="33"/>
    </row>
    <row r="16059" spans="3:14" x14ac:dyDescent="0.3">
      <c r="C16059" s="54"/>
      <c r="N16059" s="33"/>
    </row>
    <row r="16060" spans="3:14" x14ac:dyDescent="0.3">
      <c r="C16060" s="54"/>
      <c r="N16060" s="33"/>
    </row>
    <row r="16061" spans="3:14" x14ac:dyDescent="0.3">
      <c r="C16061" s="54"/>
      <c r="N16061" s="33"/>
    </row>
    <row r="16062" spans="3:14" x14ac:dyDescent="0.3">
      <c r="C16062" s="54"/>
      <c r="N16062" s="33"/>
    </row>
    <row r="16063" spans="3:14" x14ac:dyDescent="0.3">
      <c r="C16063" s="54"/>
      <c r="N16063" s="33"/>
    </row>
    <row r="16064" spans="3:14" x14ac:dyDescent="0.3">
      <c r="C16064" s="54"/>
      <c r="N16064" s="33"/>
    </row>
    <row r="16065" spans="3:14" x14ac:dyDescent="0.3">
      <c r="C16065" s="54"/>
      <c r="N16065" s="33"/>
    </row>
    <row r="16066" spans="3:14" x14ac:dyDescent="0.3">
      <c r="C16066" s="54"/>
      <c r="N16066" s="33"/>
    </row>
    <row r="16067" spans="3:14" x14ac:dyDescent="0.3">
      <c r="C16067" s="54"/>
      <c r="N16067" s="33"/>
    </row>
    <row r="16068" spans="3:14" x14ac:dyDescent="0.3">
      <c r="C16068" s="54"/>
      <c r="N16068" s="33"/>
    </row>
    <row r="16069" spans="3:14" x14ac:dyDescent="0.3">
      <c r="C16069" s="54"/>
      <c r="N16069" s="33"/>
    </row>
    <row r="16070" spans="3:14" x14ac:dyDescent="0.3">
      <c r="C16070" s="54"/>
      <c r="N16070" s="33"/>
    </row>
    <row r="16071" spans="3:14" x14ac:dyDescent="0.3">
      <c r="C16071" s="54"/>
      <c r="N16071" s="33"/>
    </row>
    <row r="16072" spans="3:14" x14ac:dyDescent="0.3">
      <c r="C16072" s="54"/>
      <c r="N16072" s="33"/>
    </row>
    <row r="16073" spans="3:14" x14ac:dyDescent="0.3">
      <c r="C16073" s="54"/>
      <c r="N16073" s="33"/>
    </row>
    <row r="16074" spans="3:14" x14ac:dyDescent="0.3">
      <c r="C16074" s="54"/>
      <c r="N16074" s="33"/>
    </row>
    <row r="16075" spans="3:14" x14ac:dyDescent="0.3">
      <c r="C16075" s="54"/>
      <c r="N16075" s="33"/>
    </row>
    <row r="16076" spans="3:14" x14ac:dyDescent="0.3">
      <c r="C16076" s="54"/>
      <c r="N16076" s="33"/>
    </row>
    <row r="16077" spans="3:14" x14ac:dyDescent="0.3">
      <c r="C16077" s="54"/>
      <c r="N16077" s="33"/>
    </row>
    <row r="16078" spans="3:14" x14ac:dyDescent="0.3">
      <c r="C16078" s="54"/>
      <c r="N16078" s="33"/>
    </row>
    <row r="16079" spans="3:14" x14ac:dyDescent="0.3">
      <c r="C16079" s="54"/>
      <c r="N16079" s="33"/>
    </row>
    <row r="16080" spans="3:14" x14ac:dyDescent="0.3">
      <c r="C16080" s="54"/>
      <c r="N16080" s="33"/>
    </row>
    <row r="16081" spans="3:14" x14ac:dyDescent="0.3">
      <c r="C16081" s="54"/>
      <c r="N16081" s="33"/>
    </row>
    <row r="16082" spans="3:14" x14ac:dyDescent="0.3">
      <c r="C16082" s="54"/>
      <c r="N16082" s="33"/>
    </row>
    <row r="16083" spans="3:14" x14ac:dyDescent="0.3">
      <c r="C16083" s="54"/>
      <c r="N16083" s="33"/>
    </row>
    <row r="16084" spans="3:14" x14ac:dyDescent="0.3">
      <c r="C16084" s="54"/>
      <c r="N16084" s="33"/>
    </row>
    <row r="16085" spans="3:14" x14ac:dyDescent="0.3">
      <c r="C16085" s="54"/>
      <c r="N16085" s="33"/>
    </row>
    <row r="16086" spans="3:14" x14ac:dyDescent="0.3">
      <c r="C16086" s="54"/>
      <c r="N16086" s="33"/>
    </row>
    <row r="16087" spans="3:14" x14ac:dyDescent="0.3">
      <c r="C16087" s="54"/>
      <c r="N16087" s="33"/>
    </row>
    <row r="16088" spans="3:14" x14ac:dyDescent="0.3">
      <c r="C16088" s="54"/>
      <c r="N16088" s="33"/>
    </row>
    <row r="16089" spans="3:14" x14ac:dyDescent="0.3">
      <c r="C16089" s="54"/>
      <c r="N16089" s="33"/>
    </row>
    <row r="16090" spans="3:14" x14ac:dyDescent="0.3">
      <c r="C16090" s="54"/>
      <c r="N16090" s="33"/>
    </row>
    <row r="16091" spans="3:14" x14ac:dyDescent="0.3">
      <c r="C16091" s="54"/>
      <c r="N16091" s="33"/>
    </row>
    <row r="16092" spans="3:14" x14ac:dyDescent="0.3">
      <c r="C16092" s="54"/>
      <c r="N16092" s="33"/>
    </row>
    <row r="16093" spans="3:14" x14ac:dyDescent="0.3">
      <c r="C16093" s="54"/>
      <c r="N16093" s="33"/>
    </row>
    <row r="16094" spans="3:14" x14ac:dyDescent="0.3">
      <c r="C16094" s="54"/>
      <c r="N16094" s="33"/>
    </row>
    <row r="16095" spans="3:14" x14ac:dyDescent="0.3">
      <c r="C16095" s="54"/>
      <c r="N16095" s="33"/>
    </row>
    <row r="16096" spans="3:14" x14ac:dyDescent="0.3">
      <c r="C16096" s="54"/>
      <c r="N16096" s="33"/>
    </row>
    <row r="16097" spans="3:14" x14ac:dyDescent="0.3">
      <c r="C16097" s="54"/>
      <c r="N16097" s="33"/>
    </row>
    <row r="16098" spans="3:14" x14ac:dyDescent="0.3">
      <c r="C16098" s="54"/>
      <c r="N16098" s="33"/>
    </row>
    <row r="16099" spans="3:14" x14ac:dyDescent="0.3">
      <c r="C16099" s="54"/>
      <c r="N16099" s="33"/>
    </row>
    <row r="16100" spans="3:14" x14ac:dyDescent="0.3">
      <c r="C16100" s="54"/>
      <c r="N16100" s="33"/>
    </row>
    <row r="16101" spans="3:14" x14ac:dyDescent="0.3">
      <c r="C16101" s="54"/>
      <c r="N16101" s="33"/>
    </row>
    <row r="16102" spans="3:14" x14ac:dyDescent="0.3">
      <c r="C16102" s="54"/>
      <c r="N16102" s="33"/>
    </row>
    <row r="16103" spans="3:14" x14ac:dyDescent="0.3">
      <c r="C16103" s="54"/>
      <c r="N16103" s="33"/>
    </row>
    <row r="16104" spans="3:14" x14ac:dyDescent="0.3">
      <c r="C16104" s="54"/>
      <c r="N16104" s="33"/>
    </row>
    <row r="16105" spans="3:14" x14ac:dyDescent="0.3">
      <c r="C16105" s="54"/>
      <c r="N16105" s="33"/>
    </row>
    <row r="16106" spans="3:14" x14ac:dyDescent="0.3">
      <c r="C16106" s="54"/>
      <c r="N16106" s="33"/>
    </row>
    <row r="16107" spans="3:14" x14ac:dyDescent="0.3">
      <c r="C16107" s="54"/>
      <c r="N16107" s="33"/>
    </row>
    <row r="16108" spans="3:14" x14ac:dyDescent="0.3">
      <c r="C16108" s="54"/>
      <c r="N16108" s="33"/>
    </row>
    <row r="16109" spans="3:14" x14ac:dyDescent="0.3">
      <c r="C16109" s="54"/>
      <c r="N16109" s="33"/>
    </row>
    <row r="16110" spans="3:14" x14ac:dyDescent="0.3">
      <c r="C16110" s="54"/>
      <c r="N16110" s="33"/>
    </row>
    <row r="16111" spans="3:14" x14ac:dyDescent="0.3">
      <c r="C16111" s="54"/>
      <c r="N16111" s="33"/>
    </row>
    <row r="16112" spans="3:14" x14ac:dyDescent="0.3">
      <c r="C16112" s="54"/>
      <c r="N16112" s="33"/>
    </row>
    <row r="16113" spans="3:14" x14ac:dyDescent="0.3">
      <c r="C16113" s="54"/>
      <c r="N16113" s="33"/>
    </row>
    <row r="16114" spans="3:14" x14ac:dyDescent="0.3">
      <c r="C16114" s="54"/>
      <c r="N16114" s="33"/>
    </row>
    <row r="16115" spans="3:14" x14ac:dyDescent="0.3">
      <c r="C16115" s="54"/>
      <c r="N16115" s="33"/>
    </row>
    <row r="16116" spans="3:14" x14ac:dyDescent="0.3">
      <c r="C16116" s="54"/>
      <c r="N16116" s="33"/>
    </row>
    <row r="16117" spans="3:14" x14ac:dyDescent="0.3">
      <c r="C16117" s="54"/>
      <c r="N16117" s="33"/>
    </row>
    <row r="16118" spans="3:14" x14ac:dyDescent="0.3">
      <c r="C16118" s="54"/>
      <c r="N16118" s="33"/>
    </row>
    <row r="16119" spans="3:14" x14ac:dyDescent="0.3">
      <c r="C16119" s="54"/>
      <c r="N16119" s="33"/>
    </row>
    <row r="16120" spans="3:14" x14ac:dyDescent="0.3">
      <c r="C16120" s="54"/>
      <c r="N16120" s="33"/>
    </row>
    <row r="16121" spans="3:14" x14ac:dyDescent="0.3">
      <c r="C16121" s="54"/>
      <c r="N16121" s="33"/>
    </row>
    <row r="16122" spans="3:14" x14ac:dyDescent="0.3">
      <c r="C16122" s="54"/>
      <c r="N16122" s="33"/>
    </row>
    <row r="16123" spans="3:14" x14ac:dyDescent="0.3">
      <c r="C16123" s="54"/>
      <c r="N16123" s="33"/>
    </row>
    <row r="16124" spans="3:14" x14ac:dyDescent="0.3">
      <c r="C16124" s="54"/>
      <c r="N16124" s="33"/>
    </row>
    <row r="16125" spans="3:14" x14ac:dyDescent="0.3">
      <c r="C16125" s="54"/>
      <c r="N16125" s="33"/>
    </row>
    <row r="16126" spans="3:14" x14ac:dyDescent="0.3">
      <c r="C16126" s="54"/>
      <c r="N16126" s="33"/>
    </row>
    <row r="16127" spans="3:14" x14ac:dyDescent="0.3">
      <c r="C16127" s="54"/>
      <c r="N16127" s="33"/>
    </row>
    <row r="16128" spans="3:14" x14ac:dyDescent="0.3">
      <c r="C16128" s="54"/>
      <c r="N16128" s="33"/>
    </row>
    <row r="16129" spans="3:14" x14ac:dyDescent="0.3">
      <c r="C16129" s="54"/>
      <c r="N16129" s="33"/>
    </row>
    <row r="16130" spans="3:14" x14ac:dyDescent="0.3">
      <c r="C16130" s="54"/>
      <c r="N16130" s="33"/>
    </row>
    <row r="16131" spans="3:14" x14ac:dyDescent="0.3">
      <c r="C16131" s="54"/>
      <c r="N16131" s="33"/>
    </row>
    <row r="16132" spans="3:14" x14ac:dyDescent="0.3">
      <c r="C16132" s="54"/>
      <c r="N16132" s="33"/>
    </row>
    <row r="16133" spans="3:14" x14ac:dyDescent="0.3">
      <c r="C16133" s="54"/>
      <c r="N16133" s="33"/>
    </row>
    <row r="16134" spans="3:14" x14ac:dyDescent="0.3">
      <c r="C16134" s="54"/>
      <c r="N16134" s="33"/>
    </row>
    <row r="16135" spans="3:14" x14ac:dyDescent="0.3">
      <c r="C16135" s="54"/>
      <c r="N16135" s="33"/>
    </row>
    <row r="16136" spans="3:14" x14ac:dyDescent="0.3">
      <c r="C16136" s="54"/>
      <c r="N16136" s="33"/>
    </row>
    <row r="16137" spans="3:14" x14ac:dyDescent="0.3">
      <c r="C16137" s="54"/>
      <c r="N16137" s="33"/>
    </row>
    <row r="16138" spans="3:14" x14ac:dyDescent="0.3">
      <c r="C16138" s="54"/>
      <c r="N16138" s="33"/>
    </row>
    <row r="16139" spans="3:14" x14ac:dyDescent="0.3">
      <c r="C16139" s="54"/>
      <c r="N16139" s="33"/>
    </row>
    <row r="16140" spans="3:14" x14ac:dyDescent="0.3">
      <c r="C16140" s="54"/>
      <c r="N16140" s="33"/>
    </row>
    <row r="16141" spans="3:14" x14ac:dyDescent="0.3">
      <c r="C16141" s="54"/>
      <c r="N16141" s="33"/>
    </row>
    <row r="16142" spans="3:14" x14ac:dyDescent="0.3">
      <c r="C16142" s="54"/>
      <c r="N16142" s="33"/>
    </row>
    <row r="16143" spans="3:14" x14ac:dyDescent="0.3">
      <c r="C16143" s="54"/>
      <c r="N16143" s="33"/>
    </row>
    <row r="16144" spans="3:14" x14ac:dyDescent="0.3">
      <c r="C16144" s="54"/>
      <c r="N16144" s="33"/>
    </row>
    <row r="16145" spans="3:14" x14ac:dyDescent="0.3">
      <c r="C16145" s="54"/>
      <c r="N16145" s="33"/>
    </row>
    <row r="16146" spans="3:14" x14ac:dyDescent="0.3">
      <c r="C16146" s="54"/>
      <c r="N16146" s="33"/>
    </row>
    <row r="16147" spans="3:14" x14ac:dyDescent="0.3">
      <c r="C16147" s="54"/>
      <c r="N16147" s="33"/>
    </row>
    <row r="16148" spans="3:14" x14ac:dyDescent="0.3">
      <c r="C16148" s="54"/>
      <c r="N16148" s="33"/>
    </row>
    <row r="16149" spans="3:14" x14ac:dyDescent="0.3">
      <c r="C16149" s="54"/>
      <c r="N16149" s="33"/>
    </row>
    <row r="16150" spans="3:14" x14ac:dyDescent="0.3">
      <c r="C16150" s="54"/>
      <c r="N16150" s="33"/>
    </row>
    <row r="16151" spans="3:14" x14ac:dyDescent="0.3">
      <c r="C16151" s="54"/>
      <c r="N16151" s="33"/>
    </row>
    <row r="16152" spans="3:14" x14ac:dyDescent="0.3">
      <c r="C16152" s="54"/>
      <c r="N16152" s="33"/>
    </row>
    <row r="16153" spans="3:14" x14ac:dyDescent="0.3">
      <c r="C16153" s="54"/>
      <c r="N16153" s="33"/>
    </row>
    <row r="16154" spans="3:14" x14ac:dyDescent="0.3">
      <c r="C16154" s="54"/>
      <c r="N16154" s="33"/>
    </row>
    <row r="16155" spans="3:14" x14ac:dyDescent="0.3">
      <c r="C16155" s="54"/>
      <c r="N16155" s="33"/>
    </row>
    <row r="16156" spans="3:14" x14ac:dyDescent="0.3">
      <c r="C16156" s="54"/>
      <c r="N16156" s="33"/>
    </row>
    <row r="16157" spans="3:14" x14ac:dyDescent="0.3">
      <c r="C16157" s="54"/>
      <c r="N16157" s="33"/>
    </row>
    <row r="16158" spans="3:14" x14ac:dyDescent="0.3">
      <c r="C16158" s="54"/>
      <c r="N16158" s="33"/>
    </row>
    <row r="16159" spans="3:14" x14ac:dyDescent="0.3">
      <c r="C16159" s="54"/>
      <c r="N16159" s="33"/>
    </row>
    <row r="16160" spans="3:14" x14ac:dyDescent="0.3">
      <c r="C16160" s="54"/>
      <c r="N16160" s="33"/>
    </row>
    <row r="16161" spans="3:14" x14ac:dyDescent="0.3">
      <c r="C16161" s="54"/>
      <c r="N16161" s="33"/>
    </row>
    <row r="16162" spans="3:14" x14ac:dyDescent="0.3">
      <c r="C16162" s="54"/>
      <c r="N16162" s="33"/>
    </row>
    <row r="16163" spans="3:14" x14ac:dyDescent="0.3">
      <c r="C16163" s="54"/>
      <c r="N16163" s="33"/>
    </row>
    <row r="16164" spans="3:14" x14ac:dyDescent="0.3">
      <c r="C16164" s="54"/>
      <c r="N16164" s="33"/>
    </row>
    <row r="16165" spans="3:14" x14ac:dyDescent="0.3">
      <c r="C16165" s="54"/>
      <c r="N16165" s="33"/>
    </row>
    <row r="16166" spans="3:14" x14ac:dyDescent="0.3">
      <c r="C16166" s="54"/>
      <c r="N16166" s="33"/>
    </row>
    <row r="16167" spans="3:14" x14ac:dyDescent="0.3">
      <c r="C16167" s="54"/>
      <c r="N16167" s="33"/>
    </row>
    <row r="16168" spans="3:14" x14ac:dyDescent="0.3">
      <c r="C16168" s="54"/>
      <c r="N16168" s="33"/>
    </row>
    <row r="16169" spans="3:14" x14ac:dyDescent="0.3">
      <c r="C16169" s="54"/>
      <c r="N16169" s="33"/>
    </row>
    <row r="16170" spans="3:14" x14ac:dyDescent="0.3">
      <c r="C16170" s="54"/>
      <c r="N16170" s="33"/>
    </row>
    <row r="16171" spans="3:14" x14ac:dyDescent="0.3">
      <c r="C16171" s="54"/>
      <c r="N16171" s="33"/>
    </row>
    <row r="16172" spans="3:14" x14ac:dyDescent="0.3">
      <c r="C16172" s="54"/>
      <c r="N16172" s="33"/>
    </row>
    <row r="16173" spans="3:14" x14ac:dyDescent="0.3">
      <c r="C16173" s="54"/>
      <c r="N16173" s="33"/>
    </row>
    <row r="16174" spans="3:14" x14ac:dyDescent="0.3">
      <c r="C16174" s="54"/>
      <c r="N16174" s="33"/>
    </row>
    <row r="16175" spans="3:14" x14ac:dyDescent="0.3">
      <c r="C16175" s="54"/>
      <c r="N16175" s="33"/>
    </row>
    <row r="16176" spans="3:14" x14ac:dyDescent="0.3">
      <c r="C16176" s="54"/>
      <c r="N16176" s="33"/>
    </row>
    <row r="16177" spans="3:14" x14ac:dyDescent="0.3">
      <c r="C16177" s="54"/>
      <c r="N16177" s="33"/>
    </row>
    <row r="16178" spans="3:14" x14ac:dyDescent="0.3">
      <c r="C16178" s="54"/>
      <c r="N16178" s="33"/>
    </row>
    <row r="16179" spans="3:14" x14ac:dyDescent="0.3">
      <c r="C16179" s="54"/>
      <c r="N16179" s="33"/>
    </row>
    <row r="16180" spans="3:14" x14ac:dyDescent="0.3">
      <c r="C16180" s="54"/>
      <c r="N16180" s="33"/>
    </row>
    <row r="16181" spans="3:14" x14ac:dyDescent="0.3">
      <c r="C16181" s="54"/>
      <c r="N16181" s="33"/>
    </row>
    <row r="16182" spans="3:14" x14ac:dyDescent="0.3">
      <c r="C16182" s="54"/>
      <c r="N16182" s="33"/>
    </row>
    <row r="16183" spans="3:14" x14ac:dyDescent="0.3">
      <c r="C16183" s="54"/>
      <c r="N16183" s="33"/>
    </row>
    <row r="16184" spans="3:14" x14ac:dyDescent="0.3">
      <c r="C16184" s="54"/>
      <c r="N16184" s="33"/>
    </row>
    <row r="16185" spans="3:14" x14ac:dyDescent="0.3">
      <c r="C16185" s="54"/>
      <c r="N16185" s="33"/>
    </row>
    <row r="16186" spans="3:14" x14ac:dyDescent="0.3">
      <c r="C16186" s="54"/>
      <c r="N16186" s="33"/>
    </row>
    <row r="16187" spans="3:14" x14ac:dyDescent="0.3">
      <c r="C16187" s="54"/>
      <c r="N16187" s="33"/>
    </row>
    <row r="16188" spans="3:14" x14ac:dyDescent="0.3">
      <c r="C16188" s="54"/>
      <c r="N16188" s="33"/>
    </row>
    <row r="16189" spans="3:14" x14ac:dyDescent="0.3">
      <c r="C16189" s="54"/>
      <c r="N16189" s="33"/>
    </row>
    <row r="16190" spans="3:14" x14ac:dyDescent="0.3">
      <c r="C16190" s="54"/>
      <c r="N16190" s="33"/>
    </row>
    <row r="16191" spans="3:14" x14ac:dyDescent="0.3">
      <c r="C16191" s="54"/>
      <c r="N16191" s="33"/>
    </row>
    <row r="16192" spans="3:14" x14ac:dyDescent="0.3">
      <c r="C16192" s="54"/>
      <c r="N16192" s="33"/>
    </row>
    <row r="16193" spans="3:14" x14ac:dyDescent="0.3">
      <c r="C16193" s="54"/>
      <c r="N16193" s="33"/>
    </row>
    <row r="16194" spans="3:14" x14ac:dyDescent="0.3">
      <c r="C16194" s="54"/>
      <c r="N16194" s="33"/>
    </row>
    <row r="16195" spans="3:14" x14ac:dyDescent="0.3">
      <c r="C16195" s="54"/>
      <c r="N16195" s="33"/>
    </row>
    <row r="16196" spans="3:14" x14ac:dyDescent="0.3">
      <c r="C16196" s="54"/>
      <c r="N16196" s="33"/>
    </row>
    <row r="16197" spans="3:14" x14ac:dyDescent="0.3">
      <c r="C16197" s="54"/>
      <c r="N16197" s="33"/>
    </row>
    <row r="16198" spans="3:14" x14ac:dyDescent="0.3">
      <c r="C16198" s="54"/>
      <c r="N16198" s="33"/>
    </row>
    <row r="16199" spans="3:14" x14ac:dyDescent="0.3">
      <c r="C16199" s="54"/>
      <c r="N16199" s="33"/>
    </row>
    <row r="16200" spans="3:14" x14ac:dyDescent="0.3">
      <c r="C16200" s="54"/>
      <c r="N16200" s="33"/>
    </row>
    <row r="16201" spans="3:14" x14ac:dyDescent="0.3">
      <c r="C16201" s="54"/>
      <c r="N16201" s="33"/>
    </row>
    <row r="16202" spans="3:14" x14ac:dyDescent="0.3">
      <c r="C16202" s="54"/>
      <c r="N16202" s="33"/>
    </row>
    <row r="16203" spans="3:14" x14ac:dyDescent="0.3">
      <c r="C16203" s="54"/>
      <c r="N16203" s="33"/>
    </row>
    <row r="16204" spans="3:14" x14ac:dyDescent="0.3">
      <c r="C16204" s="54"/>
      <c r="N16204" s="33"/>
    </row>
    <row r="16205" spans="3:14" x14ac:dyDescent="0.3">
      <c r="C16205" s="54"/>
      <c r="N16205" s="33"/>
    </row>
    <row r="16206" spans="3:14" x14ac:dyDescent="0.3">
      <c r="C16206" s="54"/>
      <c r="N16206" s="33"/>
    </row>
    <row r="16207" spans="3:14" x14ac:dyDescent="0.3">
      <c r="C16207" s="54"/>
      <c r="N16207" s="33"/>
    </row>
    <row r="16208" spans="3:14" x14ac:dyDescent="0.3">
      <c r="C16208" s="54"/>
      <c r="N16208" s="33"/>
    </row>
    <row r="16209" spans="3:14" x14ac:dyDescent="0.3">
      <c r="C16209" s="54"/>
      <c r="N16209" s="33"/>
    </row>
    <row r="16210" spans="3:14" x14ac:dyDescent="0.3">
      <c r="C16210" s="54"/>
      <c r="N16210" s="33"/>
    </row>
    <row r="16211" spans="3:14" x14ac:dyDescent="0.3">
      <c r="C16211" s="54"/>
      <c r="N16211" s="33"/>
    </row>
    <row r="16212" spans="3:14" x14ac:dyDescent="0.3">
      <c r="C16212" s="54"/>
      <c r="N16212" s="33"/>
    </row>
    <row r="16213" spans="3:14" x14ac:dyDescent="0.3">
      <c r="C16213" s="54"/>
      <c r="N16213" s="33"/>
    </row>
    <row r="16214" spans="3:14" x14ac:dyDescent="0.3">
      <c r="C16214" s="54"/>
      <c r="N16214" s="33"/>
    </row>
    <row r="16215" spans="3:14" x14ac:dyDescent="0.3">
      <c r="C16215" s="54"/>
      <c r="N16215" s="33"/>
    </row>
    <row r="16216" spans="3:14" x14ac:dyDescent="0.3">
      <c r="C16216" s="54"/>
      <c r="N16216" s="33"/>
    </row>
    <row r="16217" spans="3:14" x14ac:dyDescent="0.3">
      <c r="C16217" s="54"/>
      <c r="N16217" s="33"/>
    </row>
    <row r="16218" spans="3:14" x14ac:dyDescent="0.3">
      <c r="C16218" s="54"/>
      <c r="N16218" s="33"/>
    </row>
    <row r="16219" spans="3:14" x14ac:dyDescent="0.3">
      <c r="C16219" s="54"/>
      <c r="N16219" s="33"/>
    </row>
    <row r="16220" spans="3:14" x14ac:dyDescent="0.3">
      <c r="C16220" s="54"/>
      <c r="N16220" s="33"/>
    </row>
    <row r="16221" spans="3:14" x14ac:dyDescent="0.3">
      <c r="C16221" s="54"/>
      <c r="N16221" s="33"/>
    </row>
    <row r="16222" spans="3:14" x14ac:dyDescent="0.3">
      <c r="C16222" s="54"/>
      <c r="N16222" s="33"/>
    </row>
    <row r="16223" spans="3:14" x14ac:dyDescent="0.3">
      <c r="C16223" s="54"/>
      <c r="N16223" s="33"/>
    </row>
    <row r="16224" spans="3:14" x14ac:dyDescent="0.3">
      <c r="C16224" s="54"/>
      <c r="N16224" s="33"/>
    </row>
    <row r="16225" spans="3:14" x14ac:dyDescent="0.3">
      <c r="C16225" s="54"/>
      <c r="N16225" s="33"/>
    </row>
    <row r="16226" spans="3:14" x14ac:dyDescent="0.3">
      <c r="C16226" s="54"/>
      <c r="N16226" s="33"/>
    </row>
    <row r="16227" spans="3:14" x14ac:dyDescent="0.3">
      <c r="C16227" s="54"/>
      <c r="N16227" s="33"/>
    </row>
    <row r="16228" spans="3:14" x14ac:dyDescent="0.3">
      <c r="C16228" s="54"/>
      <c r="N16228" s="33"/>
    </row>
    <row r="16229" spans="3:14" x14ac:dyDescent="0.3">
      <c r="C16229" s="54"/>
      <c r="N16229" s="33"/>
    </row>
    <row r="16230" spans="3:14" x14ac:dyDescent="0.3">
      <c r="C16230" s="54"/>
      <c r="N16230" s="33"/>
    </row>
    <row r="16231" spans="3:14" x14ac:dyDescent="0.3">
      <c r="C16231" s="54"/>
      <c r="N16231" s="33"/>
    </row>
    <row r="16232" spans="3:14" x14ac:dyDescent="0.3">
      <c r="C16232" s="54"/>
      <c r="N16232" s="33"/>
    </row>
    <row r="16233" spans="3:14" x14ac:dyDescent="0.3">
      <c r="C16233" s="54"/>
      <c r="N16233" s="33"/>
    </row>
    <row r="16234" spans="3:14" x14ac:dyDescent="0.3">
      <c r="C16234" s="54"/>
      <c r="N16234" s="33"/>
    </row>
    <row r="16235" spans="3:14" x14ac:dyDescent="0.3">
      <c r="C16235" s="54"/>
      <c r="N16235" s="33"/>
    </row>
    <row r="16236" spans="3:14" x14ac:dyDescent="0.3">
      <c r="C16236" s="54"/>
      <c r="N16236" s="33"/>
    </row>
    <row r="16237" spans="3:14" x14ac:dyDescent="0.3">
      <c r="C16237" s="54"/>
      <c r="N16237" s="33"/>
    </row>
    <row r="16238" spans="3:14" x14ac:dyDescent="0.3">
      <c r="C16238" s="54"/>
      <c r="N16238" s="33"/>
    </row>
    <row r="16239" spans="3:14" x14ac:dyDescent="0.3">
      <c r="C16239" s="54"/>
      <c r="N16239" s="33"/>
    </row>
    <row r="16240" spans="3:14" x14ac:dyDescent="0.3">
      <c r="C16240" s="54"/>
      <c r="N16240" s="33"/>
    </row>
    <row r="16241" spans="3:14" x14ac:dyDescent="0.3">
      <c r="C16241" s="54"/>
      <c r="N16241" s="33"/>
    </row>
    <row r="16242" spans="3:14" x14ac:dyDescent="0.3">
      <c r="C16242" s="54"/>
      <c r="N16242" s="33"/>
    </row>
    <row r="16243" spans="3:14" x14ac:dyDescent="0.3">
      <c r="C16243" s="54"/>
      <c r="N16243" s="33"/>
    </row>
    <row r="16244" spans="3:14" x14ac:dyDescent="0.3">
      <c r="C16244" s="54"/>
      <c r="N16244" s="33"/>
    </row>
    <row r="16245" spans="3:14" x14ac:dyDescent="0.3">
      <c r="C16245" s="54"/>
      <c r="N16245" s="33"/>
    </row>
    <row r="16246" spans="3:14" x14ac:dyDescent="0.3">
      <c r="C16246" s="54"/>
      <c r="N16246" s="33"/>
    </row>
    <row r="16247" spans="3:14" x14ac:dyDescent="0.3">
      <c r="C16247" s="54"/>
      <c r="N16247" s="33"/>
    </row>
    <row r="16248" spans="3:14" x14ac:dyDescent="0.3">
      <c r="C16248" s="54"/>
      <c r="N16248" s="33"/>
    </row>
    <row r="16249" spans="3:14" x14ac:dyDescent="0.3">
      <c r="C16249" s="54"/>
      <c r="N16249" s="33"/>
    </row>
    <row r="16250" spans="3:14" x14ac:dyDescent="0.3">
      <c r="C16250" s="54"/>
      <c r="N16250" s="33"/>
    </row>
    <row r="16251" spans="3:14" x14ac:dyDescent="0.3">
      <c r="C16251" s="54"/>
      <c r="N16251" s="33"/>
    </row>
    <row r="16252" spans="3:14" x14ac:dyDescent="0.3">
      <c r="C16252" s="54"/>
      <c r="N16252" s="33"/>
    </row>
    <row r="16253" spans="3:14" x14ac:dyDescent="0.3">
      <c r="C16253" s="54"/>
      <c r="N16253" s="33"/>
    </row>
    <row r="16254" spans="3:14" x14ac:dyDescent="0.3">
      <c r="C16254" s="54"/>
      <c r="N16254" s="33"/>
    </row>
    <row r="16255" spans="3:14" x14ac:dyDescent="0.3">
      <c r="C16255" s="54"/>
      <c r="N16255" s="33"/>
    </row>
    <row r="16256" spans="3:14" x14ac:dyDescent="0.3">
      <c r="C16256" s="54"/>
      <c r="N16256" s="33"/>
    </row>
    <row r="16257" spans="3:14" x14ac:dyDescent="0.3">
      <c r="C16257" s="54"/>
      <c r="N16257" s="33"/>
    </row>
    <row r="16258" spans="3:14" x14ac:dyDescent="0.3">
      <c r="C16258" s="54"/>
      <c r="N16258" s="33"/>
    </row>
    <row r="16259" spans="3:14" x14ac:dyDescent="0.3">
      <c r="C16259" s="54"/>
      <c r="N16259" s="33"/>
    </row>
    <row r="16260" spans="3:14" x14ac:dyDescent="0.3">
      <c r="C16260" s="54"/>
      <c r="N16260" s="33"/>
    </row>
    <row r="16261" spans="3:14" x14ac:dyDescent="0.3">
      <c r="C16261" s="54"/>
      <c r="N16261" s="33"/>
    </row>
    <row r="16262" spans="3:14" x14ac:dyDescent="0.3">
      <c r="C16262" s="54"/>
      <c r="N16262" s="33"/>
    </row>
    <row r="16263" spans="3:14" x14ac:dyDescent="0.3">
      <c r="C16263" s="54"/>
      <c r="N16263" s="33"/>
    </row>
    <row r="16264" spans="3:14" x14ac:dyDescent="0.3">
      <c r="C16264" s="54"/>
      <c r="N16264" s="33"/>
    </row>
    <row r="16265" spans="3:14" x14ac:dyDescent="0.3">
      <c r="C16265" s="54"/>
      <c r="N16265" s="33"/>
    </row>
    <row r="16266" spans="3:14" x14ac:dyDescent="0.3">
      <c r="C16266" s="54"/>
      <c r="N16266" s="33"/>
    </row>
    <row r="16267" spans="3:14" x14ac:dyDescent="0.3">
      <c r="C16267" s="54"/>
      <c r="N16267" s="33"/>
    </row>
    <row r="16268" spans="3:14" x14ac:dyDescent="0.3">
      <c r="C16268" s="54"/>
      <c r="N16268" s="33"/>
    </row>
    <row r="16269" spans="3:14" x14ac:dyDescent="0.3">
      <c r="C16269" s="54"/>
      <c r="N16269" s="33"/>
    </row>
    <row r="16270" spans="3:14" x14ac:dyDescent="0.3">
      <c r="C16270" s="54"/>
      <c r="N16270" s="33"/>
    </row>
    <row r="16271" spans="3:14" x14ac:dyDescent="0.3">
      <c r="C16271" s="54"/>
      <c r="N16271" s="33"/>
    </row>
    <row r="16272" spans="3:14" x14ac:dyDescent="0.3">
      <c r="C16272" s="54"/>
      <c r="N16272" s="33"/>
    </row>
    <row r="16273" spans="3:14" x14ac:dyDescent="0.3">
      <c r="C16273" s="54"/>
      <c r="N16273" s="33"/>
    </row>
    <row r="16274" spans="3:14" x14ac:dyDescent="0.3">
      <c r="C16274" s="54"/>
      <c r="N16274" s="33"/>
    </row>
    <row r="16275" spans="3:14" x14ac:dyDescent="0.3">
      <c r="C16275" s="54"/>
      <c r="N16275" s="33"/>
    </row>
    <row r="16276" spans="3:14" x14ac:dyDescent="0.3">
      <c r="C16276" s="54"/>
      <c r="N16276" s="33"/>
    </row>
    <row r="16277" spans="3:14" x14ac:dyDescent="0.3">
      <c r="C16277" s="54"/>
      <c r="N16277" s="33"/>
    </row>
    <row r="16278" spans="3:14" x14ac:dyDescent="0.3">
      <c r="C16278" s="54"/>
      <c r="N16278" s="33"/>
    </row>
    <row r="16279" spans="3:14" x14ac:dyDescent="0.3">
      <c r="C16279" s="54"/>
      <c r="N16279" s="33"/>
    </row>
    <row r="16280" spans="3:14" x14ac:dyDescent="0.3">
      <c r="C16280" s="54"/>
      <c r="N16280" s="33"/>
    </row>
    <row r="16281" spans="3:14" x14ac:dyDescent="0.3">
      <c r="C16281" s="54"/>
      <c r="N16281" s="33"/>
    </row>
    <row r="16282" spans="3:14" x14ac:dyDescent="0.3">
      <c r="C16282" s="54"/>
      <c r="N16282" s="33"/>
    </row>
    <row r="16283" spans="3:14" x14ac:dyDescent="0.3">
      <c r="C16283" s="54"/>
      <c r="N16283" s="33"/>
    </row>
    <row r="16284" spans="3:14" x14ac:dyDescent="0.3">
      <c r="C16284" s="54"/>
      <c r="N16284" s="33"/>
    </row>
    <row r="16285" spans="3:14" x14ac:dyDescent="0.3">
      <c r="C16285" s="54"/>
      <c r="N16285" s="33"/>
    </row>
    <row r="16286" spans="3:14" x14ac:dyDescent="0.3">
      <c r="C16286" s="54"/>
      <c r="N16286" s="33"/>
    </row>
    <row r="16287" spans="3:14" x14ac:dyDescent="0.3">
      <c r="C16287" s="54"/>
      <c r="N16287" s="33"/>
    </row>
    <row r="16288" spans="3:14" x14ac:dyDescent="0.3">
      <c r="C16288" s="54"/>
      <c r="N16288" s="33"/>
    </row>
    <row r="16289" spans="3:14" x14ac:dyDescent="0.3">
      <c r="C16289" s="54"/>
      <c r="N16289" s="33"/>
    </row>
    <row r="16290" spans="3:14" x14ac:dyDescent="0.3">
      <c r="C16290" s="54"/>
      <c r="N16290" s="33"/>
    </row>
    <row r="16291" spans="3:14" x14ac:dyDescent="0.3">
      <c r="C16291" s="54"/>
      <c r="N16291" s="33"/>
    </row>
    <row r="16292" spans="3:14" x14ac:dyDescent="0.3">
      <c r="C16292" s="54"/>
      <c r="N16292" s="33"/>
    </row>
    <row r="16293" spans="3:14" x14ac:dyDescent="0.3">
      <c r="C16293" s="54"/>
      <c r="N16293" s="33"/>
    </row>
    <row r="16294" spans="3:14" x14ac:dyDescent="0.3">
      <c r="C16294" s="54"/>
      <c r="N16294" s="33"/>
    </row>
    <row r="16295" spans="3:14" x14ac:dyDescent="0.3">
      <c r="C16295" s="54"/>
      <c r="N16295" s="33"/>
    </row>
    <row r="16296" spans="3:14" x14ac:dyDescent="0.3">
      <c r="C16296" s="54"/>
      <c r="N16296" s="33"/>
    </row>
    <row r="16297" spans="3:14" x14ac:dyDescent="0.3">
      <c r="C16297" s="54"/>
      <c r="N16297" s="33"/>
    </row>
    <row r="16298" spans="3:14" x14ac:dyDescent="0.3">
      <c r="C16298" s="54"/>
      <c r="N16298" s="33"/>
    </row>
    <row r="16299" spans="3:14" x14ac:dyDescent="0.3">
      <c r="C16299" s="54"/>
      <c r="N16299" s="33"/>
    </row>
    <row r="16300" spans="3:14" x14ac:dyDescent="0.3">
      <c r="C16300" s="54"/>
      <c r="N16300" s="33"/>
    </row>
    <row r="16301" spans="3:14" x14ac:dyDescent="0.3">
      <c r="C16301" s="54"/>
      <c r="N16301" s="33"/>
    </row>
    <row r="16302" spans="3:14" x14ac:dyDescent="0.3">
      <c r="C16302" s="54"/>
      <c r="N16302" s="33"/>
    </row>
    <row r="16303" spans="3:14" x14ac:dyDescent="0.3">
      <c r="C16303" s="54"/>
      <c r="N16303" s="33"/>
    </row>
    <row r="16304" spans="3:14" x14ac:dyDescent="0.3">
      <c r="C16304" s="54"/>
      <c r="N16304" s="33"/>
    </row>
    <row r="16305" spans="3:14" x14ac:dyDescent="0.3">
      <c r="C16305" s="54"/>
      <c r="N16305" s="33"/>
    </row>
    <row r="16306" spans="3:14" x14ac:dyDescent="0.3">
      <c r="C16306" s="54"/>
      <c r="N16306" s="33"/>
    </row>
    <row r="16307" spans="3:14" x14ac:dyDescent="0.3">
      <c r="C16307" s="54"/>
      <c r="N16307" s="33"/>
    </row>
    <row r="16308" spans="3:14" x14ac:dyDescent="0.3">
      <c r="C16308" s="54"/>
      <c r="N16308" s="33"/>
    </row>
    <row r="16309" spans="3:14" x14ac:dyDescent="0.3">
      <c r="C16309" s="54"/>
      <c r="N16309" s="33"/>
    </row>
    <row r="16310" spans="3:14" x14ac:dyDescent="0.3">
      <c r="C16310" s="54"/>
      <c r="N16310" s="33"/>
    </row>
    <row r="16311" spans="3:14" x14ac:dyDescent="0.3">
      <c r="C16311" s="54"/>
      <c r="N16311" s="33"/>
    </row>
    <row r="16312" spans="3:14" x14ac:dyDescent="0.3">
      <c r="C16312" s="54"/>
      <c r="N16312" s="33"/>
    </row>
    <row r="16313" spans="3:14" x14ac:dyDescent="0.3">
      <c r="C16313" s="54"/>
      <c r="N16313" s="33"/>
    </row>
    <row r="16314" spans="3:14" x14ac:dyDescent="0.3">
      <c r="C16314" s="54"/>
      <c r="N16314" s="33"/>
    </row>
    <row r="16315" spans="3:14" x14ac:dyDescent="0.3">
      <c r="C16315" s="54"/>
      <c r="N16315" s="33"/>
    </row>
    <row r="16316" spans="3:14" x14ac:dyDescent="0.3">
      <c r="C16316" s="54"/>
      <c r="N16316" s="33"/>
    </row>
    <row r="16317" spans="3:14" x14ac:dyDescent="0.3">
      <c r="C16317" s="54"/>
      <c r="N16317" s="33"/>
    </row>
    <row r="16318" spans="3:14" x14ac:dyDescent="0.3">
      <c r="C16318" s="54"/>
      <c r="N16318" s="33"/>
    </row>
    <row r="16319" spans="3:14" x14ac:dyDescent="0.3">
      <c r="C16319" s="54"/>
      <c r="N16319" s="33"/>
    </row>
    <row r="16320" spans="3:14" x14ac:dyDescent="0.3">
      <c r="C16320" s="54"/>
      <c r="N16320" s="33"/>
    </row>
    <row r="16321" spans="3:14" x14ac:dyDescent="0.3">
      <c r="C16321" s="54"/>
      <c r="N16321" s="33"/>
    </row>
    <row r="16322" spans="3:14" x14ac:dyDescent="0.3">
      <c r="C16322" s="54"/>
      <c r="N16322" s="33"/>
    </row>
    <row r="16323" spans="3:14" x14ac:dyDescent="0.3">
      <c r="C16323" s="54"/>
      <c r="N16323" s="33"/>
    </row>
    <row r="16324" spans="3:14" x14ac:dyDescent="0.3">
      <c r="C16324" s="54"/>
      <c r="N16324" s="33"/>
    </row>
    <row r="16325" spans="3:14" x14ac:dyDescent="0.3">
      <c r="C16325" s="54"/>
      <c r="N16325" s="33"/>
    </row>
    <row r="16326" spans="3:14" x14ac:dyDescent="0.3">
      <c r="C16326" s="54"/>
      <c r="N16326" s="33"/>
    </row>
    <row r="16327" spans="3:14" x14ac:dyDescent="0.3">
      <c r="C16327" s="54"/>
      <c r="N16327" s="33"/>
    </row>
    <row r="16328" spans="3:14" x14ac:dyDescent="0.3">
      <c r="C16328" s="54"/>
      <c r="N16328" s="33"/>
    </row>
    <row r="16329" spans="3:14" x14ac:dyDescent="0.3">
      <c r="C16329" s="54"/>
      <c r="N16329" s="33"/>
    </row>
    <row r="16330" spans="3:14" x14ac:dyDescent="0.3">
      <c r="C16330" s="54"/>
      <c r="N16330" s="33"/>
    </row>
    <row r="16331" spans="3:14" x14ac:dyDescent="0.3">
      <c r="C16331" s="54"/>
      <c r="N16331" s="33"/>
    </row>
    <row r="16332" spans="3:14" x14ac:dyDescent="0.3">
      <c r="C16332" s="54"/>
      <c r="N16332" s="33"/>
    </row>
    <row r="16333" spans="3:14" x14ac:dyDescent="0.3">
      <c r="C16333" s="54"/>
      <c r="N16333" s="33"/>
    </row>
    <row r="16334" spans="3:14" x14ac:dyDescent="0.3">
      <c r="C16334" s="54"/>
      <c r="N16334" s="33"/>
    </row>
    <row r="16335" spans="3:14" x14ac:dyDescent="0.3">
      <c r="C16335" s="54"/>
      <c r="N16335" s="33"/>
    </row>
    <row r="16336" spans="3:14" x14ac:dyDescent="0.3">
      <c r="C16336" s="54"/>
      <c r="N16336" s="33"/>
    </row>
    <row r="16337" spans="3:14" x14ac:dyDescent="0.3">
      <c r="C16337" s="54"/>
      <c r="N16337" s="33"/>
    </row>
    <row r="16338" spans="3:14" x14ac:dyDescent="0.3">
      <c r="C16338" s="54"/>
      <c r="N16338" s="33"/>
    </row>
    <row r="16339" spans="3:14" x14ac:dyDescent="0.3">
      <c r="C16339" s="54"/>
      <c r="N16339" s="33"/>
    </row>
    <row r="16340" spans="3:14" x14ac:dyDescent="0.3">
      <c r="C16340" s="54"/>
      <c r="N16340" s="33"/>
    </row>
    <row r="16341" spans="3:14" x14ac:dyDescent="0.3">
      <c r="C16341" s="54"/>
      <c r="N16341" s="33"/>
    </row>
    <row r="16342" spans="3:14" x14ac:dyDescent="0.3">
      <c r="C16342" s="54"/>
      <c r="N16342" s="33"/>
    </row>
    <row r="16343" spans="3:14" x14ac:dyDescent="0.3">
      <c r="C16343" s="54"/>
      <c r="N16343" s="33"/>
    </row>
    <row r="16344" spans="3:14" x14ac:dyDescent="0.3">
      <c r="C16344" s="54"/>
      <c r="N16344" s="33"/>
    </row>
    <row r="16345" spans="3:14" x14ac:dyDescent="0.3">
      <c r="C16345" s="54"/>
      <c r="N16345" s="33"/>
    </row>
    <row r="16346" spans="3:14" x14ac:dyDescent="0.3">
      <c r="C16346" s="54"/>
      <c r="N16346" s="33"/>
    </row>
    <row r="16347" spans="3:14" x14ac:dyDescent="0.3">
      <c r="C16347" s="54"/>
      <c r="N16347" s="33"/>
    </row>
    <row r="16348" spans="3:14" x14ac:dyDescent="0.3">
      <c r="C16348" s="54"/>
      <c r="N16348" s="33"/>
    </row>
    <row r="16349" spans="3:14" x14ac:dyDescent="0.3">
      <c r="C16349" s="54"/>
      <c r="N16349" s="33"/>
    </row>
    <row r="16350" spans="3:14" x14ac:dyDescent="0.3">
      <c r="C16350" s="54"/>
      <c r="N16350" s="33"/>
    </row>
    <row r="16351" spans="3:14" x14ac:dyDescent="0.3">
      <c r="C16351" s="54"/>
      <c r="N16351" s="33"/>
    </row>
    <row r="16352" spans="3:14" x14ac:dyDescent="0.3">
      <c r="C16352" s="54"/>
      <c r="N16352" s="33"/>
    </row>
    <row r="16353" spans="3:14" x14ac:dyDescent="0.3">
      <c r="C16353" s="54"/>
      <c r="N16353" s="33"/>
    </row>
    <row r="16354" spans="3:14" x14ac:dyDescent="0.3">
      <c r="C16354" s="54"/>
      <c r="N16354" s="33"/>
    </row>
    <row r="16355" spans="3:14" x14ac:dyDescent="0.3">
      <c r="C16355" s="54"/>
      <c r="N16355" s="33"/>
    </row>
    <row r="16356" spans="3:14" x14ac:dyDescent="0.3">
      <c r="C16356" s="54"/>
      <c r="N16356" s="33"/>
    </row>
    <row r="16357" spans="3:14" x14ac:dyDescent="0.3">
      <c r="C16357" s="54"/>
      <c r="N16357" s="33"/>
    </row>
    <row r="16358" spans="3:14" x14ac:dyDescent="0.3">
      <c r="C16358" s="54"/>
      <c r="N16358" s="33"/>
    </row>
    <row r="16359" spans="3:14" x14ac:dyDescent="0.3">
      <c r="C16359" s="54"/>
      <c r="N16359" s="33"/>
    </row>
    <row r="16360" spans="3:14" x14ac:dyDescent="0.3">
      <c r="C16360" s="54"/>
      <c r="N16360" s="33"/>
    </row>
    <row r="16361" spans="3:14" x14ac:dyDescent="0.3">
      <c r="C16361" s="54"/>
      <c r="N16361" s="33"/>
    </row>
    <row r="16362" spans="3:14" x14ac:dyDescent="0.3">
      <c r="C16362" s="54"/>
      <c r="N16362" s="33"/>
    </row>
    <row r="16363" spans="3:14" x14ac:dyDescent="0.3">
      <c r="C16363" s="54"/>
      <c r="N16363" s="33"/>
    </row>
    <row r="16364" spans="3:14" x14ac:dyDescent="0.3">
      <c r="C16364" s="54"/>
      <c r="N16364" s="33"/>
    </row>
    <row r="16365" spans="3:14" x14ac:dyDescent="0.3">
      <c r="C16365" s="54"/>
      <c r="N16365" s="33"/>
    </row>
    <row r="16366" spans="3:14" x14ac:dyDescent="0.3">
      <c r="C16366" s="54"/>
      <c r="N16366" s="33"/>
    </row>
    <row r="16367" spans="3:14" x14ac:dyDescent="0.3">
      <c r="C16367" s="54"/>
      <c r="N16367" s="33"/>
    </row>
    <row r="16368" spans="3:14" x14ac:dyDescent="0.3">
      <c r="C16368" s="54"/>
      <c r="N16368" s="33"/>
    </row>
    <row r="16369" spans="3:14" x14ac:dyDescent="0.3">
      <c r="C16369" s="54"/>
      <c r="N16369" s="33"/>
    </row>
    <row r="16370" spans="3:14" x14ac:dyDescent="0.3">
      <c r="C16370" s="54"/>
      <c r="N16370" s="33"/>
    </row>
    <row r="16371" spans="3:14" x14ac:dyDescent="0.3">
      <c r="C16371" s="54"/>
      <c r="N16371" s="33"/>
    </row>
    <row r="16372" spans="3:14" x14ac:dyDescent="0.3">
      <c r="C16372" s="54"/>
      <c r="N16372" s="33"/>
    </row>
    <row r="16373" spans="3:14" x14ac:dyDescent="0.3">
      <c r="C16373" s="54"/>
      <c r="N16373" s="33"/>
    </row>
    <row r="16374" spans="3:14" x14ac:dyDescent="0.3">
      <c r="C16374" s="54"/>
      <c r="N16374" s="33"/>
    </row>
    <row r="16375" spans="3:14" x14ac:dyDescent="0.3">
      <c r="C16375" s="54"/>
      <c r="N16375" s="33"/>
    </row>
    <row r="16376" spans="3:14" x14ac:dyDescent="0.3">
      <c r="C16376" s="54"/>
      <c r="N16376" s="33"/>
    </row>
    <row r="16377" spans="3:14" x14ac:dyDescent="0.3">
      <c r="C16377" s="54"/>
      <c r="N16377" s="33"/>
    </row>
    <row r="16378" spans="3:14" x14ac:dyDescent="0.3">
      <c r="C16378" s="54"/>
      <c r="N16378" s="33"/>
    </row>
    <row r="16379" spans="3:14" x14ac:dyDescent="0.3">
      <c r="C16379" s="54"/>
      <c r="N16379" s="33"/>
    </row>
    <row r="16380" spans="3:14" x14ac:dyDescent="0.3">
      <c r="C16380" s="54"/>
      <c r="N16380" s="33"/>
    </row>
    <row r="16381" spans="3:14" x14ac:dyDescent="0.3">
      <c r="C16381" s="54"/>
      <c r="N16381" s="33"/>
    </row>
    <row r="16382" spans="3:14" x14ac:dyDescent="0.3">
      <c r="C16382" s="54"/>
      <c r="N16382" s="33"/>
    </row>
    <row r="16383" spans="3:14" x14ac:dyDescent="0.3">
      <c r="C16383" s="54"/>
      <c r="N16383" s="33"/>
    </row>
    <row r="16384" spans="3:14" x14ac:dyDescent="0.3">
      <c r="C16384" s="54"/>
      <c r="N16384" s="33"/>
    </row>
    <row r="16385" spans="3:14" x14ac:dyDescent="0.3">
      <c r="C16385" s="54"/>
      <c r="N16385" s="33"/>
    </row>
    <row r="16386" spans="3:14" x14ac:dyDescent="0.3">
      <c r="C16386" s="54"/>
      <c r="N16386" s="33"/>
    </row>
    <row r="16387" spans="3:14" x14ac:dyDescent="0.3">
      <c r="C16387" s="54"/>
      <c r="N16387" s="33"/>
    </row>
    <row r="16388" spans="3:14" x14ac:dyDescent="0.3">
      <c r="C16388" s="54"/>
      <c r="N16388" s="33"/>
    </row>
    <row r="16389" spans="3:14" x14ac:dyDescent="0.3">
      <c r="C16389" s="54"/>
      <c r="N16389" s="33"/>
    </row>
    <row r="16390" spans="3:14" x14ac:dyDescent="0.3">
      <c r="C16390" s="54"/>
      <c r="N16390" s="33"/>
    </row>
    <row r="16391" spans="3:14" x14ac:dyDescent="0.3">
      <c r="C16391" s="54"/>
      <c r="N16391" s="33"/>
    </row>
    <row r="16392" spans="3:14" x14ac:dyDescent="0.3">
      <c r="C16392" s="54"/>
      <c r="N16392" s="33"/>
    </row>
    <row r="16393" spans="3:14" x14ac:dyDescent="0.3">
      <c r="C16393" s="54"/>
      <c r="N16393" s="33"/>
    </row>
    <row r="16394" spans="3:14" x14ac:dyDescent="0.3">
      <c r="C16394" s="54"/>
      <c r="N16394" s="33"/>
    </row>
    <row r="16395" spans="3:14" x14ac:dyDescent="0.3">
      <c r="C16395" s="54"/>
      <c r="N16395" s="33"/>
    </row>
    <row r="16396" spans="3:14" x14ac:dyDescent="0.3">
      <c r="C16396" s="54"/>
      <c r="N16396" s="33"/>
    </row>
    <row r="16397" spans="3:14" x14ac:dyDescent="0.3">
      <c r="C16397" s="54"/>
      <c r="N16397" s="33"/>
    </row>
    <row r="16398" spans="3:14" x14ac:dyDescent="0.3">
      <c r="C16398" s="54"/>
      <c r="N16398" s="33"/>
    </row>
    <row r="16399" spans="3:14" x14ac:dyDescent="0.3">
      <c r="C16399" s="54"/>
      <c r="N16399" s="33"/>
    </row>
    <row r="16400" spans="3:14" x14ac:dyDescent="0.3">
      <c r="C16400" s="54"/>
      <c r="N16400" s="33"/>
    </row>
    <row r="16401" spans="3:14" x14ac:dyDescent="0.3">
      <c r="C16401" s="54"/>
      <c r="N16401" s="33"/>
    </row>
    <row r="16402" spans="3:14" x14ac:dyDescent="0.3">
      <c r="C16402" s="54"/>
      <c r="N16402" s="33"/>
    </row>
    <row r="16403" spans="3:14" x14ac:dyDescent="0.3">
      <c r="C16403" s="54"/>
      <c r="N16403" s="33"/>
    </row>
    <row r="16404" spans="3:14" x14ac:dyDescent="0.3">
      <c r="C16404" s="54"/>
      <c r="N16404" s="33"/>
    </row>
    <row r="16405" spans="3:14" x14ac:dyDescent="0.3">
      <c r="C16405" s="54"/>
      <c r="N16405" s="33"/>
    </row>
    <row r="16406" spans="3:14" x14ac:dyDescent="0.3">
      <c r="C16406" s="54"/>
      <c r="N16406" s="33"/>
    </row>
    <row r="16407" spans="3:14" x14ac:dyDescent="0.3">
      <c r="C16407" s="54"/>
      <c r="N16407" s="33"/>
    </row>
    <row r="16408" spans="3:14" x14ac:dyDescent="0.3">
      <c r="C16408" s="54"/>
      <c r="N16408" s="33"/>
    </row>
    <row r="16409" spans="3:14" x14ac:dyDescent="0.3">
      <c r="C16409" s="54"/>
      <c r="N16409" s="33"/>
    </row>
    <row r="16410" spans="3:14" x14ac:dyDescent="0.3">
      <c r="C16410" s="54"/>
      <c r="N16410" s="33"/>
    </row>
    <row r="16411" spans="3:14" x14ac:dyDescent="0.3">
      <c r="C16411" s="54"/>
      <c r="N16411" s="33"/>
    </row>
    <row r="16412" spans="3:14" x14ac:dyDescent="0.3">
      <c r="C16412" s="54"/>
      <c r="N16412" s="33"/>
    </row>
    <row r="16413" spans="3:14" x14ac:dyDescent="0.3">
      <c r="C16413" s="54"/>
      <c r="N16413" s="33"/>
    </row>
    <row r="16414" spans="3:14" x14ac:dyDescent="0.3">
      <c r="C16414" s="54"/>
      <c r="N16414" s="33"/>
    </row>
    <row r="16415" spans="3:14" x14ac:dyDescent="0.3">
      <c r="C16415" s="54"/>
      <c r="N16415" s="33"/>
    </row>
    <row r="16416" spans="3:14" x14ac:dyDescent="0.3">
      <c r="C16416" s="54"/>
      <c r="N16416" s="33"/>
    </row>
    <row r="16417" spans="3:14" x14ac:dyDescent="0.3">
      <c r="C16417" s="54"/>
      <c r="N16417" s="33"/>
    </row>
    <row r="16418" spans="3:14" x14ac:dyDescent="0.3">
      <c r="C16418" s="54"/>
      <c r="N16418" s="33"/>
    </row>
    <row r="16419" spans="3:14" x14ac:dyDescent="0.3">
      <c r="C16419" s="54"/>
      <c r="N16419" s="33"/>
    </row>
    <row r="16420" spans="3:14" x14ac:dyDescent="0.3">
      <c r="C16420" s="54"/>
      <c r="N16420" s="33"/>
    </row>
    <row r="16421" spans="3:14" x14ac:dyDescent="0.3">
      <c r="C16421" s="54"/>
      <c r="N16421" s="33"/>
    </row>
    <row r="16422" spans="3:14" x14ac:dyDescent="0.3">
      <c r="C16422" s="54"/>
      <c r="N16422" s="33"/>
    </row>
    <row r="16423" spans="3:14" x14ac:dyDescent="0.3">
      <c r="C16423" s="54"/>
      <c r="N16423" s="33"/>
    </row>
    <row r="16424" spans="3:14" x14ac:dyDescent="0.3">
      <c r="C16424" s="54"/>
      <c r="N16424" s="33"/>
    </row>
    <row r="16425" spans="3:14" x14ac:dyDescent="0.3">
      <c r="C16425" s="54"/>
      <c r="N16425" s="33"/>
    </row>
    <row r="16426" spans="3:14" x14ac:dyDescent="0.3">
      <c r="C16426" s="54"/>
      <c r="N16426" s="33"/>
    </row>
    <row r="16427" spans="3:14" x14ac:dyDescent="0.3">
      <c r="C16427" s="54"/>
      <c r="N16427" s="33"/>
    </row>
    <row r="16428" spans="3:14" x14ac:dyDescent="0.3">
      <c r="C16428" s="54"/>
      <c r="N16428" s="33"/>
    </row>
    <row r="16429" spans="3:14" x14ac:dyDescent="0.3">
      <c r="C16429" s="54"/>
      <c r="N16429" s="33"/>
    </row>
    <row r="16430" spans="3:14" x14ac:dyDescent="0.3">
      <c r="C16430" s="54"/>
      <c r="N16430" s="33"/>
    </row>
    <row r="16431" spans="3:14" x14ac:dyDescent="0.3">
      <c r="C16431" s="54"/>
      <c r="N16431" s="33"/>
    </row>
    <row r="16432" spans="3:14" x14ac:dyDescent="0.3">
      <c r="C16432" s="54"/>
      <c r="N16432" s="33"/>
    </row>
    <row r="16433" spans="3:14" x14ac:dyDescent="0.3">
      <c r="C16433" s="54"/>
      <c r="N16433" s="33"/>
    </row>
    <row r="16434" spans="3:14" x14ac:dyDescent="0.3">
      <c r="C16434" s="54"/>
      <c r="N16434" s="33"/>
    </row>
    <row r="16435" spans="3:14" x14ac:dyDescent="0.3">
      <c r="C16435" s="54"/>
      <c r="N16435" s="33"/>
    </row>
    <row r="16436" spans="3:14" x14ac:dyDescent="0.3">
      <c r="C16436" s="54"/>
      <c r="N16436" s="33"/>
    </row>
    <row r="16437" spans="3:14" x14ac:dyDescent="0.3">
      <c r="C16437" s="54"/>
      <c r="N16437" s="33"/>
    </row>
    <row r="16438" spans="3:14" x14ac:dyDescent="0.3">
      <c r="C16438" s="54"/>
      <c r="N16438" s="33"/>
    </row>
    <row r="16439" spans="3:14" x14ac:dyDescent="0.3">
      <c r="C16439" s="54"/>
      <c r="N16439" s="33"/>
    </row>
    <row r="16440" spans="3:14" x14ac:dyDescent="0.3">
      <c r="C16440" s="54"/>
      <c r="N16440" s="33"/>
    </row>
    <row r="16441" spans="3:14" x14ac:dyDescent="0.3">
      <c r="C16441" s="54"/>
      <c r="N16441" s="33"/>
    </row>
    <row r="16442" spans="3:14" x14ac:dyDescent="0.3">
      <c r="C16442" s="54"/>
      <c r="N16442" s="33"/>
    </row>
    <row r="16443" spans="3:14" x14ac:dyDescent="0.3">
      <c r="C16443" s="54"/>
      <c r="N16443" s="33"/>
    </row>
    <row r="16444" spans="3:14" x14ac:dyDescent="0.3">
      <c r="C16444" s="54"/>
      <c r="N16444" s="33"/>
    </row>
    <row r="16445" spans="3:14" x14ac:dyDescent="0.3">
      <c r="C16445" s="54"/>
      <c r="N16445" s="33"/>
    </row>
    <row r="16446" spans="3:14" x14ac:dyDescent="0.3">
      <c r="C16446" s="54"/>
      <c r="N16446" s="33"/>
    </row>
    <row r="16447" spans="3:14" x14ac:dyDescent="0.3">
      <c r="C16447" s="54"/>
      <c r="N16447" s="33"/>
    </row>
    <row r="16448" spans="3:14" x14ac:dyDescent="0.3">
      <c r="C16448" s="54"/>
      <c r="N16448" s="33"/>
    </row>
    <row r="16449" spans="3:14" x14ac:dyDescent="0.3">
      <c r="C16449" s="54"/>
      <c r="N16449" s="33"/>
    </row>
    <row r="16450" spans="3:14" x14ac:dyDescent="0.3">
      <c r="C16450" s="54"/>
      <c r="N16450" s="33"/>
    </row>
    <row r="16451" spans="3:14" x14ac:dyDescent="0.3">
      <c r="C16451" s="54"/>
      <c r="N16451" s="33"/>
    </row>
    <row r="16452" spans="3:14" x14ac:dyDescent="0.3">
      <c r="C16452" s="54"/>
      <c r="N16452" s="33"/>
    </row>
    <row r="16453" spans="3:14" x14ac:dyDescent="0.3">
      <c r="C16453" s="54"/>
      <c r="N16453" s="33"/>
    </row>
    <row r="16454" spans="3:14" x14ac:dyDescent="0.3">
      <c r="C16454" s="54"/>
      <c r="N16454" s="33"/>
    </row>
    <row r="16455" spans="3:14" x14ac:dyDescent="0.3">
      <c r="C16455" s="54"/>
      <c r="N16455" s="33"/>
    </row>
    <row r="16456" spans="3:14" x14ac:dyDescent="0.3">
      <c r="C16456" s="54"/>
      <c r="N16456" s="33"/>
    </row>
    <row r="16457" spans="3:14" x14ac:dyDescent="0.3">
      <c r="C16457" s="54"/>
      <c r="N16457" s="33"/>
    </row>
    <row r="16458" spans="3:14" x14ac:dyDescent="0.3">
      <c r="C16458" s="54"/>
      <c r="N16458" s="33"/>
    </row>
    <row r="16459" spans="3:14" x14ac:dyDescent="0.3">
      <c r="C16459" s="54"/>
      <c r="N16459" s="33"/>
    </row>
    <row r="16460" spans="3:14" x14ac:dyDescent="0.3">
      <c r="C16460" s="54"/>
      <c r="N16460" s="33"/>
    </row>
    <row r="16461" spans="3:14" x14ac:dyDescent="0.3">
      <c r="C16461" s="54"/>
      <c r="N16461" s="33"/>
    </row>
    <row r="16462" spans="3:14" x14ac:dyDescent="0.3">
      <c r="C16462" s="54"/>
      <c r="N16462" s="33"/>
    </row>
    <row r="16463" spans="3:14" x14ac:dyDescent="0.3">
      <c r="C16463" s="54"/>
      <c r="N16463" s="33"/>
    </row>
    <row r="16464" spans="3:14" x14ac:dyDescent="0.3">
      <c r="C16464" s="54"/>
      <c r="N16464" s="33"/>
    </row>
    <row r="16465" spans="3:14" x14ac:dyDescent="0.3">
      <c r="C16465" s="54"/>
      <c r="N16465" s="33"/>
    </row>
    <row r="16466" spans="3:14" x14ac:dyDescent="0.3">
      <c r="C16466" s="54"/>
      <c r="N16466" s="33"/>
    </row>
    <row r="16467" spans="3:14" x14ac:dyDescent="0.3">
      <c r="C16467" s="54"/>
      <c r="N16467" s="33"/>
    </row>
    <row r="16468" spans="3:14" x14ac:dyDescent="0.3">
      <c r="C16468" s="54"/>
      <c r="N16468" s="33"/>
    </row>
    <row r="16469" spans="3:14" x14ac:dyDescent="0.3">
      <c r="C16469" s="54"/>
      <c r="N16469" s="33"/>
    </row>
    <row r="16470" spans="3:14" x14ac:dyDescent="0.3">
      <c r="C16470" s="54"/>
      <c r="N16470" s="33"/>
    </row>
    <row r="16471" spans="3:14" x14ac:dyDescent="0.3">
      <c r="C16471" s="54"/>
      <c r="N16471" s="33"/>
    </row>
    <row r="16472" spans="3:14" x14ac:dyDescent="0.3">
      <c r="C16472" s="54"/>
      <c r="N16472" s="33"/>
    </row>
    <row r="16473" spans="3:14" x14ac:dyDescent="0.3">
      <c r="C16473" s="54"/>
      <c r="N16473" s="33"/>
    </row>
    <row r="16474" spans="3:14" x14ac:dyDescent="0.3">
      <c r="C16474" s="54"/>
      <c r="N16474" s="33"/>
    </row>
    <row r="16475" spans="3:14" x14ac:dyDescent="0.3">
      <c r="C16475" s="54"/>
      <c r="N16475" s="33"/>
    </row>
    <row r="16476" spans="3:14" x14ac:dyDescent="0.3">
      <c r="C16476" s="54"/>
      <c r="N16476" s="33"/>
    </row>
    <row r="16477" spans="3:14" x14ac:dyDescent="0.3">
      <c r="C16477" s="54"/>
      <c r="N16477" s="33"/>
    </row>
    <row r="16478" spans="3:14" x14ac:dyDescent="0.3">
      <c r="C16478" s="54"/>
      <c r="N16478" s="33"/>
    </row>
    <row r="16479" spans="3:14" x14ac:dyDescent="0.3">
      <c r="C16479" s="54"/>
      <c r="N16479" s="33"/>
    </row>
    <row r="16480" spans="3:14" x14ac:dyDescent="0.3">
      <c r="C16480" s="54"/>
      <c r="N16480" s="33"/>
    </row>
    <row r="16481" spans="3:14" x14ac:dyDescent="0.3">
      <c r="C16481" s="54"/>
      <c r="N16481" s="33"/>
    </row>
    <row r="16482" spans="3:14" x14ac:dyDescent="0.3">
      <c r="C16482" s="54"/>
      <c r="N16482" s="33"/>
    </row>
    <row r="16483" spans="3:14" x14ac:dyDescent="0.3">
      <c r="C16483" s="54"/>
      <c r="N16483" s="33"/>
    </row>
    <row r="16484" spans="3:14" x14ac:dyDescent="0.3">
      <c r="C16484" s="54"/>
      <c r="N16484" s="33"/>
    </row>
    <row r="16485" spans="3:14" x14ac:dyDescent="0.3">
      <c r="C16485" s="54"/>
      <c r="N16485" s="33"/>
    </row>
    <row r="16486" spans="3:14" x14ac:dyDescent="0.3">
      <c r="C16486" s="54"/>
      <c r="N16486" s="33"/>
    </row>
    <row r="16487" spans="3:14" x14ac:dyDescent="0.3">
      <c r="C16487" s="54"/>
      <c r="N16487" s="33"/>
    </row>
    <row r="16488" spans="3:14" x14ac:dyDescent="0.3">
      <c r="C16488" s="54"/>
      <c r="N16488" s="33"/>
    </row>
    <row r="16489" spans="3:14" x14ac:dyDescent="0.3">
      <c r="C16489" s="54"/>
      <c r="N16489" s="33"/>
    </row>
    <row r="16490" spans="3:14" x14ac:dyDescent="0.3">
      <c r="C16490" s="54"/>
      <c r="N16490" s="33"/>
    </row>
    <row r="16491" spans="3:14" x14ac:dyDescent="0.3">
      <c r="C16491" s="54"/>
      <c r="N16491" s="33"/>
    </row>
    <row r="16492" spans="3:14" x14ac:dyDescent="0.3">
      <c r="C16492" s="54"/>
      <c r="N16492" s="33"/>
    </row>
    <row r="16493" spans="3:14" x14ac:dyDescent="0.3">
      <c r="C16493" s="54"/>
      <c r="N16493" s="33"/>
    </row>
    <row r="16494" spans="3:14" x14ac:dyDescent="0.3">
      <c r="C16494" s="54"/>
      <c r="N16494" s="33"/>
    </row>
    <row r="16495" spans="3:14" x14ac:dyDescent="0.3">
      <c r="C16495" s="54"/>
      <c r="N16495" s="33"/>
    </row>
    <row r="16496" spans="3:14" x14ac:dyDescent="0.3">
      <c r="C16496" s="54"/>
      <c r="N16496" s="33"/>
    </row>
    <row r="16497" spans="3:14" x14ac:dyDescent="0.3">
      <c r="C16497" s="54"/>
      <c r="N16497" s="33"/>
    </row>
    <row r="16498" spans="3:14" x14ac:dyDescent="0.3">
      <c r="C16498" s="54"/>
      <c r="N16498" s="33"/>
    </row>
    <row r="16499" spans="3:14" x14ac:dyDescent="0.3">
      <c r="C16499" s="54"/>
      <c r="N16499" s="33"/>
    </row>
    <row r="16500" spans="3:14" x14ac:dyDescent="0.3">
      <c r="C16500" s="54"/>
      <c r="N16500" s="33"/>
    </row>
    <row r="16501" spans="3:14" x14ac:dyDescent="0.3">
      <c r="C16501" s="54"/>
      <c r="N16501" s="33"/>
    </row>
    <row r="16502" spans="3:14" x14ac:dyDescent="0.3">
      <c r="C16502" s="54"/>
      <c r="N16502" s="33"/>
    </row>
    <row r="16503" spans="3:14" x14ac:dyDescent="0.3">
      <c r="C16503" s="54"/>
      <c r="N16503" s="33"/>
    </row>
    <row r="16504" spans="3:14" x14ac:dyDescent="0.3">
      <c r="C16504" s="54"/>
      <c r="N16504" s="33"/>
    </row>
    <row r="16505" spans="3:14" x14ac:dyDescent="0.3">
      <c r="C16505" s="54"/>
      <c r="N16505" s="33"/>
    </row>
    <row r="16506" spans="3:14" x14ac:dyDescent="0.3">
      <c r="C16506" s="54"/>
      <c r="N16506" s="33"/>
    </row>
    <row r="16507" spans="3:14" x14ac:dyDescent="0.3">
      <c r="C16507" s="54"/>
      <c r="N16507" s="33"/>
    </row>
    <row r="16508" spans="3:14" x14ac:dyDescent="0.3">
      <c r="C16508" s="54"/>
      <c r="N16508" s="33"/>
    </row>
    <row r="16509" spans="3:14" x14ac:dyDescent="0.3">
      <c r="C16509" s="54"/>
      <c r="N16509" s="33"/>
    </row>
    <row r="16510" spans="3:14" x14ac:dyDescent="0.3">
      <c r="C16510" s="54"/>
      <c r="N16510" s="33"/>
    </row>
    <row r="16511" spans="3:14" x14ac:dyDescent="0.3">
      <c r="C16511" s="54"/>
      <c r="N16511" s="33"/>
    </row>
    <row r="16512" spans="3:14" x14ac:dyDescent="0.3">
      <c r="C16512" s="54"/>
      <c r="N16512" s="33"/>
    </row>
    <row r="16513" spans="3:14" x14ac:dyDescent="0.3">
      <c r="C16513" s="54"/>
      <c r="N16513" s="33"/>
    </row>
    <row r="16514" spans="3:14" x14ac:dyDescent="0.3">
      <c r="C16514" s="54"/>
      <c r="N16514" s="33"/>
    </row>
    <row r="16515" spans="3:14" x14ac:dyDescent="0.3">
      <c r="C16515" s="54"/>
      <c r="N16515" s="33"/>
    </row>
    <row r="16516" spans="3:14" x14ac:dyDescent="0.3">
      <c r="C16516" s="54"/>
      <c r="N16516" s="33"/>
    </row>
    <row r="16517" spans="3:14" x14ac:dyDescent="0.3">
      <c r="C16517" s="54"/>
      <c r="N16517" s="33"/>
    </row>
    <row r="16518" spans="3:14" x14ac:dyDescent="0.3">
      <c r="C16518" s="54"/>
      <c r="N16518" s="33"/>
    </row>
    <row r="16519" spans="3:14" x14ac:dyDescent="0.3">
      <c r="C16519" s="54"/>
      <c r="N16519" s="33"/>
    </row>
    <row r="16520" spans="3:14" x14ac:dyDescent="0.3">
      <c r="C16520" s="54"/>
      <c r="N16520" s="33"/>
    </row>
    <row r="16521" spans="3:14" x14ac:dyDescent="0.3">
      <c r="C16521" s="54"/>
      <c r="N16521" s="33"/>
    </row>
    <row r="16522" spans="3:14" x14ac:dyDescent="0.3">
      <c r="C16522" s="54"/>
      <c r="N16522" s="33"/>
    </row>
    <row r="16523" spans="3:14" x14ac:dyDescent="0.3">
      <c r="C16523" s="54"/>
      <c r="N16523" s="33"/>
    </row>
    <row r="16524" spans="3:14" x14ac:dyDescent="0.3">
      <c r="C16524" s="54"/>
      <c r="N16524" s="33"/>
    </row>
    <row r="16525" spans="3:14" x14ac:dyDescent="0.3">
      <c r="C16525" s="54"/>
      <c r="N16525" s="33"/>
    </row>
    <row r="16526" spans="3:14" x14ac:dyDescent="0.3">
      <c r="C16526" s="54"/>
      <c r="N16526" s="33"/>
    </row>
    <row r="16527" spans="3:14" x14ac:dyDescent="0.3">
      <c r="C16527" s="54"/>
      <c r="N16527" s="33"/>
    </row>
    <row r="16528" spans="3:14" x14ac:dyDescent="0.3">
      <c r="C16528" s="54"/>
      <c r="N16528" s="33"/>
    </row>
    <row r="16529" spans="3:14" x14ac:dyDescent="0.3">
      <c r="C16529" s="54"/>
      <c r="N16529" s="33"/>
    </row>
    <row r="16530" spans="3:14" x14ac:dyDescent="0.3">
      <c r="C16530" s="54"/>
      <c r="N16530" s="33"/>
    </row>
    <row r="16531" spans="3:14" x14ac:dyDescent="0.3">
      <c r="C16531" s="54"/>
      <c r="N16531" s="33"/>
    </row>
    <row r="16532" spans="3:14" x14ac:dyDescent="0.3">
      <c r="C16532" s="54"/>
      <c r="N16532" s="33"/>
    </row>
    <row r="16533" spans="3:14" x14ac:dyDescent="0.3">
      <c r="C16533" s="54"/>
      <c r="N16533" s="33"/>
    </row>
    <row r="16534" spans="3:14" x14ac:dyDescent="0.3">
      <c r="C16534" s="54"/>
      <c r="N16534" s="33"/>
    </row>
    <row r="16535" spans="3:14" x14ac:dyDescent="0.3">
      <c r="C16535" s="54"/>
      <c r="N16535" s="33"/>
    </row>
    <row r="16536" spans="3:14" x14ac:dyDescent="0.3">
      <c r="C16536" s="54"/>
      <c r="N16536" s="33"/>
    </row>
    <row r="16537" spans="3:14" x14ac:dyDescent="0.3">
      <c r="C16537" s="54"/>
      <c r="N16537" s="33"/>
    </row>
    <row r="16538" spans="3:14" x14ac:dyDescent="0.3">
      <c r="C16538" s="54"/>
      <c r="N16538" s="33"/>
    </row>
    <row r="16539" spans="3:14" x14ac:dyDescent="0.3">
      <c r="C16539" s="54"/>
      <c r="N16539" s="33"/>
    </row>
    <row r="16540" spans="3:14" x14ac:dyDescent="0.3">
      <c r="C16540" s="54"/>
      <c r="N16540" s="33"/>
    </row>
    <row r="16541" spans="3:14" x14ac:dyDescent="0.3">
      <c r="C16541" s="54"/>
      <c r="N16541" s="33"/>
    </row>
    <row r="16542" spans="3:14" x14ac:dyDescent="0.3">
      <c r="C16542" s="54"/>
      <c r="N16542" s="33"/>
    </row>
    <row r="16543" spans="3:14" x14ac:dyDescent="0.3">
      <c r="C16543" s="54"/>
      <c r="N16543" s="33"/>
    </row>
    <row r="16544" spans="3:14" x14ac:dyDescent="0.3">
      <c r="C16544" s="54"/>
      <c r="N16544" s="33"/>
    </row>
    <row r="16545" spans="3:14" x14ac:dyDescent="0.3">
      <c r="C16545" s="54"/>
      <c r="N16545" s="33"/>
    </row>
    <row r="16546" spans="3:14" x14ac:dyDescent="0.3">
      <c r="C16546" s="54"/>
      <c r="N16546" s="33"/>
    </row>
    <row r="16547" spans="3:14" x14ac:dyDescent="0.3">
      <c r="C16547" s="54"/>
      <c r="N16547" s="33"/>
    </row>
    <row r="16548" spans="3:14" x14ac:dyDescent="0.3">
      <c r="C16548" s="54"/>
      <c r="N16548" s="33"/>
    </row>
    <row r="16549" spans="3:14" x14ac:dyDescent="0.3">
      <c r="C16549" s="54"/>
      <c r="N16549" s="33"/>
    </row>
    <row r="16550" spans="3:14" x14ac:dyDescent="0.3">
      <c r="C16550" s="54"/>
      <c r="N16550" s="33"/>
    </row>
    <row r="16551" spans="3:14" x14ac:dyDescent="0.3">
      <c r="C16551" s="54"/>
      <c r="N16551" s="33"/>
    </row>
    <row r="16552" spans="3:14" x14ac:dyDescent="0.3">
      <c r="C16552" s="54"/>
      <c r="N16552" s="33"/>
    </row>
    <row r="16553" spans="3:14" x14ac:dyDescent="0.3">
      <c r="C16553" s="54"/>
      <c r="N16553" s="33"/>
    </row>
    <row r="16554" spans="3:14" x14ac:dyDescent="0.3">
      <c r="C16554" s="54"/>
      <c r="N16554" s="33"/>
    </row>
    <row r="16555" spans="3:14" x14ac:dyDescent="0.3">
      <c r="C16555" s="54"/>
      <c r="N16555" s="33"/>
    </row>
    <row r="16556" spans="3:14" x14ac:dyDescent="0.3">
      <c r="C16556" s="54"/>
      <c r="N16556" s="33"/>
    </row>
    <row r="16557" spans="3:14" x14ac:dyDescent="0.3">
      <c r="C16557" s="54"/>
      <c r="N16557" s="33"/>
    </row>
    <row r="16558" spans="3:14" x14ac:dyDescent="0.3">
      <c r="C16558" s="54"/>
      <c r="N16558" s="33"/>
    </row>
    <row r="16559" spans="3:14" x14ac:dyDescent="0.3">
      <c r="C16559" s="54"/>
      <c r="N16559" s="33"/>
    </row>
    <row r="16560" spans="3:14" x14ac:dyDescent="0.3">
      <c r="C16560" s="54"/>
      <c r="N16560" s="33"/>
    </row>
    <row r="16561" spans="3:14" x14ac:dyDescent="0.3">
      <c r="C16561" s="54"/>
      <c r="N16561" s="33"/>
    </row>
    <row r="16562" spans="3:14" x14ac:dyDescent="0.3">
      <c r="C16562" s="54"/>
      <c r="N16562" s="33"/>
    </row>
    <row r="16563" spans="3:14" x14ac:dyDescent="0.3">
      <c r="C16563" s="54"/>
      <c r="N16563" s="33"/>
    </row>
    <row r="16564" spans="3:14" x14ac:dyDescent="0.3">
      <c r="C16564" s="54"/>
      <c r="N16564" s="33"/>
    </row>
    <row r="16565" spans="3:14" x14ac:dyDescent="0.3">
      <c r="C16565" s="54"/>
      <c r="N16565" s="33"/>
    </row>
    <row r="16566" spans="3:14" x14ac:dyDescent="0.3">
      <c r="C16566" s="54"/>
      <c r="N16566" s="33"/>
    </row>
    <row r="16567" spans="3:14" x14ac:dyDescent="0.3">
      <c r="C16567" s="54"/>
      <c r="N16567" s="33"/>
    </row>
    <row r="16568" spans="3:14" x14ac:dyDescent="0.3">
      <c r="C16568" s="54"/>
      <c r="N16568" s="33"/>
    </row>
    <row r="16569" spans="3:14" x14ac:dyDescent="0.3">
      <c r="C16569" s="54"/>
      <c r="N16569" s="33"/>
    </row>
    <row r="16570" spans="3:14" x14ac:dyDescent="0.3">
      <c r="C16570" s="54"/>
      <c r="N16570" s="33"/>
    </row>
    <row r="16571" spans="3:14" x14ac:dyDescent="0.3">
      <c r="C16571" s="54"/>
      <c r="N16571" s="33"/>
    </row>
    <row r="16572" spans="3:14" x14ac:dyDescent="0.3">
      <c r="C16572" s="54"/>
      <c r="N16572" s="33"/>
    </row>
    <row r="16573" spans="3:14" x14ac:dyDescent="0.3">
      <c r="C16573" s="54"/>
      <c r="N16573" s="33"/>
    </row>
    <row r="16574" spans="3:14" x14ac:dyDescent="0.3">
      <c r="C16574" s="54"/>
      <c r="N16574" s="33"/>
    </row>
    <row r="16575" spans="3:14" x14ac:dyDescent="0.3">
      <c r="C16575" s="54"/>
      <c r="N16575" s="33"/>
    </row>
    <row r="16576" spans="3:14" x14ac:dyDescent="0.3">
      <c r="C16576" s="54"/>
      <c r="N16576" s="33"/>
    </row>
    <row r="16577" spans="3:14" x14ac:dyDescent="0.3">
      <c r="C16577" s="54"/>
      <c r="N16577" s="33"/>
    </row>
    <row r="16578" spans="3:14" x14ac:dyDescent="0.3">
      <c r="C16578" s="54"/>
      <c r="N16578" s="33"/>
    </row>
    <row r="16579" spans="3:14" x14ac:dyDescent="0.3">
      <c r="C16579" s="54"/>
      <c r="N16579" s="33"/>
    </row>
    <row r="16580" spans="3:14" x14ac:dyDescent="0.3">
      <c r="C16580" s="54"/>
      <c r="N16580" s="33"/>
    </row>
    <row r="16581" spans="3:14" x14ac:dyDescent="0.3">
      <c r="C16581" s="54"/>
      <c r="N16581" s="33"/>
    </row>
    <row r="16582" spans="3:14" x14ac:dyDescent="0.3">
      <c r="C16582" s="54"/>
      <c r="N16582" s="33"/>
    </row>
    <row r="16583" spans="3:14" x14ac:dyDescent="0.3">
      <c r="C16583" s="54"/>
      <c r="N16583" s="33"/>
    </row>
    <row r="16584" spans="3:14" x14ac:dyDescent="0.3">
      <c r="C16584" s="54"/>
      <c r="N16584" s="33"/>
    </row>
    <row r="16585" spans="3:14" x14ac:dyDescent="0.3">
      <c r="C16585" s="54"/>
      <c r="N16585" s="33"/>
    </row>
    <row r="16586" spans="3:14" x14ac:dyDescent="0.3">
      <c r="C16586" s="54"/>
      <c r="N16586" s="33"/>
    </row>
    <row r="16587" spans="3:14" x14ac:dyDescent="0.3">
      <c r="C16587" s="54"/>
      <c r="N16587" s="33"/>
    </row>
    <row r="16588" spans="3:14" x14ac:dyDescent="0.3">
      <c r="C16588" s="54"/>
      <c r="N16588" s="33"/>
    </row>
    <row r="16589" spans="3:14" x14ac:dyDescent="0.3">
      <c r="C16589" s="54"/>
      <c r="N16589" s="33"/>
    </row>
    <row r="16590" spans="3:14" x14ac:dyDescent="0.3">
      <c r="C16590" s="54"/>
      <c r="N16590" s="33"/>
    </row>
    <row r="16591" spans="3:14" x14ac:dyDescent="0.3">
      <c r="C16591" s="54"/>
      <c r="N16591" s="33"/>
    </row>
    <row r="16592" spans="3:14" x14ac:dyDescent="0.3">
      <c r="C16592" s="54"/>
      <c r="N16592" s="33"/>
    </row>
    <row r="16593" spans="3:14" x14ac:dyDescent="0.3">
      <c r="C16593" s="54"/>
      <c r="N16593" s="33"/>
    </row>
    <row r="16594" spans="3:14" x14ac:dyDescent="0.3">
      <c r="C16594" s="54"/>
      <c r="N16594" s="33"/>
    </row>
    <row r="16595" spans="3:14" x14ac:dyDescent="0.3">
      <c r="C16595" s="54"/>
      <c r="N16595" s="33"/>
    </row>
    <row r="16596" spans="3:14" x14ac:dyDescent="0.3">
      <c r="C16596" s="54"/>
      <c r="N16596" s="33"/>
    </row>
    <row r="16597" spans="3:14" x14ac:dyDescent="0.3">
      <c r="C16597" s="54"/>
      <c r="N16597" s="33"/>
    </row>
    <row r="16598" spans="3:14" x14ac:dyDescent="0.3">
      <c r="C16598" s="54"/>
      <c r="N16598" s="33"/>
    </row>
    <row r="16599" spans="3:14" x14ac:dyDescent="0.3">
      <c r="C16599" s="54"/>
      <c r="N16599" s="33"/>
    </row>
    <row r="16600" spans="3:14" x14ac:dyDescent="0.3">
      <c r="C16600" s="54"/>
      <c r="N16600" s="33"/>
    </row>
    <row r="16601" spans="3:14" x14ac:dyDescent="0.3">
      <c r="C16601" s="54"/>
      <c r="N16601" s="33"/>
    </row>
    <row r="16602" spans="3:14" x14ac:dyDescent="0.3">
      <c r="C16602" s="54"/>
      <c r="N16602" s="33"/>
    </row>
    <row r="16603" spans="3:14" x14ac:dyDescent="0.3">
      <c r="C16603" s="54"/>
      <c r="N16603" s="33"/>
    </row>
    <row r="16604" spans="3:14" x14ac:dyDescent="0.3">
      <c r="C16604" s="54"/>
      <c r="N16604" s="33"/>
    </row>
    <row r="16605" spans="3:14" x14ac:dyDescent="0.3">
      <c r="C16605" s="54"/>
      <c r="N16605" s="33"/>
    </row>
    <row r="16606" spans="3:14" x14ac:dyDescent="0.3">
      <c r="C16606" s="54"/>
      <c r="N16606" s="33"/>
    </row>
    <row r="16607" spans="3:14" x14ac:dyDescent="0.3">
      <c r="C16607" s="54"/>
      <c r="N16607" s="33"/>
    </row>
    <row r="16608" spans="3:14" x14ac:dyDescent="0.3">
      <c r="C16608" s="54"/>
      <c r="N16608" s="33"/>
    </row>
    <row r="16609" spans="3:14" x14ac:dyDescent="0.3">
      <c r="C16609" s="54"/>
      <c r="N16609" s="33"/>
    </row>
    <row r="16610" spans="3:14" x14ac:dyDescent="0.3">
      <c r="C16610" s="54"/>
      <c r="N16610" s="33"/>
    </row>
    <row r="16611" spans="3:14" x14ac:dyDescent="0.3">
      <c r="C16611" s="54"/>
      <c r="N16611" s="33"/>
    </row>
    <row r="16612" spans="3:14" x14ac:dyDescent="0.3">
      <c r="C16612" s="54"/>
      <c r="N16612" s="33"/>
    </row>
    <row r="16613" spans="3:14" x14ac:dyDescent="0.3">
      <c r="C16613" s="54"/>
      <c r="N16613" s="33"/>
    </row>
    <row r="16614" spans="3:14" x14ac:dyDescent="0.3">
      <c r="C16614" s="54"/>
      <c r="N16614" s="33"/>
    </row>
    <row r="16615" spans="3:14" x14ac:dyDescent="0.3">
      <c r="C16615" s="54"/>
      <c r="N16615" s="33"/>
    </row>
    <row r="16616" spans="3:14" x14ac:dyDescent="0.3">
      <c r="C16616" s="54"/>
      <c r="N16616" s="33"/>
    </row>
    <row r="16617" spans="3:14" x14ac:dyDescent="0.3">
      <c r="C16617" s="54"/>
      <c r="N16617" s="33"/>
    </row>
    <row r="16618" spans="3:14" x14ac:dyDescent="0.3">
      <c r="C16618" s="54"/>
      <c r="N16618" s="33"/>
    </row>
    <row r="16619" spans="3:14" x14ac:dyDescent="0.3">
      <c r="C16619" s="54"/>
      <c r="N16619" s="33"/>
    </row>
    <row r="16620" spans="3:14" x14ac:dyDescent="0.3">
      <c r="C16620" s="54"/>
      <c r="N16620" s="33"/>
    </row>
    <row r="16621" spans="3:14" x14ac:dyDescent="0.3">
      <c r="C16621" s="54"/>
      <c r="N16621" s="33"/>
    </row>
    <row r="16622" spans="3:14" x14ac:dyDescent="0.3">
      <c r="C16622" s="54"/>
      <c r="N16622" s="33"/>
    </row>
    <row r="16623" spans="3:14" x14ac:dyDescent="0.3">
      <c r="C16623" s="54"/>
      <c r="N16623" s="33"/>
    </row>
    <row r="16624" spans="3:14" x14ac:dyDescent="0.3">
      <c r="C16624" s="54"/>
      <c r="N16624" s="33"/>
    </row>
    <row r="16625" spans="3:14" x14ac:dyDescent="0.3">
      <c r="C16625" s="54"/>
      <c r="N16625" s="33"/>
    </row>
    <row r="16626" spans="3:14" x14ac:dyDescent="0.3">
      <c r="C16626" s="54"/>
      <c r="N16626" s="33"/>
    </row>
    <row r="16627" spans="3:14" x14ac:dyDescent="0.3">
      <c r="C16627" s="54"/>
      <c r="N16627" s="33"/>
    </row>
    <row r="16628" spans="3:14" x14ac:dyDescent="0.3">
      <c r="C16628" s="54"/>
      <c r="N16628" s="33"/>
    </row>
    <row r="16629" spans="3:14" x14ac:dyDescent="0.3">
      <c r="C16629" s="54"/>
      <c r="N16629" s="33"/>
    </row>
    <row r="16630" spans="3:14" x14ac:dyDescent="0.3">
      <c r="C16630" s="54"/>
      <c r="N16630" s="33"/>
    </row>
    <row r="16631" spans="3:14" x14ac:dyDescent="0.3">
      <c r="C16631" s="54"/>
      <c r="N16631" s="33"/>
    </row>
    <row r="16632" spans="3:14" x14ac:dyDescent="0.3">
      <c r="C16632" s="54"/>
      <c r="N16632" s="33"/>
    </row>
    <row r="16633" spans="3:14" x14ac:dyDescent="0.3">
      <c r="C16633" s="54"/>
      <c r="N16633" s="33"/>
    </row>
    <row r="16634" spans="3:14" x14ac:dyDescent="0.3">
      <c r="C16634" s="54"/>
      <c r="N16634" s="33"/>
    </row>
    <row r="16635" spans="3:14" x14ac:dyDescent="0.3">
      <c r="C16635" s="54"/>
      <c r="N16635" s="33"/>
    </row>
    <row r="16636" spans="3:14" x14ac:dyDescent="0.3">
      <c r="C16636" s="54"/>
      <c r="N16636" s="33"/>
    </row>
    <row r="16637" spans="3:14" x14ac:dyDescent="0.3">
      <c r="C16637" s="54"/>
      <c r="N16637" s="33"/>
    </row>
    <row r="16638" spans="3:14" x14ac:dyDescent="0.3">
      <c r="C16638" s="54"/>
      <c r="N16638" s="33"/>
    </row>
    <row r="16639" spans="3:14" x14ac:dyDescent="0.3">
      <c r="C16639" s="54"/>
      <c r="N16639" s="33"/>
    </row>
    <row r="16640" spans="3:14" x14ac:dyDescent="0.3">
      <c r="C16640" s="54"/>
      <c r="N16640" s="33"/>
    </row>
    <row r="16641" spans="3:14" x14ac:dyDescent="0.3">
      <c r="C16641" s="54"/>
      <c r="N16641" s="33"/>
    </row>
    <row r="16642" spans="3:14" x14ac:dyDescent="0.3">
      <c r="C16642" s="54"/>
      <c r="N16642" s="33"/>
    </row>
    <row r="16643" spans="3:14" x14ac:dyDescent="0.3">
      <c r="C16643" s="54"/>
      <c r="N16643" s="33"/>
    </row>
    <row r="16644" spans="3:14" x14ac:dyDescent="0.3">
      <c r="C16644" s="54"/>
      <c r="N16644" s="33"/>
    </row>
    <row r="16645" spans="3:14" x14ac:dyDescent="0.3">
      <c r="C16645" s="54"/>
      <c r="N16645" s="33"/>
    </row>
    <row r="16646" spans="3:14" x14ac:dyDescent="0.3">
      <c r="C16646" s="54"/>
      <c r="N16646" s="33"/>
    </row>
    <row r="16647" spans="3:14" x14ac:dyDescent="0.3">
      <c r="C16647" s="54"/>
      <c r="N16647" s="33"/>
    </row>
    <row r="16648" spans="3:14" x14ac:dyDescent="0.3">
      <c r="C16648" s="54"/>
      <c r="N16648" s="33"/>
    </row>
    <row r="16649" spans="3:14" x14ac:dyDescent="0.3">
      <c r="C16649" s="54"/>
      <c r="N16649" s="33"/>
    </row>
    <row r="16650" spans="3:14" x14ac:dyDescent="0.3">
      <c r="C16650" s="54"/>
      <c r="N16650" s="33"/>
    </row>
    <row r="16651" spans="3:14" x14ac:dyDescent="0.3">
      <c r="C16651" s="54"/>
      <c r="N16651" s="33"/>
    </row>
    <row r="16652" spans="3:14" x14ac:dyDescent="0.3">
      <c r="C16652" s="54"/>
      <c r="N16652" s="33"/>
    </row>
    <row r="16653" spans="3:14" x14ac:dyDescent="0.3">
      <c r="C16653" s="54"/>
      <c r="N16653" s="33"/>
    </row>
    <row r="16654" spans="3:14" x14ac:dyDescent="0.3">
      <c r="C16654" s="54"/>
      <c r="N16654" s="33"/>
    </row>
    <row r="16655" spans="3:14" x14ac:dyDescent="0.3">
      <c r="C16655" s="54"/>
      <c r="N16655" s="33"/>
    </row>
    <row r="16656" spans="3:14" x14ac:dyDescent="0.3">
      <c r="C16656" s="54"/>
      <c r="N16656" s="33"/>
    </row>
    <row r="16657" spans="3:14" x14ac:dyDescent="0.3">
      <c r="C16657" s="54"/>
      <c r="N16657" s="33"/>
    </row>
    <row r="16658" spans="3:14" x14ac:dyDescent="0.3">
      <c r="C16658" s="54"/>
      <c r="N16658" s="33"/>
    </row>
    <row r="16659" spans="3:14" x14ac:dyDescent="0.3">
      <c r="C16659" s="54"/>
      <c r="N16659" s="33"/>
    </row>
    <row r="16660" spans="3:14" x14ac:dyDescent="0.3">
      <c r="C16660" s="54"/>
      <c r="N16660" s="33"/>
    </row>
    <row r="16661" spans="3:14" x14ac:dyDescent="0.3">
      <c r="C16661" s="54"/>
      <c r="N16661" s="33"/>
    </row>
    <row r="16662" spans="3:14" x14ac:dyDescent="0.3">
      <c r="C16662" s="54"/>
      <c r="N16662" s="33"/>
    </row>
    <row r="16663" spans="3:14" x14ac:dyDescent="0.3">
      <c r="C16663" s="54"/>
      <c r="N16663" s="33"/>
    </row>
    <row r="16664" spans="3:14" x14ac:dyDescent="0.3">
      <c r="C16664" s="54"/>
      <c r="N16664" s="33"/>
    </row>
    <row r="16665" spans="3:14" x14ac:dyDescent="0.3">
      <c r="C16665" s="54"/>
      <c r="N16665" s="33"/>
    </row>
    <row r="16666" spans="3:14" x14ac:dyDescent="0.3">
      <c r="C16666" s="54"/>
      <c r="N16666" s="33"/>
    </row>
    <row r="16667" spans="3:14" x14ac:dyDescent="0.3">
      <c r="C16667" s="54"/>
      <c r="N16667" s="33"/>
    </row>
    <row r="16668" spans="3:14" x14ac:dyDescent="0.3">
      <c r="C16668" s="54"/>
      <c r="N16668" s="33"/>
    </row>
    <row r="16669" spans="3:14" x14ac:dyDescent="0.3">
      <c r="C16669" s="54"/>
      <c r="N16669" s="33"/>
    </row>
    <row r="16670" spans="3:14" x14ac:dyDescent="0.3">
      <c r="C16670" s="54"/>
      <c r="N16670" s="33"/>
    </row>
    <row r="16671" spans="3:14" x14ac:dyDescent="0.3">
      <c r="C16671" s="54"/>
      <c r="N16671" s="33"/>
    </row>
    <row r="16672" spans="3:14" x14ac:dyDescent="0.3">
      <c r="C16672" s="54"/>
      <c r="N16672" s="33"/>
    </row>
    <row r="16673" spans="3:14" x14ac:dyDescent="0.3">
      <c r="C16673" s="54"/>
      <c r="N16673" s="33"/>
    </row>
    <row r="16674" spans="3:14" x14ac:dyDescent="0.3">
      <c r="C16674" s="54"/>
      <c r="N16674" s="33"/>
    </row>
    <row r="16675" spans="3:14" x14ac:dyDescent="0.3">
      <c r="C16675" s="54"/>
      <c r="N16675" s="33"/>
    </row>
    <row r="16676" spans="3:14" x14ac:dyDescent="0.3">
      <c r="C16676" s="54"/>
      <c r="N16676" s="33"/>
    </row>
    <row r="16677" spans="3:14" x14ac:dyDescent="0.3">
      <c r="C16677" s="54"/>
      <c r="N16677" s="33"/>
    </row>
    <row r="16678" spans="3:14" x14ac:dyDescent="0.3">
      <c r="C16678" s="54"/>
      <c r="N16678" s="33"/>
    </row>
    <row r="16679" spans="3:14" x14ac:dyDescent="0.3">
      <c r="C16679" s="54"/>
      <c r="N16679" s="33"/>
    </row>
    <row r="16680" spans="3:14" x14ac:dyDescent="0.3">
      <c r="C16680" s="54"/>
      <c r="N16680" s="33"/>
    </row>
    <row r="16681" spans="3:14" x14ac:dyDescent="0.3">
      <c r="C16681" s="54"/>
      <c r="N16681" s="33"/>
    </row>
    <row r="16682" spans="3:14" x14ac:dyDescent="0.3">
      <c r="C16682" s="54"/>
      <c r="N16682" s="33"/>
    </row>
    <row r="16683" spans="3:14" x14ac:dyDescent="0.3">
      <c r="C16683" s="54"/>
      <c r="N16683" s="33"/>
    </row>
    <row r="16684" spans="3:14" x14ac:dyDescent="0.3">
      <c r="C16684" s="54"/>
      <c r="N16684" s="33"/>
    </row>
    <row r="16685" spans="3:14" x14ac:dyDescent="0.3">
      <c r="C16685" s="54"/>
      <c r="N16685" s="33"/>
    </row>
    <row r="16686" spans="3:14" x14ac:dyDescent="0.3">
      <c r="C16686" s="54"/>
      <c r="N16686" s="33"/>
    </row>
    <row r="16687" spans="3:14" x14ac:dyDescent="0.3">
      <c r="C16687" s="54"/>
      <c r="N16687" s="33"/>
    </row>
    <row r="16688" spans="3:14" x14ac:dyDescent="0.3">
      <c r="C16688" s="54"/>
      <c r="N16688" s="33"/>
    </row>
    <row r="16689" spans="3:14" x14ac:dyDescent="0.3">
      <c r="C16689" s="54"/>
      <c r="N16689" s="33"/>
    </row>
    <row r="16690" spans="3:14" x14ac:dyDescent="0.3">
      <c r="C16690" s="54"/>
      <c r="N16690" s="33"/>
    </row>
    <row r="16691" spans="3:14" x14ac:dyDescent="0.3">
      <c r="C16691" s="54"/>
      <c r="N16691" s="33"/>
    </row>
    <row r="16692" spans="3:14" x14ac:dyDescent="0.3">
      <c r="C16692" s="54"/>
      <c r="N16692" s="33"/>
    </row>
    <row r="16693" spans="3:14" x14ac:dyDescent="0.3">
      <c r="C16693" s="54"/>
      <c r="N16693" s="33"/>
    </row>
    <row r="16694" spans="3:14" x14ac:dyDescent="0.3">
      <c r="C16694" s="54"/>
      <c r="N16694" s="33"/>
    </row>
    <row r="16695" spans="3:14" x14ac:dyDescent="0.3">
      <c r="C16695" s="54"/>
      <c r="N16695" s="33"/>
    </row>
    <row r="16696" spans="3:14" x14ac:dyDescent="0.3">
      <c r="C16696" s="54"/>
      <c r="N16696" s="33"/>
    </row>
    <row r="16697" spans="3:14" x14ac:dyDescent="0.3">
      <c r="C16697" s="54"/>
      <c r="N16697" s="33"/>
    </row>
    <row r="16698" spans="3:14" x14ac:dyDescent="0.3">
      <c r="C16698" s="54"/>
      <c r="N16698" s="33"/>
    </row>
    <row r="16699" spans="3:14" x14ac:dyDescent="0.3">
      <c r="C16699" s="54"/>
      <c r="N16699" s="33"/>
    </row>
    <row r="16700" spans="3:14" x14ac:dyDescent="0.3">
      <c r="C16700" s="54"/>
      <c r="N16700" s="33"/>
    </row>
    <row r="16701" spans="3:14" x14ac:dyDescent="0.3">
      <c r="C16701" s="54"/>
      <c r="N16701" s="33"/>
    </row>
    <row r="16702" spans="3:14" x14ac:dyDescent="0.3">
      <c r="C16702" s="54"/>
      <c r="N16702" s="33"/>
    </row>
    <row r="16703" spans="3:14" x14ac:dyDescent="0.3">
      <c r="C16703" s="54"/>
      <c r="N16703" s="33"/>
    </row>
    <row r="16704" spans="3:14" x14ac:dyDescent="0.3">
      <c r="C16704" s="54"/>
      <c r="N16704" s="33"/>
    </row>
    <row r="16705" spans="3:14" x14ac:dyDescent="0.3">
      <c r="C16705" s="54"/>
      <c r="N16705" s="33"/>
    </row>
    <row r="16706" spans="3:14" x14ac:dyDescent="0.3">
      <c r="C16706" s="54"/>
      <c r="N16706" s="33"/>
    </row>
    <row r="16707" spans="3:14" x14ac:dyDescent="0.3">
      <c r="C16707" s="54"/>
      <c r="N16707" s="33"/>
    </row>
    <row r="16708" spans="3:14" x14ac:dyDescent="0.3">
      <c r="C16708" s="54"/>
      <c r="N16708" s="33"/>
    </row>
    <row r="16709" spans="3:14" x14ac:dyDescent="0.3">
      <c r="C16709" s="54"/>
      <c r="N16709" s="33"/>
    </row>
    <row r="16710" spans="3:14" x14ac:dyDescent="0.3">
      <c r="C16710" s="54"/>
      <c r="N16710" s="33"/>
    </row>
    <row r="16711" spans="3:14" x14ac:dyDescent="0.3">
      <c r="C16711" s="54"/>
      <c r="N16711" s="33"/>
    </row>
    <row r="16712" spans="3:14" x14ac:dyDescent="0.3">
      <c r="C16712" s="54"/>
      <c r="N16712" s="33"/>
    </row>
    <row r="16713" spans="3:14" x14ac:dyDescent="0.3">
      <c r="C16713" s="54"/>
      <c r="N16713" s="33"/>
    </row>
    <row r="16714" spans="3:14" x14ac:dyDescent="0.3">
      <c r="C16714" s="54"/>
      <c r="N16714" s="33"/>
    </row>
    <row r="16715" spans="3:14" x14ac:dyDescent="0.3">
      <c r="C16715" s="54"/>
      <c r="N16715" s="33"/>
    </row>
    <row r="16716" spans="3:14" x14ac:dyDescent="0.3">
      <c r="C16716" s="54"/>
      <c r="N16716" s="33"/>
    </row>
    <row r="16717" spans="3:14" x14ac:dyDescent="0.3">
      <c r="C16717" s="54"/>
      <c r="N16717" s="33"/>
    </row>
    <row r="16718" spans="3:14" x14ac:dyDescent="0.3">
      <c r="C16718" s="54"/>
      <c r="N16718" s="33"/>
    </row>
    <row r="16719" spans="3:14" x14ac:dyDescent="0.3">
      <c r="C16719" s="54"/>
      <c r="N16719" s="33"/>
    </row>
    <row r="16720" spans="3:14" x14ac:dyDescent="0.3">
      <c r="C16720" s="54"/>
      <c r="N16720" s="33"/>
    </row>
    <row r="16721" spans="3:14" x14ac:dyDescent="0.3">
      <c r="C16721" s="54"/>
      <c r="N16721" s="33"/>
    </row>
    <row r="16722" spans="3:14" x14ac:dyDescent="0.3">
      <c r="C16722" s="54"/>
      <c r="N16722" s="33"/>
    </row>
    <row r="16723" spans="3:14" x14ac:dyDescent="0.3">
      <c r="C16723" s="54"/>
      <c r="N16723" s="33"/>
    </row>
    <row r="16724" spans="3:14" x14ac:dyDescent="0.3">
      <c r="C16724" s="54"/>
      <c r="N16724" s="33"/>
    </row>
    <row r="16725" spans="3:14" x14ac:dyDescent="0.3">
      <c r="C16725" s="54"/>
      <c r="N16725" s="33"/>
    </row>
    <row r="16726" spans="3:14" x14ac:dyDescent="0.3">
      <c r="C16726" s="54"/>
      <c r="N16726" s="33"/>
    </row>
    <row r="16727" spans="3:14" x14ac:dyDescent="0.3">
      <c r="C16727" s="54"/>
      <c r="N16727" s="33"/>
    </row>
    <row r="16728" spans="3:14" x14ac:dyDescent="0.3">
      <c r="C16728" s="54"/>
      <c r="N16728" s="33"/>
    </row>
    <row r="16729" spans="3:14" x14ac:dyDescent="0.3">
      <c r="C16729" s="54"/>
      <c r="N16729" s="33"/>
    </row>
    <row r="16730" spans="3:14" x14ac:dyDescent="0.3">
      <c r="C16730" s="54"/>
      <c r="N16730" s="33"/>
    </row>
    <row r="16731" spans="3:14" x14ac:dyDescent="0.3">
      <c r="C16731" s="54"/>
      <c r="N16731" s="33"/>
    </row>
    <row r="16732" spans="3:14" x14ac:dyDescent="0.3">
      <c r="C16732" s="54"/>
      <c r="N16732" s="33"/>
    </row>
    <row r="16733" spans="3:14" x14ac:dyDescent="0.3">
      <c r="C16733" s="54"/>
      <c r="N16733" s="33"/>
    </row>
    <row r="16734" spans="3:14" x14ac:dyDescent="0.3">
      <c r="C16734" s="54"/>
      <c r="N16734" s="33"/>
    </row>
    <row r="16735" spans="3:14" x14ac:dyDescent="0.3">
      <c r="C16735" s="54"/>
      <c r="N16735" s="33"/>
    </row>
    <row r="16736" spans="3:14" x14ac:dyDescent="0.3">
      <c r="C16736" s="54"/>
      <c r="N16736" s="33"/>
    </row>
    <row r="16737" spans="3:14" x14ac:dyDescent="0.3">
      <c r="C16737" s="54"/>
      <c r="N16737" s="33"/>
    </row>
    <row r="16738" spans="3:14" x14ac:dyDescent="0.3">
      <c r="C16738" s="54"/>
      <c r="N16738" s="33"/>
    </row>
    <row r="16739" spans="3:14" x14ac:dyDescent="0.3">
      <c r="C16739" s="54"/>
      <c r="N16739" s="33"/>
    </row>
    <row r="16740" spans="3:14" x14ac:dyDescent="0.3">
      <c r="C16740" s="54"/>
      <c r="N16740" s="33"/>
    </row>
    <row r="16741" spans="3:14" x14ac:dyDescent="0.3">
      <c r="C16741" s="54"/>
      <c r="N16741" s="33"/>
    </row>
    <row r="16742" spans="3:14" x14ac:dyDescent="0.3">
      <c r="C16742" s="54"/>
      <c r="N16742" s="33"/>
    </row>
    <row r="16743" spans="3:14" x14ac:dyDescent="0.3">
      <c r="C16743" s="54"/>
      <c r="N16743" s="33"/>
    </row>
    <row r="16744" spans="3:14" x14ac:dyDescent="0.3">
      <c r="C16744" s="54"/>
      <c r="N16744" s="33"/>
    </row>
    <row r="16745" spans="3:14" x14ac:dyDescent="0.3">
      <c r="C16745" s="54"/>
      <c r="N16745" s="33"/>
    </row>
    <row r="16746" spans="3:14" x14ac:dyDescent="0.3">
      <c r="C16746" s="54"/>
      <c r="N16746" s="33"/>
    </row>
    <row r="16747" spans="3:14" x14ac:dyDescent="0.3">
      <c r="C16747" s="54"/>
      <c r="N16747" s="33"/>
    </row>
    <row r="16748" spans="3:14" x14ac:dyDescent="0.3">
      <c r="C16748" s="54"/>
      <c r="N16748" s="33"/>
    </row>
    <row r="16749" spans="3:14" x14ac:dyDescent="0.3">
      <c r="C16749" s="54"/>
      <c r="N16749" s="33"/>
    </row>
    <row r="16750" spans="3:14" x14ac:dyDescent="0.3">
      <c r="C16750" s="54"/>
      <c r="N16750" s="33"/>
    </row>
    <row r="16751" spans="3:14" x14ac:dyDescent="0.3">
      <c r="C16751" s="54"/>
      <c r="N16751" s="33"/>
    </row>
    <row r="16752" spans="3:14" x14ac:dyDescent="0.3">
      <c r="C16752" s="54"/>
      <c r="N16752" s="33"/>
    </row>
    <row r="16753" spans="3:14" x14ac:dyDescent="0.3">
      <c r="C16753" s="54"/>
      <c r="N16753" s="33"/>
    </row>
    <row r="16754" spans="3:14" x14ac:dyDescent="0.3">
      <c r="C16754" s="54"/>
      <c r="N16754" s="33"/>
    </row>
    <row r="16755" spans="3:14" x14ac:dyDescent="0.3">
      <c r="C16755" s="54"/>
      <c r="N16755" s="33"/>
    </row>
    <row r="16756" spans="3:14" x14ac:dyDescent="0.3">
      <c r="C16756" s="54"/>
      <c r="N16756" s="33"/>
    </row>
    <row r="16757" spans="3:14" x14ac:dyDescent="0.3">
      <c r="C16757" s="54"/>
      <c r="N16757" s="33"/>
    </row>
    <row r="16758" spans="3:14" x14ac:dyDescent="0.3">
      <c r="C16758" s="54"/>
      <c r="N16758" s="33"/>
    </row>
    <row r="16759" spans="3:14" x14ac:dyDescent="0.3">
      <c r="C16759" s="54"/>
      <c r="N16759" s="33"/>
    </row>
    <row r="16760" spans="3:14" x14ac:dyDescent="0.3">
      <c r="C16760" s="54"/>
      <c r="N16760" s="33"/>
    </row>
    <row r="16761" spans="3:14" x14ac:dyDescent="0.3">
      <c r="C16761" s="54"/>
      <c r="N16761" s="33"/>
    </row>
    <row r="16762" spans="3:14" x14ac:dyDescent="0.3">
      <c r="C16762" s="54"/>
      <c r="N16762" s="33"/>
    </row>
    <row r="16763" spans="3:14" x14ac:dyDescent="0.3">
      <c r="C16763" s="54"/>
      <c r="N16763" s="33"/>
    </row>
    <row r="16764" spans="3:14" x14ac:dyDescent="0.3">
      <c r="C16764" s="54"/>
      <c r="N16764" s="33"/>
    </row>
    <row r="16765" spans="3:14" x14ac:dyDescent="0.3">
      <c r="C16765" s="54"/>
      <c r="N16765" s="33"/>
    </row>
    <row r="16766" spans="3:14" x14ac:dyDescent="0.3">
      <c r="C16766" s="54"/>
      <c r="N16766" s="33"/>
    </row>
    <row r="16767" spans="3:14" x14ac:dyDescent="0.3">
      <c r="C16767" s="54"/>
      <c r="N16767" s="33"/>
    </row>
    <row r="16768" spans="3:14" x14ac:dyDescent="0.3">
      <c r="C16768" s="54"/>
      <c r="N16768" s="33"/>
    </row>
    <row r="16769" spans="3:14" x14ac:dyDescent="0.3">
      <c r="C16769" s="54"/>
      <c r="N16769" s="33"/>
    </row>
    <row r="16770" spans="3:14" x14ac:dyDescent="0.3">
      <c r="C16770" s="54"/>
      <c r="N16770" s="33"/>
    </row>
    <row r="16771" spans="3:14" x14ac:dyDescent="0.3">
      <c r="C16771" s="54"/>
      <c r="N16771" s="33"/>
    </row>
    <row r="16772" spans="3:14" x14ac:dyDescent="0.3">
      <c r="C16772" s="54"/>
      <c r="N16772" s="33"/>
    </row>
    <row r="16773" spans="3:14" x14ac:dyDescent="0.3">
      <c r="C16773" s="54"/>
      <c r="N16773" s="33"/>
    </row>
    <row r="16774" spans="3:14" x14ac:dyDescent="0.3">
      <c r="C16774" s="54"/>
      <c r="N16774" s="33"/>
    </row>
    <row r="16775" spans="3:14" x14ac:dyDescent="0.3">
      <c r="C16775" s="54"/>
      <c r="N16775" s="33"/>
    </row>
    <row r="16776" spans="3:14" x14ac:dyDescent="0.3">
      <c r="C16776" s="54"/>
      <c r="N16776" s="33"/>
    </row>
    <row r="16777" spans="3:14" x14ac:dyDescent="0.3">
      <c r="C16777" s="54"/>
      <c r="N16777" s="33"/>
    </row>
    <row r="16778" spans="3:14" x14ac:dyDescent="0.3">
      <c r="C16778" s="54"/>
      <c r="N16778" s="33"/>
    </row>
    <row r="16779" spans="3:14" x14ac:dyDescent="0.3">
      <c r="C16779" s="54"/>
      <c r="N16779" s="33"/>
    </row>
    <row r="16780" spans="3:14" x14ac:dyDescent="0.3">
      <c r="C16780" s="54"/>
      <c r="N16780" s="33"/>
    </row>
    <row r="16781" spans="3:14" x14ac:dyDescent="0.3">
      <c r="C16781" s="54"/>
      <c r="N16781" s="33"/>
    </row>
    <row r="16782" spans="3:14" x14ac:dyDescent="0.3">
      <c r="C16782" s="54"/>
      <c r="N16782" s="33"/>
    </row>
    <row r="16783" spans="3:14" x14ac:dyDescent="0.3">
      <c r="C16783" s="54"/>
      <c r="N16783" s="33"/>
    </row>
    <row r="16784" spans="3:14" x14ac:dyDescent="0.3">
      <c r="C16784" s="54"/>
      <c r="N16784" s="33"/>
    </row>
    <row r="16785" spans="3:14" x14ac:dyDescent="0.3">
      <c r="C16785" s="54"/>
      <c r="N16785" s="33"/>
    </row>
    <row r="16786" spans="3:14" x14ac:dyDescent="0.3">
      <c r="C16786" s="54"/>
      <c r="N16786" s="33"/>
    </row>
    <row r="16787" spans="3:14" x14ac:dyDescent="0.3">
      <c r="C16787" s="54"/>
      <c r="N16787" s="33"/>
    </row>
    <row r="16788" spans="3:14" x14ac:dyDescent="0.3">
      <c r="C16788" s="54"/>
      <c r="N16788" s="33"/>
    </row>
    <row r="16789" spans="3:14" x14ac:dyDescent="0.3">
      <c r="C16789" s="54"/>
      <c r="N16789" s="33"/>
    </row>
    <row r="16790" spans="3:14" x14ac:dyDescent="0.3">
      <c r="C16790" s="54"/>
      <c r="N16790" s="33"/>
    </row>
    <row r="16791" spans="3:14" x14ac:dyDescent="0.3">
      <c r="C16791" s="54"/>
      <c r="N16791" s="33"/>
    </row>
    <row r="16792" spans="3:14" x14ac:dyDescent="0.3">
      <c r="C16792" s="54"/>
      <c r="N16792" s="33"/>
    </row>
    <row r="16793" spans="3:14" x14ac:dyDescent="0.3">
      <c r="C16793" s="54"/>
      <c r="N16793" s="33"/>
    </row>
    <row r="16794" spans="3:14" x14ac:dyDescent="0.3">
      <c r="C16794" s="54"/>
      <c r="N16794" s="33"/>
    </row>
    <row r="16795" spans="3:14" x14ac:dyDescent="0.3">
      <c r="C16795" s="54"/>
      <c r="N16795" s="33"/>
    </row>
    <row r="16796" spans="3:14" x14ac:dyDescent="0.3">
      <c r="C16796" s="54"/>
      <c r="N16796" s="33"/>
    </row>
    <row r="16797" spans="3:14" x14ac:dyDescent="0.3">
      <c r="C16797" s="54"/>
      <c r="N16797" s="33"/>
    </row>
    <row r="16798" spans="3:14" x14ac:dyDescent="0.3">
      <c r="C16798" s="54"/>
      <c r="N16798" s="33"/>
    </row>
    <row r="16799" spans="3:14" x14ac:dyDescent="0.3">
      <c r="C16799" s="54"/>
      <c r="N16799" s="33"/>
    </row>
    <row r="16800" spans="3:14" x14ac:dyDescent="0.3">
      <c r="C16800" s="54"/>
      <c r="N16800" s="33"/>
    </row>
    <row r="16801" spans="3:14" x14ac:dyDescent="0.3">
      <c r="C16801" s="54"/>
      <c r="N16801" s="33"/>
    </row>
    <row r="16802" spans="3:14" x14ac:dyDescent="0.3">
      <c r="C16802" s="54"/>
      <c r="N16802" s="33"/>
    </row>
    <row r="16803" spans="3:14" x14ac:dyDescent="0.3">
      <c r="C16803" s="54"/>
      <c r="N16803" s="33"/>
    </row>
    <row r="16804" spans="3:14" x14ac:dyDescent="0.3">
      <c r="C16804" s="54"/>
      <c r="N16804" s="33"/>
    </row>
    <row r="16805" spans="3:14" x14ac:dyDescent="0.3">
      <c r="C16805" s="54"/>
      <c r="N16805" s="33"/>
    </row>
    <row r="16806" spans="3:14" x14ac:dyDescent="0.3">
      <c r="C16806" s="54"/>
      <c r="N16806" s="33"/>
    </row>
    <row r="16807" spans="3:14" x14ac:dyDescent="0.3">
      <c r="C16807" s="54"/>
      <c r="N16807" s="33"/>
    </row>
    <row r="16808" spans="3:14" x14ac:dyDescent="0.3">
      <c r="C16808" s="54"/>
      <c r="N16808" s="33"/>
    </row>
    <row r="16809" spans="3:14" x14ac:dyDescent="0.3">
      <c r="C16809" s="54"/>
      <c r="N16809" s="33"/>
    </row>
    <row r="16810" spans="3:14" x14ac:dyDescent="0.3">
      <c r="C16810" s="54"/>
      <c r="N16810" s="33"/>
    </row>
    <row r="16811" spans="3:14" x14ac:dyDescent="0.3">
      <c r="C16811" s="54"/>
      <c r="N16811" s="33"/>
    </row>
    <row r="16812" spans="3:14" x14ac:dyDescent="0.3">
      <c r="C16812" s="54"/>
      <c r="N16812" s="33"/>
    </row>
    <row r="16813" spans="3:14" x14ac:dyDescent="0.3">
      <c r="C16813" s="54"/>
      <c r="N16813" s="33"/>
    </row>
    <row r="16814" spans="3:14" x14ac:dyDescent="0.3">
      <c r="C16814" s="54"/>
      <c r="N16814" s="33"/>
    </row>
    <row r="16815" spans="3:14" x14ac:dyDescent="0.3">
      <c r="C16815" s="54"/>
      <c r="N16815" s="33"/>
    </row>
    <row r="16816" spans="3:14" x14ac:dyDescent="0.3">
      <c r="C16816" s="54"/>
      <c r="N16816" s="33"/>
    </row>
    <row r="16817" spans="3:14" x14ac:dyDescent="0.3">
      <c r="C16817" s="54"/>
      <c r="N16817" s="33"/>
    </row>
    <row r="16818" spans="3:14" x14ac:dyDescent="0.3">
      <c r="C16818" s="54"/>
      <c r="N16818" s="33"/>
    </row>
    <row r="16819" spans="3:14" x14ac:dyDescent="0.3">
      <c r="C16819" s="54"/>
      <c r="N16819" s="33"/>
    </row>
    <row r="16820" spans="3:14" x14ac:dyDescent="0.3">
      <c r="C16820" s="54"/>
      <c r="N16820" s="33"/>
    </row>
    <row r="16821" spans="3:14" x14ac:dyDescent="0.3">
      <c r="C16821" s="54"/>
      <c r="N16821" s="33"/>
    </row>
    <row r="16822" spans="3:14" x14ac:dyDescent="0.3">
      <c r="C16822" s="54"/>
      <c r="N16822" s="33"/>
    </row>
    <row r="16823" spans="3:14" x14ac:dyDescent="0.3">
      <c r="C16823" s="54"/>
      <c r="N16823" s="33"/>
    </row>
    <row r="16824" spans="3:14" x14ac:dyDescent="0.3">
      <c r="C16824" s="54"/>
      <c r="N16824" s="33"/>
    </row>
    <row r="16825" spans="3:14" x14ac:dyDescent="0.3">
      <c r="C16825" s="54"/>
      <c r="N16825" s="33"/>
    </row>
    <row r="16826" spans="3:14" x14ac:dyDescent="0.3">
      <c r="C16826" s="54"/>
      <c r="N16826" s="33"/>
    </row>
    <row r="16827" spans="3:14" x14ac:dyDescent="0.3">
      <c r="C16827" s="54"/>
      <c r="N16827" s="33"/>
    </row>
    <row r="16828" spans="3:14" x14ac:dyDescent="0.3">
      <c r="C16828" s="54"/>
      <c r="N16828" s="33"/>
    </row>
    <row r="16829" spans="3:14" x14ac:dyDescent="0.3">
      <c r="C16829" s="54"/>
      <c r="N16829" s="33"/>
    </row>
    <row r="16830" spans="3:14" x14ac:dyDescent="0.3">
      <c r="C16830" s="54"/>
      <c r="N16830" s="33"/>
    </row>
    <row r="16831" spans="3:14" x14ac:dyDescent="0.3">
      <c r="C16831" s="54"/>
      <c r="N16831" s="33"/>
    </row>
    <row r="16832" spans="3:14" x14ac:dyDescent="0.3">
      <c r="C16832" s="54"/>
      <c r="N16832" s="33"/>
    </row>
    <row r="16833" spans="3:14" x14ac:dyDescent="0.3">
      <c r="C16833" s="54"/>
      <c r="N16833" s="33"/>
    </row>
    <row r="16834" spans="3:14" x14ac:dyDescent="0.3">
      <c r="C16834" s="54"/>
      <c r="N16834" s="33"/>
    </row>
    <row r="16835" spans="3:14" x14ac:dyDescent="0.3">
      <c r="C16835" s="54"/>
      <c r="N16835" s="33"/>
    </row>
    <row r="16836" spans="3:14" x14ac:dyDescent="0.3">
      <c r="C16836" s="54"/>
      <c r="N16836" s="33"/>
    </row>
    <row r="16837" spans="3:14" x14ac:dyDescent="0.3">
      <c r="C16837" s="54"/>
      <c r="N16837" s="33"/>
    </row>
    <row r="16838" spans="3:14" x14ac:dyDescent="0.3">
      <c r="C16838" s="54"/>
      <c r="N16838" s="33"/>
    </row>
    <row r="16839" spans="3:14" x14ac:dyDescent="0.3">
      <c r="C16839" s="54"/>
      <c r="N16839" s="33"/>
    </row>
    <row r="16840" spans="3:14" x14ac:dyDescent="0.3">
      <c r="C16840" s="54"/>
      <c r="N16840" s="33"/>
    </row>
    <row r="16841" spans="3:14" x14ac:dyDescent="0.3">
      <c r="C16841" s="54"/>
      <c r="N16841" s="33"/>
    </row>
    <row r="16842" spans="3:14" x14ac:dyDescent="0.3">
      <c r="C16842" s="54"/>
      <c r="N16842" s="33"/>
    </row>
    <row r="16843" spans="3:14" x14ac:dyDescent="0.3">
      <c r="C16843" s="54"/>
      <c r="N16843" s="33"/>
    </row>
    <row r="16844" spans="3:14" x14ac:dyDescent="0.3">
      <c r="C16844" s="54"/>
      <c r="N16844" s="33"/>
    </row>
    <row r="16845" spans="3:14" x14ac:dyDescent="0.3">
      <c r="C16845" s="54"/>
      <c r="N16845" s="33"/>
    </row>
    <row r="16846" spans="3:14" x14ac:dyDescent="0.3">
      <c r="C16846" s="54"/>
      <c r="N16846" s="33"/>
    </row>
    <row r="16847" spans="3:14" x14ac:dyDescent="0.3">
      <c r="C16847" s="54"/>
      <c r="N16847" s="33"/>
    </row>
    <row r="16848" spans="3:14" x14ac:dyDescent="0.3">
      <c r="C16848" s="54"/>
      <c r="N16848" s="33"/>
    </row>
    <row r="16849" spans="3:14" x14ac:dyDescent="0.3">
      <c r="C16849" s="54"/>
      <c r="N16849" s="33"/>
    </row>
    <row r="16850" spans="3:14" x14ac:dyDescent="0.3">
      <c r="C16850" s="54"/>
      <c r="N16850" s="33"/>
    </row>
    <row r="16851" spans="3:14" x14ac:dyDescent="0.3">
      <c r="C16851" s="54"/>
      <c r="N16851" s="33"/>
    </row>
    <row r="16852" spans="3:14" x14ac:dyDescent="0.3">
      <c r="C16852" s="54"/>
      <c r="N16852" s="33"/>
    </row>
    <row r="16853" spans="3:14" x14ac:dyDescent="0.3">
      <c r="C16853" s="54"/>
      <c r="N16853" s="33"/>
    </row>
    <row r="16854" spans="3:14" x14ac:dyDescent="0.3">
      <c r="C16854" s="54"/>
      <c r="N16854" s="33"/>
    </row>
    <row r="16855" spans="3:14" x14ac:dyDescent="0.3">
      <c r="C16855" s="54"/>
      <c r="N16855" s="33"/>
    </row>
    <row r="16856" spans="3:14" x14ac:dyDescent="0.3">
      <c r="C16856" s="54"/>
      <c r="N16856" s="33"/>
    </row>
    <row r="16857" spans="3:14" x14ac:dyDescent="0.3">
      <c r="C16857" s="54"/>
      <c r="N16857" s="33"/>
    </row>
    <row r="16858" spans="3:14" x14ac:dyDescent="0.3">
      <c r="C16858" s="54"/>
      <c r="N16858" s="33"/>
    </row>
    <row r="16859" spans="3:14" x14ac:dyDescent="0.3">
      <c r="C16859" s="54"/>
      <c r="N16859" s="33"/>
    </row>
    <row r="16860" spans="3:14" x14ac:dyDescent="0.3">
      <c r="C16860" s="54"/>
      <c r="N16860" s="33"/>
    </row>
    <row r="16861" spans="3:14" x14ac:dyDescent="0.3">
      <c r="C16861" s="54"/>
      <c r="N16861" s="33"/>
    </row>
    <row r="16862" spans="3:14" x14ac:dyDescent="0.3">
      <c r="C16862" s="54"/>
      <c r="N16862" s="33"/>
    </row>
    <row r="16863" spans="3:14" x14ac:dyDescent="0.3">
      <c r="C16863" s="54"/>
      <c r="N16863" s="33"/>
    </row>
    <row r="16864" spans="3:14" x14ac:dyDescent="0.3">
      <c r="C16864" s="54"/>
      <c r="N16864" s="33"/>
    </row>
    <row r="16865" spans="3:14" x14ac:dyDescent="0.3">
      <c r="C16865" s="54"/>
      <c r="N16865" s="33"/>
    </row>
    <row r="16866" spans="3:14" x14ac:dyDescent="0.3">
      <c r="C16866" s="54"/>
      <c r="N16866" s="33"/>
    </row>
    <row r="16867" spans="3:14" x14ac:dyDescent="0.3">
      <c r="C16867" s="54"/>
      <c r="N16867" s="33"/>
    </row>
    <row r="16868" spans="3:14" x14ac:dyDescent="0.3">
      <c r="C16868" s="54"/>
      <c r="N16868" s="33"/>
    </row>
    <row r="16869" spans="3:14" x14ac:dyDescent="0.3">
      <c r="C16869" s="54"/>
      <c r="N16869" s="33"/>
    </row>
    <row r="16870" spans="3:14" x14ac:dyDescent="0.3">
      <c r="C16870" s="54"/>
      <c r="N16870" s="33"/>
    </row>
    <row r="16871" spans="3:14" x14ac:dyDescent="0.3">
      <c r="C16871" s="54"/>
      <c r="N16871" s="33"/>
    </row>
    <row r="16872" spans="3:14" x14ac:dyDescent="0.3">
      <c r="C16872" s="54"/>
      <c r="N16872" s="33"/>
    </row>
    <row r="16873" spans="3:14" x14ac:dyDescent="0.3">
      <c r="C16873" s="54"/>
      <c r="N16873" s="33"/>
    </row>
    <row r="16874" spans="3:14" x14ac:dyDescent="0.3">
      <c r="C16874" s="54"/>
      <c r="N16874" s="33"/>
    </row>
    <row r="16875" spans="3:14" x14ac:dyDescent="0.3">
      <c r="C16875" s="54"/>
      <c r="N16875" s="33"/>
    </row>
    <row r="16876" spans="3:14" x14ac:dyDescent="0.3">
      <c r="C16876" s="54"/>
      <c r="N16876" s="33"/>
    </row>
    <row r="16877" spans="3:14" x14ac:dyDescent="0.3">
      <c r="C16877" s="54"/>
      <c r="N16877" s="33"/>
    </row>
    <row r="16878" spans="3:14" x14ac:dyDescent="0.3">
      <c r="C16878" s="54"/>
      <c r="N16878" s="33"/>
    </row>
    <row r="16879" spans="3:14" x14ac:dyDescent="0.3">
      <c r="C16879" s="54"/>
      <c r="N16879" s="33"/>
    </row>
    <row r="16880" spans="3:14" x14ac:dyDescent="0.3">
      <c r="C16880" s="54"/>
      <c r="N16880" s="33"/>
    </row>
    <row r="16881" spans="3:14" x14ac:dyDescent="0.3">
      <c r="C16881" s="54"/>
      <c r="N16881" s="33"/>
    </row>
    <row r="16882" spans="3:14" x14ac:dyDescent="0.3">
      <c r="C16882" s="54"/>
      <c r="N16882" s="33"/>
    </row>
    <row r="16883" spans="3:14" x14ac:dyDescent="0.3">
      <c r="C16883" s="54"/>
      <c r="N16883" s="33"/>
    </row>
    <row r="16884" spans="3:14" x14ac:dyDescent="0.3">
      <c r="C16884" s="54"/>
      <c r="N16884" s="33"/>
    </row>
    <row r="16885" spans="3:14" x14ac:dyDescent="0.3">
      <c r="C16885" s="54"/>
      <c r="N16885" s="33"/>
    </row>
    <row r="16886" spans="3:14" x14ac:dyDescent="0.3">
      <c r="C16886" s="54"/>
      <c r="N16886" s="33"/>
    </row>
    <row r="16887" spans="3:14" x14ac:dyDescent="0.3">
      <c r="C16887" s="54"/>
      <c r="N16887" s="33"/>
    </row>
    <row r="16888" spans="3:14" x14ac:dyDescent="0.3">
      <c r="C16888" s="54"/>
      <c r="N16888" s="33"/>
    </row>
    <row r="16889" spans="3:14" x14ac:dyDescent="0.3">
      <c r="C16889" s="54"/>
      <c r="N16889" s="33"/>
    </row>
    <row r="16890" spans="3:14" x14ac:dyDescent="0.3">
      <c r="C16890" s="54"/>
      <c r="N16890" s="33"/>
    </row>
    <row r="16891" spans="3:14" x14ac:dyDescent="0.3">
      <c r="C16891" s="54"/>
      <c r="N16891" s="33"/>
    </row>
    <row r="16892" spans="3:14" x14ac:dyDescent="0.3">
      <c r="C16892" s="54"/>
      <c r="N16892" s="33"/>
    </row>
    <row r="16893" spans="3:14" x14ac:dyDescent="0.3">
      <c r="C16893" s="54"/>
      <c r="N16893" s="33"/>
    </row>
    <row r="16894" spans="3:14" x14ac:dyDescent="0.3">
      <c r="C16894" s="54"/>
      <c r="N16894" s="33"/>
    </row>
    <row r="16895" spans="3:14" x14ac:dyDescent="0.3">
      <c r="C16895" s="54"/>
      <c r="N16895" s="33"/>
    </row>
    <row r="16896" spans="3:14" x14ac:dyDescent="0.3">
      <c r="C16896" s="54"/>
      <c r="N16896" s="33"/>
    </row>
    <row r="16897" spans="3:14" x14ac:dyDescent="0.3">
      <c r="C16897" s="54"/>
      <c r="N16897" s="33"/>
    </row>
    <row r="16898" spans="3:14" x14ac:dyDescent="0.3">
      <c r="C16898" s="54"/>
      <c r="N16898" s="33"/>
    </row>
    <row r="16899" spans="3:14" x14ac:dyDescent="0.3">
      <c r="C16899" s="54"/>
      <c r="N16899" s="33"/>
    </row>
    <row r="16900" spans="3:14" x14ac:dyDescent="0.3">
      <c r="C16900" s="54"/>
      <c r="N16900" s="33"/>
    </row>
    <row r="16901" spans="3:14" x14ac:dyDescent="0.3">
      <c r="C16901" s="54"/>
      <c r="N16901" s="33"/>
    </row>
    <row r="16902" spans="3:14" x14ac:dyDescent="0.3">
      <c r="C16902" s="54"/>
      <c r="N16902" s="33"/>
    </row>
    <row r="16903" spans="3:14" x14ac:dyDescent="0.3">
      <c r="C16903" s="54"/>
      <c r="N16903" s="33"/>
    </row>
    <row r="16904" spans="3:14" x14ac:dyDescent="0.3">
      <c r="C16904" s="54"/>
      <c r="N16904" s="33"/>
    </row>
    <row r="16905" spans="3:14" x14ac:dyDescent="0.3">
      <c r="C16905" s="54"/>
      <c r="N16905" s="33"/>
    </row>
    <row r="16906" spans="3:14" x14ac:dyDescent="0.3">
      <c r="C16906" s="54"/>
      <c r="N16906" s="33"/>
    </row>
    <row r="16907" spans="3:14" x14ac:dyDescent="0.3">
      <c r="C16907" s="54"/>
      <c r="N16907" s="33"/>
    </row>
    <row r="16908" spans="3:14" x14ac:dyDescent="0.3">
      <c r="C16908" s="54"/>
      <c r="N16908" s="33"/>
    </row>
    <row r="16909" spans="3:14" x14ac:dyDescent="0.3">
      <c r="C16909" s="54"/>
      <c r="N16909" s="33"/>
    </row>
    <row r="16910" spans="3:14" x14ac:dyDescent="0.3">
      <c r="C16910" s="54"/>
      <c r="N16910" s="33"/>
    </row>
    <row r="16911" spans="3:14" x14ac:dyDescent="0.3">
      <c r="C16911" s="54"/>
      <c r="N16911" s="33"/>
    </row>
    <row r="16912" spans="3:14" x14ac:dyDescent="0.3">
      <c r="C16912" s="54"/>
      <c r="N16912" s="33"/>
    </row>
    <row r="16913" spans="3:14" x14ac:dyDescent="0.3">
      <c r="C16913" s="54"/>
      <c r="N16913" s="33"/>
    </row>
    <row r="16914" spans="3:14" x14ac:dyDescent="0.3">
      <c r="C16914" s="54"/>
      <c r="N16914" s="33"/>
    </row>
    <row r="16915" spans="3:14" x14ac:dyDescent="0.3">
      <c r="C16915" s="54"/>
      <c r="N16915" s="33"/>
    </row>
    <row r="16916" spans="3:14" x14ac:dyDescent="0.3">
      <c r="C16916" s="54"/>
      <c r="N16916" s="33"/>
    </row>
    <row r="16917" spans="3:14" x14ac:dyDescent="0.3">
      <c r="C16917" s="54"/>
      <c r="N16917" s="33"/>
    </row>
    <row r="16918" spans="3:14" x14ac:dyDescent="0.3">
      <c r="C16918" s="54"/>
      <c r="N16918" s="33"/>
    </row>
    <row r="16919" spans="3:14" x14ac:dyDescent="0.3">
      <c r="C16919" s="54"/>
      <c r="N16919" s="33"/>
    </row>
    <row r="16920" spans="3:14" x14ac:dyDescent="0.3">
      <c r="C16920" s="54"/>
      <c r="N16920" s="33"/>
    </row>
    <row r="16921" spans="3:14" x14ac:dyDescent="0.3">
      <c r="C16921" s="54"/>
      <c r="N16921" s="33"/>
    </row>
    <row r="16922" spans="3:14" x14ac:dyDescent="0.3">
      <c r="C16922" s="54"/>
      <c r="N16922" s="33"/>
    </row>
    <row r="16923" spans="3:14" x14ac:dyDescent="0.3">
      <c r="C16923" s="54"/>
      <c r="N16923" s="33"/>
    </row>
    <row r="16924" spans="3:14" x14ac:dyDescent="0.3">
      <c r="C16924" s="54"/>
      <c r="N16924" s="33"/>
    </row>
    <row r="16925" spans="3:14" x14ac:dyDescent="0.3">
      <c r="C16925" s="54"/>
      <c r="N16925" s="33"/>
    </row>
    <row r="16926" spans="3:14" x14ac:dyDescent="0.3">
      <c r="C16926" s="54"/>
      <c r="N16926" s="33"/>
    </row>
    <row r="16927" spans="3:14" x14ac:dyDescent="0.3">
      <c r="C16927" s="54"/>
      <c r="N16927" s="33"/>
    </row>
    <row r="16928" spans="3:14" x14ac:dyDescent="0.3">
      <c r="C16928" s="54"/>
      <c r="N16928" s="33"/>
    </row>
    <row r="16929" spans="3:14" x14ac:dyDescent="0.3">
      <c r="C16929" s="54"/>
      <c r="N16929" s="33"/>
    </row>
    <row r="16930" spans="3:14" x14ac:dyDescent="0.3">
      <c r="C16930" s="54"/>
      <c r="N16930" s="33"/>
    </row>
    <row r="16931" spans="3:14" x14ac:dyDescent="0.3">
      <c r="C16931" s="54"/>
      <c r="N16931" s="33"/>
    </row>
    <row r="16932" spans="3:14" x14ac:dyDescent="0.3">
      <c r="C16932" s="54"/>
      <c r="N16932" s="33"/>
    </row>
    <row r="16933" spans="3:14" x14ac:dyDescent="0.3">
      <c r="C16933" s="54"/>
      <c r="N16933" s="33"/>
    </row>
    <row r="16934" spans="3:14" x14ac:dyDescent="0.3">
      <c r="C16934" s="54"/>
      <c r="N16934" s="33"/>
    </row>
    <row r="16935" spans="3:14" x14ac:dyDescent="0.3">
      <c r="C16935" s="54"/>
      <c r="N16935" s="33"/>
    </row>
    <row r="16936" spans="3:14" x14ac:dyDescent="0.3">
      <c r="C16936" s="54"/>
      <c r="N16936" s="33"/>
    </row>
    <row r="16937" spans="3:14" x14ac:dyDescent="0.3">
      <c r="C16937" s="54"/>
      <c r="N16937" s="33"/>
    </row>
    <row r="16938" spans="3:14" x14ac:dyDescent="0.3">
      <c r="C16938" s="54"/>
      <c r="N16938" s="33"/>
    </row>
    <row r="16939" spans="3:14" x14ac:dyDescent="0.3">
      <c r="C16939" s="54"/>
      <c r="N16939" s="33"/>
    </row>
    <row r="16940" spans="3:14" x14ac:dyDescent="0.3">
      <c r="C16940" s="54"/>
      <c r="N16940" s="33"/>
    </row>
    <row r="16941" spans="3:14" x14ac:dyDescent="0.3">
      <c r="C16941" s="54"/>
      <c r="N16941" s="33"/>
    </row>
    <row r="16942" spans="3:14" x14ac:dyDescent="0.3">
      <c r="C16942" s="54"/>
      <c r="N16942" s="33"/>
    </row>
    <row r="16943" spans="3:14" x14ac:dyDescent="0.3">
      <c r="C16943" s="54"/>
      <c r="N16943" s="33"/>
    </row>
    <row r="16944" spans="3:14" x14ac:dyDescent="0.3">
      <c r="C16944" s="54"/>
      <c r="N16944" s="33"/>
    </row>
    <row r="16945" spans="3:14" x14ac:dyDescent="0.3">
      <c r="C16945" s="54"/>
      <c r="N16945" s="33"/>
    </row>
    <row r="16946" spans="3:14" x14ac:dyDescent="0.3">
      <c r="C16946" s="54"/>
      <c r="N16946" s="33"/>
    </row>
    <row r="16947" spans="3:14" x14ac:dyDescent="0.3">
      <c r="C16947" s="54"/>
      <c r="N16947" s="33"/>
    </row>
    <row r="16948" spans="3:14" x14ac:dyDescent="0.3">
      <c r="C16948" s="54"/>
      <c r="N16948" s="33"/>
    </row>
    <row r="16949" spans="3:14" x14ac:dyDescent="0.3">
      <c r="C16949" s="54"/>
      <c r="N16949" s="33"/>
    </row>
    <row r="16950" spans="3:14" x14ac:dyDescent="0.3">
      <c r="C16950" s="54"/>
      <c r="N16950" s="33"/>
    </row>
    <row r="16951" spans="3:14" x14ac:dyDescent="0.3">
      <c r="C16951" s="54"/>
      <c r="N16951" s="33"/>
    </row>
    <row r="16952" spans="3:14" x14ac:dyDescent="0.3">
      <c r="C16952" s="54"/>
      <c r="N16952" s="33"/>
    </row>
    <row r="16953" spans="3:14" x14ac:dyDescent="0.3">
      <c r="C16953" s="54"/>
      <c r="N16953" s="33"/>
    </row>
    <row r="16954" spans="3:14" x14ac:dyDescent="0.3">
      <c r="C16954" s="54"/>
      <c r="N16954" s="33"/>
    </row>
    <row r="16955" spans="3:14" x14ac:dyDescent="0.3">
      <c r="C16955" s="54"/>
      <c r="N16955" s="33"/>
    </row>
    <row r="16956" spans="3:14" x14ac:dyDescent="0.3">
      <c r="C16956" s="54"/>
      <c r="N16956" s="33"/>
    </row>
    <row r="16957" spans="3:14" x14ac:dyDescent="0.3">
      <c r="C16957" s="54"/>
      <c r="N16957" s="33"/>
    </row>
    <row r="16958" spans="3:14" x14ac:dyDescent="0.3">
      <c r="C16958" s="54"/>
      <c r="N16958" s="33"/>
    </row>
    <row r="16959" spans="3:14" x14ac:dyDescent="0.3">
      <c r="C16959" s="54"/>
      <c r="N16959" s="33"/>
    </row>
    <row r="16960" spans="3:14" x14ac:dyDescent="0.3">
      <c r="C16960" s="54"/>
      <c r="N16960" s="33"/>
    </row>
    <row r="16961" spans="3:14" x14ac:dyDescent="0.3">
      <c r="C16961" s="54"/>
      <c r="N16961" s="33"/>
    </row>
    <row r="16962" spans="3:14" x14ac:dyDescent="0.3">
      <c r="C16962" s="54"/>
      <c r="N16962" s="33"/>
    </row>
    <row r="16963" spans="3:14" x14ac:dyDescent="0.3">
      <c r="C16963" s="54"/>
      <c r="N16963" s="33"/>
    </row>
    <row r="16964" spans="3:14" x14ac:dyDescent="0.3">
      <c r="C16964" s="54"/>
      <c r="N16964" s="33"/>
    </row>
    <row r="16965" spans="3:14" x14ac:dyDescent="0.3">
      <c r="C16965" s="54"/>
      <c r="N16965" s="33"/>
    </row>
    <row r="16966" spans="3:14" x14ac:dyDescent="0.3">
      <c r="C16966" s="54"/>
      <c r="N16966" s="33"/>
    </row>
    <row r="16967" spans="3:14" x14ac:dyDescent="0.3">
      <c r="C16967" s="54"/>
      <c r="N16967" s="33"/>
    </row>
    <row r="16968" spans="3:14" x14ac:dyDescent="0.3">
      <c r="C16968" s="54"/>
      <c r="N16968" s="33"/>
    </row>
    <row r="16969" spans="3:14" x14ac:dyDescent="0.3">
      <c r="C16969" s="54"/>
      <c r="N16969" s="33"/>
    </row>
    <row r="16970" spans="3:14" x14ac:dyDescent="0.3">
      <c r="C16970" s="54"/>
      <c r="N16970" s="33"/>
    </row>
    <row r="16971" spans="3:14" x14ac:dyDescent="0.3">
      <c r="C16971" s="54"/>
      <c r="N16971" s="33"/>
    </row>
    <row r="16972" spans="3:14" x14ac:dyDescent="0.3">
      <c r="C16972" s="54"/>
      <c r="N16972" s="33"/>
    </row>
    <row r="16973" spans="3:14" x14ac:dyDescent="0.3">
      <c r="C16973" s="54"/>
      <c r="N16973" s="33"/>
    </row>
    <row r="16974" spans="3:14" x14ac:dyDescent="0.3">
      <c r="C16974" s="54"/>
      <c r="N16974" s="33"/>
    </row>
    <row r="16975" spans="3:14" x14ac:dyDescent="0.3">
      <c r="C16975" s="54"/>
      <c r="N16975" s="33"/>
    </row>
    <row r="16976" spans="3:14" x14ac:dyDescent="0.3">
      <c r="C16976" s="54"/>
      <c r="N16976" s="33"/>
    </row>
    <row r="16977" spans="3:14" x14ac:dyDescent="0.3">
      <c r="C16977" s="54"/>
      <c r="N16977" s="33"/>
    </row>
    <row r="16978" spans="3:14" x14ac:dyDescent="0.3">
      <c r="C16978" s="54"/>
      <c r="N16978" s="33"/>
    </row>
    <row r="16979" spans="3:14" x14ac:dyDescent="0.3">
      <c r="C16979" s="54"/>
      <c r="N16979" s="33"/>
    </row>
    <row r="16980" spans="3:14" x14ac:dyDescent="0.3">
      <c r="C16980" s="54"/>
      <c r="N16980" s="33"/>
    </row>
    <row r="16981" spans="3:14" x14ac:dyDescent="0.3">
      <c r="C16981" s="54"/>
      <c r="N16981" s="33"/>
    </row>
    <row r="16982" spans="3:14" x14ac:dyDescent="0.3">
      <c r="C16982" s="54"/>
      <c r="N16982" s="33"/>
    </row>
    <row r="16983" spans="3:14" x14ac:dyDescent="0.3">
      <c r="C16983" s="54"/>
      <c r="N16983" s="33"/>
    </row>
    <row r="16984" spans="3:14" x14ac:dyDescent="0.3">
      <c r="C16984" s="54"/>
      <c r="N16984" s="33"/>
    </row>
    <row r="16985" spans="3:14" x14ac:dyDescent="0.3">
      <c r="C16985" s="54"/>
      <c r="N16985" s="33"/>
    </row>
    <row r="16986" spans="3:14" x14ac:dyDescent="0.3">
      <c r="C16986" s="54"/>
      <c r="N16986" s="33"/>
    </row>
    <row r="16987" spans="3:14" x14ac:dyDescent="0.3">
      <c r="C16987" s="54"/>
      <c r="N16987" s="33"/>
    </row>
    <row r="16988" spans="3:14" x14ac:dyDescent="0.3">
      <c r="C16988" s="54"/>
      <c r="N16988" s="33"/>
    </row>
    <row r="16989" spans="3:14" x14ac:dyDescent="0.3">
      <c r="C16989" s="54"/>
      <c r="N16989" s="33"/>
    </row>
    <row r="16990" spans="3:14" x14ac:dyDescent="0.3">
      <c r="C16990" s="54"/>
      <c r="N16990" s="33"/>
    </row>
    <row r="16991" spans="3:14" x14ac:dyDescent="0.3">
      <c r="C16991" s="54"/>
      <c r="N16991" s="33"/>
    </row>
    <row r="16992" spans="3:14" x14ac:dyDescent="0.3">
      <c r="C16992" s="54"/>
      <c r="N16992" s="33"/>
    </row>
    <row r="16993" spans="3:14" x14ac:dyDescent="0.3">
      <c r="C16993" s="54"/>
      <c r="N16993" s="33"/>
    </row>
    <row r="16994" spans="3:14" x14ac:dyDescent="0.3">
      <c r="C16994" s="54"/>
      <c r="N16994" s="33"/>
    </row>
    <row r="16995" spans="3:14" x14ac:dyDescent="0.3">
      <c r="C16995" s="54"/>
      <c r="N16995" s="33"/>
    </row>
    <row r="16996" spans="3:14" x14ac:dyDescent="0.3">
      <c r="C16996" s="54"/>
      <c r="N16996" s="33"/>
    </row>
    <row r="16997" spans="3:14" x14ac:dyDescent="0.3">
      <c r="C16997" s="54"/>
      <c r="N16997" s="33"/>
    </row>
    <row r="16998" spans="3:14" x14ac:dyDescent="0.3">
      <c r="C16998" s="54"/>
      <c r="N16998" s="33"/>
    </row>
    <row r="16999" spans="3:14" x14ac:dyDescent="0.3">
      <c r="C16999" s="54"/>
      <c r="N16999" s="33"/>
    </row>
    <row r="17000" spans="3:14" x14ac:dyDescent="0.3">
      <c r="C17000" s="54"/>
      <c r="N17000" s="33"/>
    </row>
    <row r="17001" spans="3:14" x14ac:dyDescent="0.3">
      <c r="C17001" s="54"/>
      <c r="N17001" s="33"/>
    </row>
    <row r="17002" spans="3:14" x14ac:dyDescent="0.3">
      <c r="C17002" s="54"/>
      <c r="N17002" s="33"/>
    </row>
    <row r="17003" spans="3:14" x14ac:dyDescent="0.3">
      <c r="C17003" s="54"/>
      <c r="N17003" s="33"/>
    </row>
    <row r="17004" spans="3:14" x14ac:dyDescent="0.3">
      <c r="C17004" s="54"/>
      <c r="N17004" s="33"/>
    </row>
    <row r="17005" spans="3:14" x14ac:dyDescent="0.3">
      <c r="C17005" s="54"/>
      <c r="N17005" s="33"/>
    </row>
    <row r="17006" spans="3:14" x14ac:dyDescent="0.3">
      <c r="C17006" s="54"/>
      <c r="N17006" s="33"/>
    </row>
    <row r="17007" spans="3:14" x14ac:dyDescent="0.3">
      <c r="C17007" s="54"/>
      <c r="N17007" s="33"/>
    </row>
    <row r="17008" spans="3:14" x14ac:dyDescent="0.3">
      <c r="C17008" s="54"/>
      <c r="N17008" s="33"/>
    </row>
    <row r="17009" spans="3:14" x14ac:dyDescent="0.3">
      <c r="C17009" s="54"/>
      <c r="N17009" s="33"/>
    </row>
    <row r="17010" spans="3:14" x14ac:dyDescent="0.3">
      <c r="C17010" s="54"/>
      <c r="N17010" s="33"/>
    </row>
    <row r="17011" spans="3:14" x14ac:dyDescent="0.3">
      <c r="C17011" s="54"/>
      <c r="N17011" s="33"/>
    </row>
    <row r="17012" spans="3:14" x14ac:dyDescent="0.3">
      <c r="C17012" s="54"/>
      <c r="N17012" s="33"/>
    </row>
    <row r="17013" spans="3:14" x14ac:dyDescent="0.3">
      <c r="C17013" s="54"/>
      <c r="N17013" s="33"/>
    </row>
    <row r="17014" spans="3:14" x14ac:dyDescent="0.3">
      <c r="C17014" s="54"/>
      <c r="N17014" s="33"/>
    </row>
    <row r="17015" spans="3:14" x14ac:dyDescent="0.3">
      <c r="C17015" s="54"/>
      <c r="N17015" s="33"/>
    </row>
    <row r="17016" spans="3:14" x14ac:dyDescent="0.3">
      <c r="C17016" s="54"/>
      <c r="N17016" s="33"/>
    </row>
    <row r="17017" spans="3:14" x14ac:dyDescent="0.3">
      <c r="C17017" s="54"/>
      <c r="N17017" s="33"/>
    </row>
    <row r="17018" spans="3:14" x14ac:dyDescent="0.3">
      <c r="C17018" s="54"/>
      <c r="N17018" s="33"/>
    </row>
    <row r="17019" spans="3:14" x14ac:dyDescent="0.3">
      <c r="C17019" s="54"/>
      <c r="N17019" s="33"/>
    </row>
    <row r="17020" spans="3:14" x14ac:dyDescent="0.3">
      <c r="C17020" s="54"/>
      <c r="N17020" s="33"/>
    </row>
    <row r="17021" spans="3:14" x14ac:dyDescent="0.3">
      <c r="C17021" s="54"/>
      <c r="N17021" s="33"/>
    </row>
    <row r="17022" spans="3:14" x14ac:dyDescent="0.3">
      <c r="C17022" s="54"/>
      <c r="N17022" s="33"/>
    </row>
    <row r="17023" spans="3:14" x14ac:dyDescent="0.3">
      <c r="C17023" s="54"/>
      <c r="N17023" s="33"/>
    </row>
    <row r="17024" spans="3:14" x14ac:dyDescent="0.3">
      <c r="C17024" s="54"/>
      <c r="N17024" s="33"/>
    </row>
    <row r="17025" spans="3:14" x14ac:dyDescent="0.3">
      <c r="C17025" s="54"/>
      <c r="N17025" s="33"/>
    </row>
    <row r="17026" spans="3:14" x14ac:dyDescent="0.3">
      <c r="C17026" s="54"/>
      <c r="N17026" s="33"/>
    </row>
    <row r="17027" spans="3:14" x14ac:dyDescent="0.3">
      <c r="C17027" s="54"/>
      <c r="N17027" s="33"/>
    </row>
    <row r="17028" spans="3:14" x14ac:dyDescent="0.3">
      <c r="C17028" s="54"/>
      <c r="N17028" s="33"/>
    </row>
    <row r="17029" spans="3:14" x14ac:dyDescent="0.3">
      <c r="C17029" s="54"/>
      <c r="N17029" s="33"/>
    </row>
    <row r="17030" spans="3:14" x14ac:dyDescent="0.3">
      <c r="C17030" s="54"/>
      <c r="N17030" s="33"/>
    </row>
    <row r="17031" spans="3:14" x14ac:dyDescent="0.3">
      <c r="C17031" s="54"/>
      <c r="N17031" s="33"/>
    </row>
    <row r="17032" spans="3:14" x14ac:dyDescent="0.3">
      <c r="C17032" s="54"/>
      <c r="N17032" s="33"/>
    </row>
    <row r="17033" spans="3:14" x14ac:dyDescent="0.3">
      <c r="C17033" s="54"/>
      <c r="N17033" s="33"/>
    </row>
    <row r="17034" spans="3:14" x14ac:dyDescent="0.3">
      <c r="C17034" s="54"/>
      <c r="N17034" s="33"/>
    </row>
    <row r="17035" spans="3:14" x14ac:dyDescent="0.3">
      <c r="C17035" s="54"/>
      <c r="N17035" s="33"/>
    </row>
    <row r="17036" spans="3:14" x14ac:dyDescent="0.3">
      <c r="C17036" s="54"/>
      <c r="N17036" s="33"/>
    </row>
    <row r="17037" spans="3:14" x14ac:dyDescent="0.3">
      <c r="C17037" s="54"/>
      <c r="N17037" s="33"/>
    </row>
    <row r="17038" spans="3:14" x14ac:dyDescent="0.3">
      <c r="C17038" s="54"/>
      <c r="N17038" s="33"/>
    </row>
    <row r="17039" spans="3:14" x14ac:dyDescent="0.3">
      <c r="C17039" s="54"/>
      <c r="N17039" s="33"/>
    </row>
    <row r="17040" spans="3:14" x14ac:dyDescent="0.3">
      <c r="C17040" s="54"/>
      <c r="N17040" s="33"/>
    </row>
    <row r="17041" spans="3:14" x14ac:dyDescent="0.3">
      <c r="C17041" s="54"/>
      <c r="N17041" s="33"/>
    </row>
    <row r="17042" spans="3:14" x14ac:dyDescent="0.3">
      <c r="C17042" s="54"/>
      <c r="N17042" s="33"/>
    </row>
    <row r="17043" spans="3:14" x14ac:dyDescent="0.3">
      <c r="C17043" s="54"/>
      <c r="N17043" s="33"/>
    </row>
    <row r="17044" spans="3:14" x14ac:dyDescent="0.3">
      <c r="C17044" s="54"/>
      <c r="N17044" s="33"/>
    </row>
    <row r="17045" spans="3:14" x14ac:dyDescent="0.3">
      <c r="C17045" s="54"/>
      <c r="N17045" s="33"/>
    </row>
    <row r="17046" spans="3:14" x14ac:dyDescent="0.3">
      <c r="C17046" s="54"/>
      <c r="N17046" s="33"/>
    </row>
    <row r="17047" spans="3:14" x14ac:dyDescent="0.3">
      <c r="C17047" s="54"/>
      <c r="N17047" s="33"/>
    </row>
    <row r="17048" spans="3:14" x14ac:dyDescent="0.3">
      <c r="C17048" s="54"/>
      <c r="N17048" s="33"/>
    </row>
    <row r="17049" spans="3:14" x14ac:dyDescent="0.3">
      <c r="C17049" s="54"/>
      <c r="N17049" s="33"/>
    </row>
    <row r="17050" spans="3:14" x14ac:dyDescent="0.3">
      <c r="C17050" s="54"/>
      <c r="N17050" s="33"/>
    </row>
    <row r="17051" spans="3:14" x14ac:dyDescent="0.3">
      <c r="C17051" s="54"/>
      <c r="N17051" s="33"/>
    </row>
    <row r="17052" spans="3:14" x14ac:dyDescent="0.3">
      <c r="C17052" s="54"/>
      <c r="N17052" s="33"/>
    </row>
    <row r="17053" spans="3:14" x14ac:dyDescent="0.3">
      <c r="C17053" s="54"/>
      <c r="N17053" s="33"/>
    </row>
    <row r="17054" spans="3:14" x14ac:dyDescent="0.3">
      <c r="C17054" s="54"/>
      <c r="N17054" s="33"/>
    </row>
    <row r="17055" spans="3:14" x14ac:dyDescent="0.3">
      <c r="C17055" s="54"/>
      <c r="N17055" s="33"/>
    </row>
    <row r="17056" spans="3:14" x14ac:dyDescent="0.3">
      <c r="C17056" s="54"/>
      <c r="N17056" s="33"/>
    </row>
    <row r="17057" spans="3:14" x14ac:dyDescent="0.3">
      <c r="C17057" s="54"/>
      <c r="N17057" s="33"/>
    </row>
    <row r="17058" spans="3:14" x14ac:dyDescent="0.3">
      <c r="C17058" s="54"/>
      <c r="N17058" s="33"/>
    </row>
    <row r="17059" spans="3:14" x14ac:dyDescent="0.3">
      <c r="C17059" s="54"/>
      <c r="N17059" s="33"/>
    </row>
    <row r="17060" spans="3:14" x14ac:dyDescent="0.3">
      <c r="C17060" s="54"/>
      <c r="N17060" s="33"/>
    </row>
    <row r="17061" spans="3:14" x14ac:dyDescent="0.3">
      <c r="C17061" s="54"/>
      <c r="N17061" s="33"/>
    </row>
    <row r="17062" spans="3:14" x14ac:dyDescent="0.3">
      <c r="C17062" s="54"/>
      <c r="N17062" s="33"/>
    </row>
    <row r="17063" spans="3:14" x14ac:dyDescent="0.3">
      <c r="C17063" s="54"/>
      <c r="N17063" s="33"/>
    </row>
    <row r="17064" spans="3:14" x14ac:dyDescent="0.3">
      <c r="C17064" s="54"/>
      <c r="N17064" s="33"/>
    </row>
    <row r="17065" spans="3:14" x14ac:dyDescent="0.3">
      <c r="C17065" s="54"/>
      <c r="N17065" s="33"/>
    </row>
    <row r="17066" spans="3:14" x14ac:dyDescent="0.3">
      <c r="C17066" s="54"/>
      <c r="N17066" s="33"/>
    </row>
    <row r="17067" spans="3:14" x14ac:dyDescent="0.3">
      <c r="C17067" s="54"/>
      <c r="N17067" s="33"/>
    </row>
    <row r="17068" spans="3:14" x14ac:dyDescent="0.3">
      <c r="C17068" s="54"/>
      <c r="N17068" s="33"/>
    </row>
    <row r="17069" spans="3:14" x14ac:dyDescent="0.3">
      <c r="C17069" s="54"/>
      <c r="N17069" s="33"/>
    </row>
    <row r="17070" spans="3:14" x14ac:dyDescent="0.3">
      <c r="C17070" s="54"/>
      <c r="N17070" s="33"/>
    </row>
    <row r="17071" spans="3:14" x14ac:dyDescent="0.3">
      <c r="C17071" s="54"/>
      <c r="N17071" s="33"/>
    </row>
    <row r="17072" spans="3:14" x14ac:dyDescent="0.3">
      <c r="C17072" s="54"/>
      <c r="N17072" s="33"/>
    </row>
    <row r="17073" spans="3:14" x14ac:dyDescent="0.3">
      <c r="C17073" s="54"/>
      <c r="N17073" s="33"/>
    </row>
    <row r="17074" spans="3:14" x14ac:dyDescent="0.3">
      <c r="C17074" s="54"/>
      <c r="N17074" s="33"/>
    </row>
    <row r="17075" spans="3:14" x14ac:dyDescent="0.3">
      <c r="C17075" s="54"/>
      <c r="N17075" s="33"/>
    </row>
    <row r="17076" spans="3:14" x14ac:dyDescent="0.3">
      <c r="C17076" s="54"/>
      <c r="N17076" s="33"/>
    </row>
    <row r="17077" spans="3:14" x14ac:dyDescent="0.3">
      <c r="C17077" s="54"/>
      <c r="N17077" s="33"/>
    </row>
    <row r="17078" spans="3:14" x14ac:dyDescent="0.3">
      <c r="C17078" s="54"/>
      <c r="N17078" s="33"/>
    </row>
    <row r="17079" spans="3:14" x14ac:dyDescent="0.3">
      <c r="C17079" s="54"/>
      <c r="N17079" s="33"/>
    </row>
    <row r="17080" spans="3:14" x14ac:dyDescent="0.3">
      <c r="C17080" s="54"/>
      <c r="N17080" s="33"/>
    </row>
    <row r="17081" spans="3:14" x14ac:dyDescent="0.3">
      <c r="C17081" s="54"/>
      <c r="N17081" s="33"/>
    </row>
    <row r="17082" spans="3:14" x14ac:dyDescent="0.3">
      <c r="C17082" s="54"/>
      <c r="N17082" s="33"/>
    </row>
    <row r="17083" spans="3:14" x14ac:dyDescent="0.3">
      <c r="C17083" s="54"/>
      <c r="N17083" s="33"/>
    </row>
    <row r="17084" spans="3:14" x14ac:dyDescent="0.3">
      <c r="C17084" s="54"/>
      <c r="N17084" s="33"/>
    </row>
    <row r="17085" spans="3:14" x14ac:dyDescent="0.3">
      <c r="C17085" s="54"/>
      <c r="N17085" s="33"/>
    </row>
    <row r="17086" spans="3:14" x14ac:dyDescent="0.3">
      <c r="C17086" s="54"/>
      <c r="N17086" s="33"/>
    </row>
    <row r="17087" spans="3:14" x14ac:dyDescent="0.3">
      <c r="C17087" s="54"/>
      <c r="N17087" s="33"/>
    </row>
    <row r="17088" spans="3:14" x14ac:dyDescent="0.3">
      <c r="C17088" s="54"/>
      <c r="N17088" s="33"/>
    </row>
    <row r="17089" spans="3:14" x14ac:dyDescent="0.3">
      <c r="C17089" s="54"/>
      <c r="N17089" s="33"/>
    </row>
    <row r="17090" spans="3:14" x14ac:dyDescent="0.3">
      <c r="C17090" s="54"/>
      <c r="N17090" s="33"/>
    </row>
    <row r="17091" spans="3:14" x14ac:dyDescent="0.3">
      <c r="C17091" s="54"/>
      <c r="N17091" s="33"/>
    </row>
    <row r="17092" spans="3:14" x14ac:dyDescent="0.3">
      <c r="C17092" s="54"/>
      <c r="N17092" s="33"/>
    </row>
    <row r="17093" spans="3:14" x14ac:dyDescent="0.3">
      <c r="C17093" s="54"/>
      <c r="N17093" s="33"/>
    </row>
    <row r="17094" spans="3:14" x14ac:dyDescent="0.3">
      <c r="C17094" s="54"/>
      <c r="N17094" s="33"/>
    </row>
    <row r="17095" spans="3:14" x14ac:dyDescent="0.3">
      <c r="C17095" s="54"/>
      <c r="N17095" s="33"/>
    </row>
    <row r="17096" spans="3:14" x14ac:dyDescent="0.3">
      <c r="C17096" s="54"/>
      <c r="N17096" s="33"/>
    </row>
    <row r="17097" spans="3:14" x14ac:dyDescent="0.3">
      <c r="C17097" s="54"/>
      <c r="N17097" s="33"/>
    </row>
    <row r="17098" spans="3:14" x14ac:dyDescent="0.3">
      <c r="C17098" s="54"/>
      <c r="N17098" s="33"/>
    </row>
    <row r="17099" spans="3:14" x14ac:dyDescent="0.3">
      <c r="C17099" s="54"/>
      <c r="N17099" s="33"/>
    </row>
    <row r="17100" spans="3:14" x14ac:dyDescent="0.3">
      <c r="C17100" s="54"/>
      <c r="N17100" s="33"/>
    </row>
    <row r="17101" spans="3:14" x14ac:dyDescent="0.3">
      <c r="C17101" s="54"/>
      <c r="N17101" s="33"/>
    </row>
    <row r="17102" spans="3:14" x14ac:dyDescent="0.3">
      <c r="C17102" s="54"/>
      <c r="N17102" s="33"/>
    </row>
    <row r="17103" spans="3:14" x14ac:dyDescent="0.3">
      <c r="C17103" s="54"/>
      <c r="N17103" s="33"/>
    </row>
    <row r="17104" spans="3:14" x14ac:dyDescent="0.3">
      <c r="C17104" s="54"/>
      <c r="N17104" s="33"/>
    </row>
    <row r="17105" spans="3:14" x14ac:dyDescent="0.3">
      <c r="C17105" s="54"/>
      <c r="N17105" s="33"/>
    </row>
    <row r="17106" spans="3:14" x14ac:dyDescent="0.3">
      <c r="C17106" s="54"/>
      <c r="N17106" s="33"/>
    </row>
    <row r="17107" spans="3:14" x14ac:dyDescent="0.3">
      <c r="C17107" s="54"/>
      <c r="N17107" s="33"/>
    </row>
    <row r="17108" spans="3:14" x14ac:dyDescent="0.3">
      <c r="C17108" s="54"/>
      <c r="N17108" s="33"/>
    </row>
    <row r="17109" spans="3:14" x14ac:dyDescent="0.3">
      <c r="C17109" s="54"/>
      <c r="N17109" s="33"/>
    </row>
    <row r="17110" spans="3:14" x14ac:dyDescent="0.3">
      <c r="C17110" s="54"/>
      <c r="N17110" s="33"/>
    </row>
    <row r="17111" spans="3:14" x14ac:dyDescent="0.3">
      <c r="C17111" s="54"/>
      <c r="N17111" s="33"/>
    </row>
    <row r="17112" spans="3:14" x14ac:dyDescent="0.3">
      <c r="C17112" s="54"/>
      <c r="N17112" s="33"/>
    </row>
    <row r="17113" spans="3:14" x14ac:dyDescent="0.3">
      <c r="C17113" s="54"/>
      <c r="N17113" s="33"/>
    </row>
    <row r="17114" spans="3:14" x14ac:dyDescent="0.3">
      <c r="C17114" s="54"/>
      <c r="N17114" s="33"/>
    </row>
    <row r="17115" spans="3:14" x14ac:dyDescent="0.3">
      <c r="C17115" s="54"/>
      <c r="N17115" s="33"/>
    </row>
    <row r="17116" spans="3:14" x14ac:dyDescent="0.3">
      <c r="C17116" s="54"/>
      <c r="N17116" s="33"/>
    </row>
    <row r="17117" spans="3:14" x14ac:dyDescent="0.3">
      <c r="C17117" s="54"/>
      <c r="N17117" s="33"/>
    </row>
    <row r="17118" spans="3:14" x14ac:dyDescent="0.3">
      <c r="C17118" s="54"/>
      <c r="N17118" s="33"/>
    </row>
    <row r="17119" spans="3:14" x14ac:dyDescent="0.3">
      <c r="C17119" s="54"/>
      <c r="N17119" s="33"/>
    </row>
    <row r="17120" spans="3:14" x14ac:dyDescent="0.3">
      <c r="C17120" s="54"/>
      <c r="N17120" s="33"/>
    </row>
    <row r="17121" spans="3:14" x14ac:dyDescent="0.3">
      <c r="C17121" s="54"/>
      <c r="N17121" s="33"/>
    </row>
    <row r="17122" spans="3:14" x14ac:dyDescent="0.3">
      <c r="C17122" s="54"/>
      <c r="N17122" s="33"/>
    </row>
    <row r="17123" spans="3:14" x14ac:dyDescent="0.3">
      <c r="C17123" s="54"/>
      <c r="N17123" s="33"/>
    </row>
    <row r="17124" spans="3:14" x14ac:dyDescent="0.3">
      <c r="C17124" s="54"/>
      <c r="N17124" s="33"/>
    </row>
    <row r="17125" spans="3:14" x14ac:dyDescent="0.3">
      <c r="C17125" s="54"/>
      <c r="N17125" s="33"/>
    </row>
    <row r="17126" spans="3:14" x14ac:dyDescent="0.3">
      <c r="C17126" s="54"/>
      <c r="N17126" s="33"/>
    </row>
    <row r="17127" spans="3:14" x14ac:dyDescent="0.3">
      <c r="C17127" s="54"/>
      <c r="N17127" s="33"/>
    </row>
    <row r="17128" spans="3:14" x14ac:dyDescent="0.3">
      <c r="C17128" s="54"/>
      <c r="N17128" s="33"/>
    </row>
    <row r="17129" spans="3:14" x14ac:dyDescent="0.3">
      <c r="C17129" s="54"/>
      <c r="N17129" s="33"/>
    </row>
    <row r="17130" spans="3:14" x14ac:dyDescent="0.3">
      <c r="C17130" s="54"/>
      <c r="N17130" s="33"/>
    </row>
    <row r="17131" spans="3:14" x14ac:dyDescent="0.3">
      <c r="C17131" s="54"/>
      <c r="N17131" s="33"/>
    </row>
    <row r="17132" spans="3:14" x14ac:dyDescent="0.3">
      <c r="C17132" s="54"/>
      <c r="N17132" s="33"/>
    </row>
    <row r="17133" spans="3:14" x14ac:dyDescent="0.3">
      <c r="C17133" s="54"/>
      <c r="N17133" s="33"/>
    </row>
    <row r="17134" spans="3:14" x14ac:dyDescent="0.3">
      <c r="C17134" s="54"/>
      <c r="N17134" s="33"/>
    </row>
    <row r="17135" spans="3:14" x14ac:dyDescent="0.3">
      <c r="C17135" s="54"/>
      <c r="N17135" s="33"/>
    </row>
    <row r="17136" spans="3:14" x14ac:dyDescent="0.3">
      <c r="C17136" s="54"/>
      <c r="N17136" s="33"/>
    </row>
    <row r="17137" spans="3:14" x14ac:dyDescent="0.3">
      <c r="C17137" s="54"/>
      <c r="N17137" s="33"/>
    </row>
    <row r="17138" spans="3:14" x14ac:dyDescent="0.3">
      <c r="C17138" s="54"/>
      <c r="N17138" s="33"/>
    </row>
    <row r="17139" spans="3:14" x14ac:dyDescent="0.3">
      <c r="C17139" s="54"/>
      <c r="N17139" s="33"/>
    </row>
    <row r="17140" spans="3:14" x14ac:dyDescent="0.3">
      <c r="C17140" s="54"/>
      <c r="N17140" s="33"/>
    </row>
    <row r="17141" spans="3:14" x14ac:dyDescent="0.3">
      <c r="C17141" s="54"/>
      <c r="N17141" s="33"/>
    </row>
    <row r="17142" spans="3:14" x14ac:dyDescent="0.3">
      <c r="C17142" s="54"/>
      <c r="N17142" s="33"/>
    </row>
    <row r="17143" spans="3:14" x14ac:dyDescent="0.3">
      <c r="C17143" s="54"/>
      <c r="N17143" s="33"/>
    </row>
    <row r="17144" spans="3:14" x14ac:dyDescent="0.3">
      <c r="C17144" s="54"/>
      <c r="N17144" s="33"/>
    </row>
    <row r="17145" spans="3:14" x14ac:dyDescent="0.3">
      <c r="C17145" s="54"/>
      <c r="N17145" s="33"/>
    </row>
    <row r="17146" spans="3:14" x14ac:dyDescent="0.3">
      <c r="C17146" s="54"/>
      <c r="N17146" s="33"/>
    </row>
    <row r="17147" spans="3:14" x14ac:dyDescent="0.3">
      <c r="C17147" s="54"/>
      <c r="N17147" s="33"/>
    </row>
    <row r="17148" spans="3:14" x14ac:dyDescent="0.3">
      <c r="C17148" s="54"/>
      <c r="N17148" s="33"/>
    </row>
    <row r="17149" spans="3:14" x14ac:dyDescent="0.3">
      <c r="C17149" s="54"/>
      <c r="N17149" s="33"/>
    </row>
    <row r="17150" spans="3:14" x14ac:dyDescent="0.3">
      <c r="C17150" s="54"/>
      <c r="N17150" s="33"/>
    </row>
    <row r="17151" spans="3:14" x14ac:dyDescent="0.3">
      <c r="C17151" s="54"/>
      <c r="N17151" s="33"/>
    </row>
    <row r="17152" spans="3:14" x14ac:dyDescent="0.3">
      <c r="C17152" s="54"/>
      <c r="N17152" s="33"/>
    </row>
    <row r="17153" spans="3:14" x14ac:dyDescent="0.3">
      <c r="C17153" s="54"/>
      <c r="N17153" s="33"/>
    </row>
    <row r="17154" spans="3:14" x14ac:dyDescent="0.3">
      <c r="C17154" s="54"/>
      <c r="N17154" s="33"/>
    </row>
    <row r="17155" spans="3:14" x14ac:dyDescent="0.3">
      <c r="C17155" s="54"/>
      <c r="N17155" s="33"/>
    </row>
    <row r="17156" spans="3:14" x14ac:dyDescent="0.3">
      <c r="C17156" s="54"/>
      <c r="N17156" s="33"/>
    </row>
    <row r="17157" spans="3:14" x14ac:dyDescent="0.3">
      <c r="C17157" s="54"/>
      <c r="N17157" s="33"/>
    </row>
    <row r="17158" spans="3:14" x14ac:dyDescent="0.3">
      <c r="C17158" s="54"/>
      <c r="N17158" s="33"/>
    </row>
    <row r="17159" spans="3:14" x14ac:dyDescent="0.3">
      <c r="C17159" s="54"/>
      <c r="N17159" s="33"/>
    </row>
    <row r="17160" spans="3:14" x14ac:dyDescent="0.3">
      <c r="C17160" s="54"/>
      <c r="N17160" s="33"/>
    </row>
    <row r="17161" spans="3:14" x14ac:dyDescent="0.3">
      <c r="C17161" s="54"/>
      <c r="N17161" s="33"/>
    </row>
    <row r="17162" spans="3:14" x14ac:dyDescent="0.3">
      <c r="C17162" s="54"/>
      <c r="N17162" s="33"/>
    </row>
    <row r="17163" spans="3:14" x14ac:dyDescent="0.3">
      <c r="C17163" s="54"/>
      <c r="N17163" s="33"/>
    </row>
    <row r="17164" spans="3:14" x14ac:dyDescent="0.3">
      <c r="C17164" s="54"/>
      <c r="N17164" s="33"/>
    </row>
    <row r="17165" spans="3:14" x14ac:dyDescent="0.3">
      <c r="C17165" s="54"/>
      <c r="N17165" s="33"/>
    </row>
    <row r="17166" spans="3:14" x14ac:dyDescent="0.3">
      <c r="C17166" s="54"/>
      <c r="N17166" s="33"/>
    </row>
    <row r="17167" spans="3:14" x14ac:dyDescent="0.3">
      <c r="C17167" s="54"/>
      <c r="N17167" s="33"/>
    </row>
    <row r="17168" spans="3:14" x14ac:dyDescent="0.3">
      <c r="C17168" s="54"/>
      <c r="N17168" s="33"/>
    </row>
    <row r="17169" spans="3:14" x14ac:dyDescent="0.3">
      <c r="C17169" s="54"/>
      <c r="N17169" s="33"/>
    </row>
    <row r="17170" spans="3:14" x14ac:dyDescent="0.3">
      <c r="C17170" s="54"/>
      <c r="N17170" s="33"/>
    </row>
    <row r="17171" spans="3:14" x14ac:dyDescent="0.3">
      <c r="C17171" s="54"/>
      <c r="N17171" s="33"/>
    </row>
    <row r="17172" spans="3:14" x14ac:dyDescent="0.3">
      <c r="C17172" s="54"/>
      <c r="N17172" s="33"/>
    </row>
    <row r="17173" spans="3:14" x14ac:dyDescent="0.3">
      <c r="C17173" s="54"/>
      <c r="N17173" s="33"/>
    </row>
    <row r="17174" spans="3:14" x14ac:dyDescent="0.3">
      <c r="C17174" s="54"/>
      <c r="N17174" s="33"/>
    </row>
    <row r="17175" spans="3:14" x14ac:dyDescent="0.3">
      <c r="C17175" s="54"/>
      <c r="N17175" s="33"/>
    </row>
    <row r="17176" spans="3:14" x14ac:dyDescent="0.3">
      <c r="C17176" s="54"/>
      <c r="N17176" s="33"/>
    </row>
    <row r="17177" spans="3:14" x14ac:dyDescent="0.3">
      <c r="C17177" s="54"/>
      <c r="N17177" s="33"/>
    </row>
    <row r="17178" spans="3:14" x14ac:dyDescent="0.3">
      <c r="C17178" s="54"/>
      <c r="N17178" s="33"/>
    </row>
    <row r="17179" spans="3:14" x14ac:dyDescent="0.3">
      <c r="C17179" s="54"/>
      <c r="N17179" s="33"/>
    </row>
    <row r="17180" spans="3:14" x14ac:dyDescent="0.3">
      <c r="C17180" s="54"/>
      <c r="N17180" s="33"/>
    </row>
    <row r="17181" spans="3:14" x14ac:dyDescent="0.3">
      <c r="C17181" s="54"/>
      <c r="N17181" s="33"/>
    </row>
    <row r="17182" spans="3:14" x14ac:dyDescent="0.3">
      <c r="C17182" s="54"/>
      <c r="N17182" s="33"/>
    </row>
    <row r="17183" spans="3:14" x14ac:dyDescent="0.3">
      <c r="C17183" s="54"/>
      <c r="N17183" s="33"/>
    </row>
    <row r="17184" spans="3:14" x14ac:dyDescent="0.3">
      <c r="C17184" s="54"/>
      <c r="N17184" s="33"/>
    </row>
    <row r="17185" spans="3:14" x14ac:dyDescent="0.3">
      <c r="C17185" s="54"/>
      <c r="N17185" s="33"/>
    </row>
    <row r="17186" spans="3:14" x14ac:dyDescent="0.3">
      <c r="C17186" s="54"/>
      <c r="N17186" s="33"/>
    </row>
    <row r="17187" spans="3:14" x14ac:dyDescent="0.3">
      <c r="C17187" s="54"/>
      <c r="N17187" s="33"/>
    </row>
    <row r="17188" spans="3:14" x14ac:dyDescent="0.3">
      <c r="C17188" s="54"/>
      <c r="N17188" s="33"/>
    </row>
    <row r="17189" spans="3:14" x14ac:dyDescent="0.3">
      <c r="C17189" s="54"/>
      <c r="N17189" s="33"/>
    </row>
    <row r="17190" spans="3:14" x14ac:dyDescent="0.3">
      <c r="C17190" s="54"/>
      <c r="N17190" s="33"/>
    </row>
    <row r="17191" spans="3:14" x14ac:dyDescent="0.3">
      <c r="C17191" s="54"/>
      <c r="N17191" s="33"/>
    </row>
    <row r="17192" spans="3:14" x14ac:dyDescent="0.3">
      <c r="C17192" s="54"/>
      <c r="N17192" s="33"/>
    </row>
    <row r="17193" spans="3:14" x14ac:dyDescent="0.3">
      <c r="C17193" s="54"/>
      <c r="N17193" s="33"/>
    </row>
    <row r="17194" spans="3:14" x14ac:dyDescent="0.3">
      <c r="C17194" s="54"/>
      <c r="N17194" s="33"/>
    </row>
    <row r="17195" spans="3:14" x14ac:dyDescent="0.3">
      <c r="C17195" s="54"/>
      <c r="N17195" s="33"/>
    </row>
    <row r="17196" spans="3:14" x14ac:dyDescent="0.3">
      <c r="C17196" s="54"/>
      <c r="N17196" s="33"/>
    </row>
    <row r="17197" spans="3:14" x14ac:dyDescent="0.3">
      <c r="C17197" s="54"/>
      <c r="N17197" s="33"/>
    </row>
    <row r="17198" spans="3:14" x14ac:dyDescent="0.3">
      <c r="C17198" s="54"/>
      <c r="N17198" s="33"/>
    </row>
    <row r="17199" spans="3:14" x14ac:dyDescent="0.3">
      <c r="C17199" s="54"/>
      <c r="N17199" s="33"/>
    </row>
    <row r="17200" spans="3:14" x14ac:dyDescent="0.3">
      <c r="C17200" s="54"/>
      <c r="N17200" s="33"/>
    </row>
    <row r="17201" spans="3:14" x14ac:dyDescent="0.3">
      <c r="C17201" s="54"/>
      <c r="N17201" s="33"/>
    </row>
    <row r="17202" spans="3:14" x14ac:dyDescent="0.3">
      <c r="C17202" s="54"/>
      <c r="N17202" s="33"/>
    </row>
    <row r="17203" spans="3:14" x14ac:dyDescent="0.3">
      <c r="C17203" s="54"/>
      <c r="N17203" s="33"/>
    </row>
    <row r="17204" spans="3:14" x14ac:dyDescent="0.3">
      <c r="C17204" s="54"/>
      <c r="N17204" s="33"/>
    </row>
    <row r="17205" spans="3:14" x14ac:dyDescent="0.3">
      <c r="C17205" s="54"/>
      <c r="N17205" s="33"/>
    </row>
    <row r="17206" spans="3:14" x14ac:dyDescent="0.3">
      <c r="C17206" s="54"/>
      <c r="N17206" s="33"/>
    </row>
    <row r="17207" spans="3:14" x14ac:dyDescent="0.3">
      <c r="C17207" s="54"/>
      <c r="N17207" s="33"/>
    </row>
    <row r="17208" spans="3:14" x14ac:dyDescent="0.3">
      <c r="C17208" s="54"/>
      <c r="N17208" s="33"/>
    </row>
    <row r="17209" spans="3:14" x14ac:dyDescent="0.3">
      <c r="C17209" s="54"/>
      <c r="N17209" s="33"/>
    </row>
    <row r="17210" spans="3:14" x14ac:dyDescent="0.3">
      <c r="C17210" s="54"/>
      <c r="N17210" s="33"/>
    </row>
    <row r="17211" spans="3:14" x14ac:dyDescent="0.3">
      <c r="C17211" s="54"/>
      <c r="N17211" s="33"/>
    </row>
    <row r="17212" spans="3:14" x14ac:dyDescent="0.3">
      <c r="C17212" s="54"/>
      <c r="N17212" s="33"/>
    </row>
    <row r="17213" spans="3:14" x14ac:dyDescent="0.3">
      <c r="C17213" s="54"/>
      <c r="N17213" s="33"/>
    </row>
    <row r="17214" spans="3:14" x14ac:dyDescent="0.3">
      <c r="C17214" s="54"/>
      <c r="N17214" s="33"/>
    </row>
    <row r="17215" spans="3:14" x14ac:dyDescent="0.3">
      <c r="C17215" s="54"/>
      <c r="N17215" s="33"/>
    </row>
    <row r="17216" spans="3:14" x14ac:dyDescent="0.3">
      <c r="C17216" s="54"/>
      <c r="N17216" s="33"/>
    </row>
    <row r="17217" spans="3:14" x14ac:dyDescent="0.3">
      <c r="C17217" s="54"/>
      <c r="N17217" s="33"/>
    </row>
    <row r="17218" spans="3:14" x14ac:dyDescent="0.3">
      <c r="C17218" s="54"/>
      <c r="N17218" s="33"/>
    </row>
    <row r="17219" spans="3:14" x14ac:dyDescent="0.3">
      <c r="C17219" s="54"/>
      <c r="N17219" s="33"/>
    </row>
    <row r="17220" spans="3:14" x14ac:dyDescent="0.3">
      <c r="C17220" s="54"/>
      <c r="N17220" s="33"/>
    </row>
    <row r="17221" spans="3:14" x14ac:dyDescent="0.3">
      <c r="C17221" s="54"/>
      <c r="N17221" s="33"/>
    </row>
    <row r="17222" spans="3:14" x14ac:dyDescent="0.3">
      <c r="C17222" s="54"/>
      <c r="N17222" s="33"/>
    </row>
    <row r="17223" spans="3:14" x14ac:dyDescent="0.3">
      <c r="C17223" s="54"/>
      <c r="N17223" s="33"/>
    </row>
    <row r="17224" spans="3:14" x14ac:dyDescent="0.3">
      <c r="C17224" s="54"/>
      <c r="N17224" s="33"/>
    </row>
    <row r="17225" spans="3:14" x14ac:dyDescent="0.3">
      <c r="C17225" s="54"/>
      <c r="N17225" s="33"/>
    </row>
    <row r="17226" spans="3:14" x14ac:dyDescent="0.3">
      <c r="C17226" s="54"/>
      <c r="N17226" s="33"/>
    </row>
    <row r="17227" spans="3:14" x14ac:dyDescent="0.3">
      <c r="C17227" s="54"/>
      <c r="N17227" s="33"/>
    </row>
    <row r="17228" spans="3:14" x14ac:dyDescent="0.3">
      <c r="C17228" s="54"/>
      <c r="N17228" s="33"/>
    </row>
    <row r="17229" spans="3:14" x14ac:dyDescent="0.3">
      <c r="C17229" s="54"/>
      <c r="N17229" s="33"/>
    </row>
    <row r="17230" spans="3:14" x14ac:dyDescent="0.3">
      <c r="C17230" s="54"/>
      <c r="N17230" s="33"/>
    </row>
    <row r="17231" spans="3:14" x14ac:dyDescent="0.3">
      <c r="C17231" s="54"/>
      <c r="N17231" s="33"/>
    </row>
    <row r="17232" spans="3:14" x14ac:dyDescent="0.3">
      <c r="C17232" s="54"/>
      <c r="N17232" s="33"/>
    </row>
    <row r="17233" spans="3:14" x14ac:dyDescent="0.3">
      <c r="C17233" s="54"/>
      <c r="N17233" s="33"/>
    </row>
    <row r="17234" spans="3:14" x14ac:dyDescent="0.3">
      <c r="C17234" s="54"/>
      <c r="N17234" s="33"/>
    </row>
    <row r="17235" spans="3:14" x14ac:dyDescent="0.3">
      <c r="C17235" s="54"/>
      <c r="N17235" s="33"/>
    </row>
    <row r="17236" spans="3:14" x14ac:dyDescent="0.3">
      <c r="C17236" s="54"/>
      <c r="N17236" s="33"/>
    </row>
    <row r="17237" spans="3:14" x14ac:dyDescent="0.3">
      <c r="C17237" s="54"/>
      <c r="N17237" s="33"/>
    </row>
    <row r="17238" spans="3:14" x14ac:dyDescent="0.3">
      <c r="C17238" s="54"/>
      <c r="N17238" s="33"/>
    </row>
    <row r="17239" spans="3:14" x14ac:dyDescent="0.3">
      <c r="C17239" s="54"/>
      <c r="N17239" s="33"/>
    </row>
    <row r="17240" spans="3:14" x14ac:dyDescent="0.3">
      <c r="C17240" s="54"/>
      <c r="N17240" s="33"/>
    </row>
    <row r="17241" spans="3:14" x14ac:dyDescent="0.3">
      <c r="C17241" s="54"/>
      <c r="N17241" s="33"/>
    </row>
    <row r="17242" spans="3:14" x14ac:dyDescent="0.3">
      <c r="C17242" s="54"/>
      <c r="N17242" s="33"/>
    </row>
    <row r="17243" spans="3:14" x14ac:dyDescent="0.3">
      <c r="C17243" s="54"/>
      <c r="N17243" s="33"/>
    </row>
    <row r="17244" spans="3:14" x14ac:dyDescent="0.3">
      <c r="C17244" s="54"/>
      <c r="N17244" s="33"/>
    </row>
    <row r="17245" spans="3:14" x14ac:dyDescent="0.3">
      <c r="C17245" s="54"/>
      <c r="N17245" s="33"/>
    </row>
    <row r="17246" spans="3:14" x14ac:dyDescent="0.3">
      <c r="C17246" s="54"/>
      <c r="N17246" s="33"/>
    </row>
    <row r="17247" spans="3:14" x14ac:dyDescent="0.3">
      <c r="C17247" s="54"/>
      <c r="N17247" s="33"/>
    </row>
    <row r="17248" spans="3:14" x14ac:dyDescent="0.3">
      <c r="C17248" s="54"/>
      <c r="N17248" s="33"/>
    </row>
    <row r="17249" spans="3:14" x14ac:dyDescent="0.3">
      <c r="C17249" s="54"/>
      <c r="N17249" s="33"/>
    </row>
    <row r="17250" spans="3:14" x14ac:dyDescent="0.3">
      <c r="C17250" s="54"/>
      <c r="N17250" s="33"/>
    </row>
    <row r="17251" spans="3:14" x14ac:dyDescent="0.3">
      <c r="C17251" s="54"/>
      <c r="N17251" s="33"/>
    </row>
    <row r="17252" spans="3:14" x14ac:dyDescent="0.3">
      <c r="C17252" s="54"/>
      <c r="N17252" s="33"/>
    </row>
    <row r="17253" spans="3:14" x14ac:dyDescent="0.3">
      <c r="C17253" s="54"/>
      <c r="N17253" s="33"/>
    </row>
    <row r="17254" spans="3:14" x14ac:dyDescent="0.3">
      <c r="C17254" s="54"/>
      <c r="N17254" s="33"/>
    </row>
    <row r="17255" spans="3:14" x14ac:dyDescent="0.3">
      <c r="C17255" s="54"/>
      <c r="N17255" s="33"/>
    </row>
    <row r="17256" spans="3:14" x14ac:dyDescent="0.3">
      <c r="C17256" s="54"/>
      <c r="N17256" s="33"/>
    </row>
    <row r="17257" spans="3:14" x14ac:dyDescent="0.3">
      <c r="C17257" s="54"/>
      <c r="N17257" s="33"/>
    </row>
    <row r="17258" spans="3:14" x14ac:dyDescent="0.3">
      <c r="C17258" s="54"/>
      <c r="N17258" s="33"/>
    </row>
    <row r="17259" spans="3:14" x14ac:dyDescent="0.3">
      <c r="C17259" s="54"/>
      <c r="N17259" s="33"/>
    </row>
    <row r="17260" spans="3:14" x14ac:dyDescent="0.3">
      <c r="C17260" s="54"/>
      <c r="N17260" s="33"/>
    </row>
    <row r="17261" spans="3:14" x14ac:dyDescent="0.3">
      <c r="C17261" s="54"/>
      <c r="N17261" s="33"/>
    </row>
    <row r="17262" spans="3:14" x14ac:dyDescent="0.3">
      <c r="C17262" s="54"/>
      <c r="N17262" s="33"/>
    </row>
    <row r="17263" spans="3:14" x14ac:dyDescent="0.3">
      <c r="C17263" s="54"/>
      <c r="N17263" s="33"/>
    </row>
    <row r="17264" spans="3:14" x14ac:dyDescent="0.3">
      <c r="C17264" s="54"/>
      <c r="N17264" s="33"/>
    </row>
    <row r="17265" spans="3:14" x14ac:dyDescent="0.3">
      <c r="C17265" s="54"/>
      <c r="N17265" s="33"/>
    </row>
    <row r="17266" spans="3:14" x14ac:dyDescent="0.3">
      <c r="C17266" s="54"/>
      <c r="N17266" s="33"/>
    </row>
    <row r="17267" spans="3:14" x14ac:dyDescent="0.3">
      <c r="C17267" s="54"/>
      <c r="N17267" s="33"/>
    </row>
    <row r="17268" spans="3:14" x14ac:dyDescent="0.3">
      <c r="C17268" s="54"/>
      <c r="N17268" s="33"/>
    </row>
    <row r="17269" spans="3:14" x14ac:dyDescent="0.3">
      <c r="C17269" s="54"/>
      <c r="N17269" s="33"/>
    </row>
    <row r="17270" spans="3:14" x14ac:dyDescent="0.3">
      <c r="C17270" s="54"/>
      <c r="N17270" s="33"/>
    </row>
    <row r="17271" spans="3:14" x14ac:dyDescent="0.3">
      <c r="C17271" s="54"/>
      <c r="N17271" s="33"/>
    </row>
    <row r="17272" spans="3:14" x14ac:dyDescent="0.3">
      <c r="C17272" s="54"/>
      <c r="N17272" s="33"/>
    </row>
    <row r="17273" spans="3:14" x14ac:dyDescent="0.3">
      <c r="C17273" s="54"/>
      <c r="N17273" s="33"/>
    </row>
    <row r="17274" spans="3:14" x14ac:dyDescent="0.3">
      <c r="C17274" s="54"/>
      <c r="N17274" s="33"/>
    </row>
    <row r="17275" spans="3:14" x14ac:dyDescent="0.3">
      <c r="C17275" s="54"/>
      <c r="N17275" s="33"/>
    </row>
    <row r="17276" spans="3:14" x14ac:dyDescent="0.3">
      <c r="C17276" s="54"/>
      <c r="N17276" s="33"/>
    </row>
    <row r="17277" spans="3:14" x14ac:dyDescent="0.3">
      <c r="C17277" s="54"/>
      <c r="N17277" s="33"/>
    </row>
    <row r="17278" spans="3:14" x14ac:dyDescent="0.3">
      <c r="C17278" s="54"/>
      <c r="N17278" s="33"/>
    </row>
    <row r="17279" spans="3:14" x14ac:dyDescent="0.3">
      <c r="C17279" s="54"/>
      <c r="N17279" s="33"/>
    </row>
    <row r="17280" spans="3:14" x14ac:dyDescent="0.3">
      <c r="C17280" s="54"/>
      <c r="N17280" s="33"/>
    </row>
    <row r="17281" spans="3:14" x14ac:dyDescent="0.3">
      <c r="C17281" s="54"/>
      <c r="N17281" s="33"/>
    </row>
    <row r="17282" spans="3:14" x14ac:dyDescent="0.3">
      <c r="C17282" s="54"/>
      <c r="N17282" s="33"/>
    </row>
    <row r="17283" spans="3:14" x14ac:dyDescent="0.3">
      <c r="C17283" s="54"/>
      <c r="N17283" s="33"/>
    </row>
    <row r="17284" spans="3:14" x14ac:dyDescent="0.3">
      <c r="C17284" s="54"/>
      <c r="N17284" s="33"/>
    </row>
    <row r="17285" spans="3:14" x14ac:dyDescent="0.3">
      <c r="C17285" s="54"/>
      <c r="N17285" s="33"/>
    </row>
    <row r="17286" spans="3:14" x14ac:dyDescent="0.3">
      <c r="C17286" s="54"/>
      <c r="N17286" s="33"/>
    </row>
    <row r="17287" spans="3:14" x14ac:dyDescent="0.3">
      <c r="C17287" s="54"/>
      <c r="N17287" s="33"/>
    </row>
    <row r="17288" spans="3:14" x14ac:dyDescent="0.3">
      <c r="C17288" s="54"/>
      <c r="N17288" s="33"/>
    </row>
    <row r="17289" spans="3:14" x14ac:dyDescent="0.3">
      <c r="C17289" s="54"/>
      <c r="N17289" s="33"/>
    </row>
    <row r="17290" spans="3:14" x14ac:dyDescent="0.3">
      <c r="C17290" s="54"/>
      <c r="N17290" s="33"/>
    </row>
    <row r="17291" spans="3:14" x14ac:dyDescent="0.3">
      <c r="C17291" s="54"/>
      <c r="N17291" s="33"/>
    </row>
    <row r="17292" spans="3:14" x14ac:dyDescent="0.3">
      <c r="C17292" s="54"/>
      <c r="N17292" s="33"/>
    </row>
    <row r="17293" spans="3:14" x14ac:dyDescent="0.3">
      <c r="C17293" s="54"/>
      <c r="N17293" s="33"/>
    </row>
    <row r="17294" spans="3:14" x14ac:dyDescent="0.3">
      <c r="C17294" s="54"/>
      <c r="N17294" s="33"/>
    </row>
    <row r="17295" spans="3:14" x14ac:dyDescent="0.3">
      <c r="C17295" s="54"/>
      <c r="N17295" s="33"/>
    </row>
    <row r="17296" spans="3:14" x14ac:dyDescent="0.3">
      <c r="C17296" s="54"/>
      <c r="N17296" s="33"/>
    </row>
    <row r="17297" spans="3:14" x14ac:dyDescent="0.3">
      <c r="C17297" s="54"/>
      <c r="N17297" s="33"/>
    </row>
    <row r="17298" spans="3:14" x14ac:dyDescent="0.3">
      <c r="C17298" s="54"/>
      <c r="N17298" s="33"/>
    </row>
    <row r="17299" spans="3:14" x14ac:dyDescent="0.3">
      <c r="C17299" s="54"/>
      <c r="N17299" s="33"/>
    </row>
    <row r="17300" spans="3:14" x14ac:dyDescent="0.3">
      <c r="C17300" s="54"/>
      <c r="N17300" s="33"/>
    </row>
    <row r="17301" spans="3:14" x14ac:dyDescent="0.3">
      <c r="C17301" s="54"/>
      <c r="N17301" s="33"/>
    </row>
    <row r="17302" spans="3:14" x14ac:dyDescent="0.3">
      <c r="C17302" s="54"/>
      <c r="N17302" s="33"/>
    </row>
    <row r="17303" spans="3:14" x14ac:dyDescent="0.3">
      <c r="C17303" s="54"/>
      <c r="N17303" s="33"/>
    </row>
    <row r="17304" spans="3:14" x14ac:dyDescent="0.3">
      <c r="C17304" s="54"/>
      <c r="N17304" s="33"/>
    </row>
    <row r="17305" spans="3:14" x14ac:dyDescent="0.3">
      <c r="C17305" s="54"/>
      <c r="N17305" s="33"/>
    </row>
    <row r="17306" spans="3:14" x14ac:dyDescent="0.3">
      <c r="C17306" s="54"/>
      <c r="N17306" s="33"/>
    </row>
    <row r="17307" spans="3:14" x14ac:dyDescent="0.3">
      <c r="C17307" s="54"/>
      <c r="N17307" s="33"/>
    </row>
    <row r="17308" spans="3:14" x14ac:dyDescent="0.3">
      <c r="C17308" s="54"/>
      <c r="N17308" s="33"/>
    </row>
    <row r="17309" spans="3:14" x14ac:dyDescent="0.3">
      <c r="C17309" s="54"/>
      <c r="N17309" s="33"/>
    </row>
    <row r="17310" spans="3:14" x14ac:dyDescent="0.3">
      <c r="C17310" s="54"/>
      <c r="N17310" s="33"/>
    </row>
    <row r="17311" spans="3:14" x14ac:dyDescent="0.3">
      <c r="C17311" s="54"/>
      <c r="N17311" s="33"/>
    </row>
    <row r="17312" spans="3:14" x14ac:dyDescent="0.3">
      <c r="C17312" s="54"/>
      <c r="N17312" s="33"/>
    </row>
    <row r="17313" spans="3:14" x14ac:dyDescent="0.3">
      <c r="C17313" s="54"/>
      <c r="N17313" s="33"/>
    </row>
    <row r="17314" spans="3:14" x14ac:dyDescent="0.3">
      <c r="C17314" s="54"/>
      <c r="N17314" s="33"/>
    </row>
    <row r="17315" spans="3:14" x14ac:dyDescent="0.3">
      <c r="C17315" s="54"/>
      <c r="N17315" s="33"/>
    </row>
    <row r="17316" spans="3:14" x14ac:dyDescent="0.3">
      <c r="C17316" s="54"/>
      <c r="N17316" s="33"/>
    </row>
    <row r="17317" spans="3:14" x14ac:dyDescent="0.3">
      <c r="C17317" s="54"/>
      <c r="N17317" s="33"/>
    </row>
    <row r="17318" spans="3:14" x14ac:dyDescent="0.3">
      <c r="C17318" s="54"/>
      <c r="N17318" s="33"/>
    </row>
    <row r="17319" spans="3:14" x14ac:dyDescent="0.3">
      <c r="C17319" s="54"/>
      <c r="N17319" s="33"/>
    </row>
    <row r="17320" spans="3:14" x14ac:dyDescent="0.3">
      <c r="C17320" s="54"/>
      <c r="N17320" s="33"/>
    </row>
    <row r="17321" spans="3:14" x14ac:dyDescent="0.3">
      <c r="C17321" s="54"/>
      <c r="N17321" s="33"/>
    </row>
    <row r="17322" spans="3:14" x14ac:dyDescent="0.3">
      <c r="C17322" s="54"/>
      <c r="N17322" s="33"/>
    </row>
    <row r="17323" spans="3:14" x14ac:dyDescent="0.3">
      <c r="C17323" s="54"/>
      <c r="N17323" s="33"/>
    </row>
    <row r="17324" spans="3:14" x14ac:dyDescent="0.3">
      <c r="C17324" s="54"/>
      <c r="N17324" s="33"/>
    </row>
    <row r="17325" spans="3:14" x14ac:dyDescent="0.3">
      <c r="C17325" s="54"/>
      <c r="N17325" s="33"/>
    </row>
    <row r="17326" spans="3:14" x14ac:dyDescent="0.3">
      <c r="C17326" s="54"/>
      <c r="N17326" s="33"/>
    </row>
    <row r="17327" spans="3:14" x14ac:dyDescent="0.3">
      <c r="C17327" s="54"/>
      <c r="N17327" s="33"/>
    </row>
    <row r="17328" spans="3:14" x14ac:dyDescent="0.3">
      <c r="C17328" s="54"/>
      <c r="N17328" s="33"/>
    </row>
    <row r="17329" spans="3:14" x14ac:dyDescent="0.3">
      <c r="C17329" s="54"/>
      <c r="N17329" s="33"/>
    </row>
    <row r="17330" spans="3:14" x14ac:dyDescent="0.3">
      <c r="C17330" s="54"/>
      <c r="N17330" s="33"/>
    </row>
    <row r="17331" spans="3:14" x14ac:dyDescent="0.3">
      <c r="C17331" s="54"/>
      <c r="N17331" s="33"/>
    </row>
    <row r="17332" spans="3:14" x14ac:dyDescent="0.3">
      <c r="C17332" s="54"/>
      <c r="N17332" s="33"/>
    </row>
    <row r="17333" spans="3:14" x14ac:dyDescent="0.3">
      <c r="C17333" s="54"/>
      <c r="N17333" s="33"/>
    </row>
    <row r="17334" spans="3:14" x14ac:dyDescent="0.3">
      <c r="C17334" s="54"/>
      <c r="N17334" s="33"/>
    </row>
    <row r="17335" spans="3:14" x14ac:dyDescent="0.3">
      <c r="C17335" s="54"/>
      <c r="N17335" s="33"/>
    </row>
    <row r="17336" spans="3:14" x14ac:dyDescent="0.3">
      <c r="C17336" s="54"/>
      <c r="N17336" s="33"/>
    </row>
    <row r="17337" spans="3:14" x14ac:dyDescent="0.3">
      <c r="C17337" s="54"/>
      <c r="N17337" s="33"/>
    </row>
    <row r="17338" spans="3:14" x14ac:dyDescent="0.3">
      <c r="C17338" s="54"/>
      <c r="N17338" s="33"/>
    </row>
    <row r="17339" spans="3:14" x14ac:dyDescent="0.3">
      <c r="C17339" s="54"/>
      <c r="N17339" s="33"/>
    </row>
    <row r="17340" spans="3:14" x14ac:dyDescent="0.3">
      <c r="C17340" s="54"/>
      <c r="N17340" s="33"/>
    </row>
    <row r="17341" spans="3:14" x14ac:dyDescent="0.3">
      <c r="C17341" s="54"/>
      <c r="N17341" s="33"/>
    </row>
    <row r="17342" spans="3:14" x14ac:dyDescent="0.3">
      <c r="C17342" s="54"/>
      <c r="N17342" s="33"/>
    </row>
    <row r="17343" spans="3:14" x14ac:dyDescent="0.3">
      <c r="C17343" s="54"/>
      <c r="N17343" s="33"/>
    </row>
    <row r="17344" spans="3:14" x14ac:dyDescent="0.3">
      <c r="C17344" s="54"/>
      <c r="N17344" s="33"/>
    </row>
    <row r="17345" spans="3:14" x14ac:dyDescent="0.3">
      <c r="C17345" s="54"/>
      <c r="N17345" s="33"/>
    </row>
    <row r="17346" spans="3:14" x14ac:dyDescent="0.3">
      <c r="C17346" s="54"/>
      <c r="N17346" s="33"/>
    </row>
    <row r="17347" spans="3:14" x14ac:dyDescent="0.3">
      <c r="C17347" s="54"/>
      <c r="N17347" s="33"/>
    </row>
    <row r="17348" spans="3:14" x14ac:dyDescent="0.3">
      <c r="C17348" s="54"/>
      <c r="N17348" s="33"/>
    </row>
    <row r="17349" spans="3:14" x14ac:dyDescent="0.3">
      <c r="C17349" s="54"/>
      <c r="N17349" s="33"/>
    </row>
    <row r="17350" spans="3:14" x14ac:dyDescent="0.3">
      <c r="C17350" s="54"/>
      <c r="N17350" s="33"/>
    </row>
    <row r="17351" spans="3:14" x14ac:dyDescent="0.3">
      <c r="C17351" s="54"/>
      <c r="N17351" s="33"/>
    </row>
    <row r="17352" spans="3:14" x14ac:dyDescent="0.3">
      <c r="C17352" s="54"/>
      <c r="N17352" s="33"/>
    </row>
    <row r="17353" spans="3:14" x14ac:dyDescent="0.3">
      <c r="C17353" s="54"/>
      <c r="N17353" s="33"/>
    </row>
    <row r="17354" spans="3:14" x14ac:dyDescent="0.3">
      <c r="C17354" s="54"/>
      <c r="N17354" s="33"/>
    </row>
    <row r="17355" spans="3:14" x14ac:dyDescent="0.3">
      <c r="C17355" s="54"/>
      <c r="N17355" s="33"/>
    </row>
    <row r="17356" spans="3:14" x14ac:dyDescent="0.3">
      <c r="C17356" s="54"/>
      <c r="N17356" s="33"/>
    </row>
    <row r="17357" spans="3:14" x14ac:dyDescent="0.3">
      <c r="C17357" s="54"/>
      <c r="N17357" s="33"/>
    </row>
    <row r="17358" spans="3:14" x14ac:dyDescent="0.3">
      <c r="C17358" s="54"/>
      <c r="N17358" s="33"/>
    </row>
    <row r="17359" spans="3:14" x14ac:dyDescent="0.3">
      <c r="C17359" s="54"/>
      <c r="N17359" s="33"/>
    </row>
    <row r="17360" spans="3:14" x14ac:dyDescent="0.3">
      <c r="C17360" s="54"/>
      <c r="N17360" s="33"/>
    </row>
    <row r="17361" spans="3:14" x14ac:dyDescent="0.3">
      <c r="C17361" s="54"/>
      <c r="N17361" s="33"/>
    </row>
    <row r="17362" spans="3:14" x14ac:dyDescent="0.3">
      <c r="C17362" s="54"/>
      <c r="N17362" s="33"/>
    </row>
    <row r="17363" spans="3:14" x14ac:dyDescent="0.3">
      <c r="C17363" s="54"/>
      <c r="N17363" s="33"/>
    </row>
    <row r="17364" spans="3:14" x14ac:dyDescent="0.3">
      <c r="C17364" s="54"/>
      <c r="N17364" s="33"/>
    </row>
    <row r="17365" spans="3:14" x14ac:dyDescent="0.3">
      <c r="C17365" s="54"/>
      <c r="N17365" s="33"/>
    </row>
    <row r="17366" spans="3:14" x14ac:dyDescent="0.3">
      <c r="C17366" s="54"/>
      <c r="N17366" s="33"/>
    </row>
    <row r="17367" spans="3:14" x14ac:dyDescent="0.3">
      <c r="C17367" s="54"/>
      <c r="N17367" s="33"/>
    </row>
    <row r="17368" spans="3:14" x14ac:dyDescent="0.3">
      <c r="C17368" s="54"/>
      <c r="N17368" s="33"/>
    </row>
    <row r="17369" spans="3:14" x14ac:dyDescent="0.3">
      <c r="C17369" s="54"/>
      <c r="N17369" s="33"/>
    </row>
    <row r="17370" spans="3:14" x14ac:dyDescent="0.3">
      <c r="C17370" s="54"/>
      <c r="N17370" s="33"/>
    </row>
    <row r="17371" spans="3:14" x14ac:dyDescent="0.3">
      <c r="C17371" s="54"/>
      <c r="N17371" s="33"/>
    </row>
    <row r="17372" spans="3:14" x14ac:dyDescent="0.3">
      <c r="C17372" s="54"/>
      <c r="N17372" s="33"/>
    </row>
    <row r="17373" spans="3:14" x14ac:dyDescent="0.3">
      <c r="C17373" s="54"/>
      <c r="N17373" s="33"/>
    </row>
    <row r="17374" spans="3:14" x14ac:dyDescent="0.3">
      <c r="C17374" s="54"/>
      <c r="N17374" s="33"/>
    </row>
    <row r="17375" spans="3:14" x14ac:dyDescent="0.3">
      <c r="C17375" s="54"/>
      <c r="N17375" s="33"/>
    </row>
    <row r="17376" spans="3:14" x14ac:dyDescent="0.3">
      <c r="C17376" s="54"/>
      <c r="N17376" s="33"/>
    </row>
    <row r="17377" spans="3:14" x14ac:dyDescent="0.3">
      <c r="C17377" s="54"/>
      <c r="N17377" s="33"/>
    </row>
    <row r="17378" spans="3:14" x14ac:dyDescent="0.3">
      <c r="C17378" s="54"/>
      <c r="N17378" s="33"/>
    </row>
    <row r="17379" spans="3:14" x14ac:dyDescent="0.3">
      <c r="C17379" s="54"/>
      <c r="N17379" s="33"/>
    </row>
    <row r="17380" spans="3:14" x14ac:dyDescent="0.3">
      <c r="C17380" s="54"/>
      <c r="N17380" s="33"/>
    </row>
    <row r="17381" spans="3:14" x14ac:dyDescent="0.3">
      <c r="C17381" s="54"/>
      <c r="N17381" s="33"/>
    </row>
    <row r="17382" spans="3:14" x14ac:dyDescent="0.3">
      <c r="C17382" s="54"/>
      <c r="N17382" s="33"/>
    </row>
    <row r="17383" spans="3:14" x14ac:dyDescent="0.3">
      <c r="C17383" s="54"/>
      <c r="N17383" s="33"/>
    </row>
    <row r="17384" spans="3:14" x14ac:dyDescent="0.3">
      <c r="C17384" s="54"/>
      <c r="N17384" s="33"/>
    </row>
    <row r="17385" spans="3:14" x14ac:dyDescent="0.3">
      <c r="C17385" s="54"/>
      <c r="N17385" s="33"/>
    </row>
    <row r="17386" spans="3:14" x14ac:dyDescent="0.3">
      <c r="C17386" s="54"/>
      <c r="N17386" s="33"/>
    </row>
    <row r="17387" spans="3:14" x14ac:dyDescent="0.3">
      <c r="C17387" s="54"/>
      <c r="N17387" s="33"/>
    </row>
    <row r="17388" spans="3:14" x14ac:dyDescent="0.3">
      <c r="C17388" s="54"/>
      <c r="N17388" s="33"/>
    </row>
    <row r="17389" spans="3:14" x14ac:dyDescent="0.3">
      <c r="C17389" s="54"/>
      <c r="N17389" s="33"/>
    </row>
    <row r="17390" spans="3:14" x14ac:dyDescent="0.3">
      <c r="C17390" s="54"/>
      <c r="N17390" s="33"/>
    </row>
    <row r="17391" spans="3:14" x14ac:dyDescent="0.3">
      <c r="C17391" s="54"/>
      <c r="N17391" s="33"/>
    </row>
    <row r="17392" spans="3:14" x14ac:dyDescent="0.3">
      <c r="C17392" s="54"/>
      <c r="N17392" s="33"/>
    </row>
    <row r="17393" spans="3:14" x14ac:dyDescent="0.3">
      <c r="C17393" s="54"/>
      <c r="N17393" s="33"/>
    </row>
    <row r="17394" spans="3:14" x14ac:dyDescent="0.3">
      <c r="C17394" s="54"/>
      <c r="N17394" s="33"/>
    </row>
    <row r="17395" spans="3:14" x14ac:dyDescent="0.3">
      <c r="C17395" s="54"/>
      <c r="N17395" s="33"/>
    </row>
    <row r="17396" spans="3:14" x14ac:dyDescent="0.3">
      <c r="C17396" s="54"/>
      <c r="N17396" s="33"/>
    </row>
    <row r="17397" spans="3:14" x14ac:dyDescent="0.3">
      <c r="C17397" s="54"/>
      <c r="N17397" s="33"/>
    </row>
    <row r="17398" spans="3:14" x14ac:dyDescent="0.3">
      <c r="C17398" s="54"/>
      <c r="N17398" s="33"/>
    </row>
    <row r="17399" spans="3:14" x14ac:dyDescent="0.3">
      <c r="C17399" s="54"/>
      <c r="N17399" s="33"/>
    </row>
    <row r="17400" spans="3:14" x14ac:dyDescent="0.3">
      <c r="C17400" s="54"/>
      <c r="N17400" s="33"/>
    </row>
    <row r="17401" spans="3:14" x14ac:dyDescent="0.3">
      <c r="C17401" s="54"/>
      <c r="N17401" s="33"/>
    </row>
    <row r="17402" spans="3:14" x14ac:dyDescent="0.3">
      <c r="C17402" s="54"/>
      <c r="N17402" s="33"/>
    </row>
    <row r="17403" spans="3:14" x14ac:dyDescent="0.3">
      <c r="C17403" s="54"/>
      <c r="N17403" s="33"/>
    </row>
    <row r="17404" spans="3:14" x14ac:dyDescent="0.3">
      <c r="C17404" s="54"/>
      <c r="N17404" s="33"/>
    </row>
    <row r="17405" spans="3:14" x14ac:dyDescent="0.3">
      <c r="C17405" s="54"/>
      <c r="N17405" s="33"/>
    </row>
    <row r="17406" spans="3:14" x14ac:dyDescent="0.3">
      <c r="C17406" s="54"/>
      <c r="N17406" s="33"/>
    </row>
    <row r="17407" spans="3:14" x14ac:dyDescent="0.3">
      <c r="C17407" s="54"/>
      <c r="N17407" s="33"/>
    </row>
    <row r="17408" spans="3:14" x14ac:dyDescent="0.3">
      <c r="C17408" s="54"/>
      <c r="N17408" s="33"/>
    </row>
    <row r="17409" spans="3:14" x14ac:dyDescent="0.3">
      <c r="C17409" s="54"/>
      <c r="N17409" s="33"/>
    </row>
    <row r="17410" spans="3:14" x14ac:dyDescent="0.3">
      <c r="C17410" s="54"/>
      <c r="N17410" s="33"/>
    </row>
    <row r="17411" spans="3:14" x14ac:dyDescent="0.3">
      <c r="C17411" s="54"/>
      <c r="N17411" s="33"/>
    </row>
    <row r="17412" spans="3:14" x14ac:dyDescent="0.3">
      <c r="C17412" s="54"/>
      <c r="N17412" s="33"/>
    </row>
    <row r="17413" spans="3:14" x14ac:dyDescent="0.3">
      <c r="C17413" s="54"/>
      <c r="N17413" s="33"/>
    </row>
    <row r="17414" spans="3:14" x14ac:dyDescent="0.3">
      <c r="C17414" s="54"/>
      <c r="N17414" s="33"/>
    </row>
    <row r="17415" spans="3:14" x14ac:dyDescent="0.3">
      <c r="C17415" s="54"/>
      <c r="N17415" s="33"/>
    </row>
    <row r="17416" spans="3:14" x14ac:dyDescent="0.3">
      <c r="C17416" s="54"/>
      <c r="N17416" s="33"/>
    </row>
    <row r="17417" spans="3:14" x14ac:dyDescent="0.3">
      <c r="C17417" s="54"/>
      <c r="N17417" s="33"/>
    </row>
    <row r="17418" spans="3:14" x14ac:dyDescent="0.3">
      <c r="C17418" s="54"/>
      <c r="N17418" s="33"/>
    </row>
    <row r="17419" spans="3:14" x14ac:dyDescent="0.3">
      <c r="C17419" s="54"/>
      <c r="N17419" s="33"/>
    </row>
    <row r="17420" spans="3:14" x14ac:dyDescent="0.3">
      <c r="C17420" s="54"/>
      <c r="N17420" s="33"/>
    </row>
    <row r="17421" spans="3:14" x14ac:dyDescent="0.3">
      <c r="C17421" s="54"/>
      <c r="N17421" s="33"/>
    </row>
    <row r="17422" spans="3:14" x14ac:dyDescent="0.3">
      <c r="C17422" s="54"/>
      <c r="N17422" s="33"/>
    </row>
    <row r="17423" spans="3:14" x14ac:dyDescent="0.3">
      <c r="C17423" s="54"/>
      <c r="N17423" s="33"/>
    </row>
    <row r="17424" spans="3:14" x14ac:dyDescent="0.3">
      <c r="C17424" s="54"/>
      <c r="N17424" s="33"/>
    </row>
    <row r="17425" spans="3:14" x14ac:dyDescent="0.3">
      <c r="C17425" s="54"/>
      <c r="N17425" s="33"/>
    </row>
    <row r="17426" spans="3:14" x14ac:dyDescent="0.3">
      <c r="C17426" s="54"/>
      <c r="N17426" s="33"/>
    </row>
    <row r="17427" spans="3:14" x14ac:dyDescent="0.3">
      <c r="C17427" s="54"/>
      <c r="N17427" s="33"/>
    </row>
    <row r="17428" spans="3:14" x14ac:dyDescent="0.3">
      <c r="C17428" s="54"/>
      <c r="N17428" s="33"/>
    </row>
    <row r="17429" spans="3:14" x14ac:dyDescent="0.3">
      <c r="C17429" s="54"/>
      <c r="N17429" s="33"/>
    </row>
    <row r="17430" spans="3:14" x14ac:dyDescent="0.3">
      <c r="C17430" s="54"/>
      <c r="N17430" s="33"/>
    </row>
    <row r="17431" spans="3:14" x14ac:dyDescent="0.3">
      <c r="C17431" s="54"/>
      <c r="N17431" s="33"/>
    </row>
    <row r="17432" spans="3:14" x14ac:dyDescent="0.3">
      <c r="C17432" s="54"/>
      <c r="N17432" s="33"/>
    </row>
    <row r="17433" spans="3:14" x14ac:dyDescent="0.3">
      <c r="C17433" s="54"/>
      <c r="N17433" s="33"/>
    </row>
    <row r="17434" spans="3:14" x14ac:dyDescent="0.3">
      <c r="C17434" s="54"/>
      <c r="N17434" s="33"/>
    </row>
    <row r="17435" spans="3:14" x14ac:dyDescent="0.3">
      <c r="C17435" s="54"/>
      <c r="N17435" s="33"/>
    </row>
    <row r="17436" spans="3:14" x14ac:dyDescent="0.3">
      <c r="C17436" s="54"/>
      <c r="N17436" s="33"/>
    </row>
    <row r="17437" spans="3:14" x14ac:dyDescent="0.3">
      <c r="C17437" s="54"/>
      <c r="N17437" s="33"/>
    </row>
    <row r="17438" spans="3:14" x14ac:dyDescent="0.3">
      <c r="C17438" s="54"/>
      <c r="N17438" s="33"/>
    </row>
    <row r="17439" spans="3:14" x14ac:dyDescent="0.3">
      <c r="C17439" s="54"/>
      <c r="N17439" s="33"/>
    </row>
    <row r="17440" spans="3:14" x14ac:dyDescent="0.3">
      <c r="C17440" s="54"/>
      <c r="N17440" s="33"/>
    </row>
    <row r="17441" spans="3:14" x14ac:dyDescent="0.3">
      <c r="C17441" s="54"/>
      <c r="N17441" s="33"/>
    </row>
    <row r="17442" spans="3:14" x14ac:dyDescent="0.3">
      <c r="C17442" s="54"/>
      <c r="N17442" s="33"/>
    </row>
    <row r="17443" spans="3:14" x14ac:dyDescent="0.3">
      <c r="C17443" s="54"/>
      <c r="N17443" s="33"/>
    </row>
    <row r="17444" spans="3:14" x14ac:dyDescent="0.3">
      <c r="C17444" s="54"/>
      <c r="N17444" s="33"/>
    </row>
    <row r="17445" spans="3:14" x14ac:dyDescent="0.3">
      <c r="C17445" s="54"/>
      <c r="N17445" s="33"/>
    </row>
    <row r="17446" spans="3:14" x14ac:dyDescent="0.3">
      <c r="C17446" s="54"/>
      <c r="N17446" s="33"/>
    </row>
    <row r="17447" spans="3:14" x14ac:dyDescent="0.3">
      <c r="C17447" s="54"/>
      <c r="N17447" s="33"/>
    </row>
    <row r="17448" spans="3:14" x14ac:dyDescent="0.3">
      <c r="C17448" s="54"/>
      <c r="N17448" s="33"/>
    </row>
    <row r="17449" spans="3:14" x14ac:dyDescent="0.3">
      <c r="C17449" s="54"/>
      <c r="N17449" s="33"/>
    </row>
    <row r="17450" spans="3:14" x14ac:dyDescent="0.3">
      <c r="C17450" s="54"/>
      <c r="N17450" s="33"/>
    </row>
    <row r="17451" spans="3:14" x14ac:dyDescent="0.3">
      <c r="C17451" s="54"/>
      <c r="N17451" s="33"/>
    </row>
    <row r="17452" spans="3:14" x14ac:dyDescent="0.3">
      <c r="C17452" s="54"/>
      <c r="N17452" s="33"/>
    </row>
    <row r="17453" spans="3:14" x14ac:dyDescent="0.3">
      <c r="C17453" s="54"/>
      <c r="N17453" s="33"/>
    </row>
    <row r="17454" spans="3:14" x14ac:dyDescent="0.3">
      <c r="C17454" s="54"/>
      <c r="N17454" s="33"/>
    </row>
    <row r="17455" spans="3:14" x14ac:dyDescent="0.3">
      <c r="C17455" s="54"/>
      <c r="N17455" s="33"/>
    </row>
    <row r="17456" spans="3:14" x14ac:dyDescent="0.3">
      <c r="C17456" s="54"/>
      <c r="N17456" s="33"/>
    </row>
    <row r="17457" spans="3:14" x14ac:dyDescent="0.3">
      <c r="C17457" s="54"/>
      <c r="N17457" s="33"/>
    </row>
    <row r="17458" spans="3:14" x14ac:dyDescent="0.3">
      <c r="C17458" s="54"/>
      <c r="N17458" s="33"/>
    </row>
    <row r="17459" spans="3:14" x14ac:dyDescent="0.3">
      <c r="C17459" s="54"/>
      <c r="N17459" s="33"/>
    </row>
    <row r="17460" spans="3:14" x14ac:dyDescent="0.3">
      <c r="C17460" s="54"/>
      <c r="N17460" s="33"/>
    </row>
    <row r="17461" spans="3:14" x14ac:dyDescent="0.3">
      <c r="C17461" s="54"/>
      <c r="N17461" s="33"/>
    </row>
    <row r="17462" spans="3:14" x14ac:dyDescent="0.3">
      <c r="C17462" s="54"/>
      <c r="N17462" s="33"/>
    </row>
    <row r="17463" spans="3:14" x14ac:dyDescent="0.3">
      <c r="C17463" s="54"/>
      <c r="N17463" s="33"/>
    </row>
    <row r="17464" spans="3:14" x14ac:dyDescent="0.3">
      <c r="C17464" s="54"/>
      <c r="N17464" s="33"/>
    </row>
    <row r="17465" spans="3:14" x14ac:dyDescent="0.3">
      <c r="C17465" s="54"/>
      <c r="N17465" s="33"/>
    </row>
    <row r="17466" spans="3:14" x14ac:dyDescent="0.3">
      <c r="C17466" s="54"/>
      <c r="N17466" s="33"/>
    </row>
    <row r="17467" spans="3:14" x14ac:dyDescent="0.3">
      <c r="C17467" s="54"/>
      <c r="N17467" s="33"/>
    </row>
    <row r="17468" spans="3:14" x14ac:dyDescent="0.3">
      <c r="C17468" s="54"/>
      <c r="N17468" s="33"/>
    </row>
    <row r="17469" spans="3:14" x14ac:dyDescent="0.3">
      <c r="C17469" s="54"/>
      <c r="N17469" s="33"/>
    </row>
    <row r="17470" spans="3:14" x14ac:dyDescent="0.3">
      <c r="C17470" s="54"/>
      <c r="N17470" s="33"/>
    </row>
    <row r="17471" spans="3:14" x14ac:dyDescent="0.3">
      <c r="C17471" s="54"/>
      <c r="N17471" s="33"/>
    </row>
    <row r="17472" spans="3:14" x14ac:dyDescent="0.3">
      <c r="C17472" s="54"/>
      <c r="N17472" s="33"/>
    </row>
    <row r="17473" spans="3:14" x14ac:dyDescent="0.3">
      <c r="C17473" s="54"/>
      <c r="N17473" s="33"/>
    </row>
    <row r="17474" spans="3:14" x14ac:dyDescent="0.3">
      <c r="C17474" s="54"/>
      <c r="N17474" s="33"/>
    </row>
    <row r="17475" spans="3:14" x14ac:dyDescent="0.3">
      <c r="C17475" s="54"/>
      <c r="N17475" s="33"/>
    </row>
    <row r="17476" spans="3:14" x14ac:dyDescent="0.3">
      <c r="C17476" s="54"/>
      <c r="N17476" s="33"/>
    </row>
    <row r="17477" spans="3:14" x14ac:dyDescent="0.3">
      <c r="C17477" s="54"/>
      <c r="N17477" s="33"/>
    </row>
    <row r="17478" spans="3:14" x14ac:dyDescent="0.3">
      <c r="C17478" s="54"/>
      <c r="N17478" s="33"/>
    </row>
    <row r="17479" spans="3:14" x14ac:dyDescent="0.3">
      <c r="C17479" s="54"/>
      <c r="N17479" s="33"/>
    </row>
    <row r="17480" spans="3:14" x14ac:dyDescent="0.3">
      <c r="C17480" s="54"/>
      <c r="N17480" s="33"/>
    </row>
    <row r="17481" spans="3:14" x14ac:dyDescent="0.3">
      <c r="C17481" s="54"/>
      <c r="N17481" s="33"/>
    </row>
    <row r="17482" spans="3:14" x14ac:dyDescent="0.3">
      <c r="C17482" s="54"/>
      <c r="N17482" s="33"/>
    </row>
    <row r="17483" spans="3:14" x14ac:dyDescent="0.3">
      <c r="C17483" s="54"/>
      <c r="N17483" s="33"/>
    </row>
    <row r="17484" spans="3:14" x14ac:dyDescent="0.3">
      <c r="C17484" s="54"/>
      <c r="N17484" s="33"/>
    </row>
    <row r="17485" spans="3:14" x14ac:dyDescent="0.3">
      <c r="C17485" s="54"/>
      <c r="N17485" s="33"/>
    </row>
    <row r="17486" spans="3:14" x14ac:dyDescent="0.3">
      <c r="C17486" s="54"/>
      <c r="N17486" s="33"/>
    </row>
    <row r="17487" spans="3:14" x14ac:dyDescent="0.3">
      <c r="C17487" s="54"/>
      <c r="N17487" s="33"/>
    </row>
    <row r="17488" spans="3:14" x14ac:dyDescent="0.3">
      <c r="C17488" s="54"/>
      <c r="N17488" s="33"/>
    </row>
    <row r="17489" spans="3:14" x14ac:dyDescent="0.3">
      <c r="C17489" s="54"/>
      <c r="N17489" s="33"/>
    </row>
    <row r="17490" spans="3:14" x14ac:dyDescent="0.3">
      <c r="C17490" s="54"/>
      <c r="N17490" s="33"/>
    </row>
    <row r="17491" spans="3:14" x14ac:dyDescent="0.3">
      <c r="C17491" s="54"/>
      <c r="N17491" s="33"/>
    </row>
    <row r="17492" spans="3:14" x14ac:dyDescent="0.3">
      <c r="C17492" s="54"/>
      <c r="N17492" s="33"/>
    </row>
    <row r="17493" spans="3:14" x14ac:dyDescent="0.3">
      <c r="C17493" s="54"/>
      <c r="N17493" s="33"/>
    </row>
    <row r="17494" spans="3:14" x14ac:dyDescent="0.3">
      <c r="C17494" s="54"/>
      <c r="N17494" s="33"/>
    </row>
    <row r="17495" spans="3:14" x14ac:dyDescent="0.3">
      <c r="C17495" s="54"/>
      <c r="N17495" s="33"/>
    </row>
    <row r="17496" spans="3:14" x14ac:dyDescent="0.3">
      <c r="C17496" s="54"/>
      <c r="N17496" s="33"/>
    </row>
    <row r="17497" spans="3:14" x14ac:dyDescent="0.3">
      <c r="C17497" s="54"/>
      <c r="N17497" s="33"/>
    </row>
    <row r="17498" spans="3:14" x14ac:dyDescent="0.3">
      <c r="C17498" s="54"/>
      <c r="N17498" s="33"/>
    </row>
    <row r="17499" spans="3:14" x14ac:dyDescent="0.3">
      <c r="C17499" s="54"/>
      <c r="N17499" s="33"/>
    </row>
    <row r="17500" spans="3:14" x14ac:dyDescent="0.3">
      <c r="C17500" s="54"/>
      <c r="N17500" s="33"/>
    </row>
    <row r="17501" spans="3:14" x14ac:dyDescent="0.3">
      <c r="C17501" s="54"/>
      <c r="N17501" s="33"/>
    </row>
    <row r="17502" spans="3:14" x14ac:dyDescent="0.3">
      <c r="C17502" s="54"/>
      <c r="N17502" s="33"/>
    </row>
    <row r="17503" spans="3:14" x14ac:dyDescent="0.3">
      <c r="C17503" s="54"/>
      <c r="N17503" s="33"/>
    </row>
    <row r="17504" spans="3:14" x14ac:dyDescent="0.3">
      <c r="C17504" s="54"/>
      <c r="N17504" s="33"/>
    </row>
    <row r="17505" spans="3:14" x14ac:dyDescent="0.3">
      <c r="C17505" s="54"/>
      <c r="N17505" s="33"/>
    </row>
    <row r="17506" spans="3:14" x14ac:dyDescent="0.3">
      <c r="C17506" s="54"/>
      <c r="N17506" s="33"/>
    </row>
    <row r="17507" spans="3:14" x14ac:dyDescent="0.3">
      <c r="C17507" s="54"/>
      <c r="N17507" s="33"/>
    </row>
    <row r="17508" spans="3:14" x14ac:dyDescent="0.3">
      <c r="C17508" s="54"/>
      <c r="N17508" s="33"/>
    </row>
    <row r="17509" spans="3:14" x14ac:dyDescent="0.3">
      <c r="C17509" s="54"/>
      <c r="N17509" s="33"/>
    </row>
    <row r="17510" spans="3:14" x14ac:dyDescent="0.3">
      <c r="C17510" s="54"/>
      <c r="N17510" s="33"/>
    </row>
    <row r="17511" spans="3:14" x14ac:dyDescent="0.3">
      <c r="C17511" s="54"/>
      <c r="N17511" s="33"/>
    </row>
    <row r="17512" spans="3:14" x14ac:dyDescent="0.3">
      <c r="C17512" s="54"/>
      <c r="N17512" s="33"/>
    </row>
    <row r="17513" spans="3:14" x14ac:dyDescent="0.3">
      <c r="C17513" s="54"/>
      <c r="N17513" s="33"/>
    </row>
    <row r="17514" spans="3:14" x14ac:dyDescent="0.3">
      <c r="C17514" s="54"/>
      <c r="N17514" s="33"/>
    </row>
    <row r="17515" spans="3:14" x14ac:dyDescent="0.3">
      <c r="C17515" s="54"/>
      <c r="N17515" s="33"/>
    </row>
    <row r="17516" spans="3:14" x14ac:dyDescent="0.3">
      <c r="C17516" s="54"/>
      <c r="N17516" s="33"/>
    </row>
    <row r="17517" spans="3:14" x14ac:dyDescent="0.3">
      <c r="C17517" s="54"/>
      <c r="N17517" s="33"/>
    </row>
    <row r="17518" spans="3:14" x14ac:dyDescent="0.3">
      <c r="C17518" s="54"/>
      <c r="N17518" s="33"/>
    </row>
    <row r="17519" spans="3:14" x14ac:dyDescent="0.3">
      <c r="C17519" s="54"/>
      <c r="N17519" s="33"/>
    </row>
    <row r="17520" spans="3:14" x14ac:dyDescent="0.3">
      <c r="C17520" s="54"/>
      <c r="N17520" s="33"/>
    </row>
    <row r="17521" spans="3:14" x14ac:dyDescent="0.3">
      <c r="C17521" s="54"/>
      <c r="N17521" s="33"/>
    </row>
    <row r="17522" spans="3:14" x14ac:dyDescent="0.3">
      <c r="C17522" s="54"/>
      <c r="N17522" s="33"/>
    </row>
    <row r="17523" spans="3:14" x14ac:dyDescent="0.3">
      <c r="C17523" s="54"/>
      <c r="N17523" s="33"/>
    </row>
    <row r="17524" spans="3:14" x14ac:dyDescent="0.3">
      <c r="C17524" s="54"/>
      <c r="N17524" s="33"/>
    </row>
    <row r="17525" spans="3:14" x14ac:dyDescent="0.3">
      <c r="C17525" s="54"/>
      <c r="N17525" s="33"/>
    </row>
    <row r="17526" spans="3:14" x14ac:dyDescent="0.3">
      <c r="C17526" s="54"/>
      <c r="N17526" s="33"/>
    </row>
    <row r="17527" spans="3:14" x14ac:dyDescent="0.3">
      <c r="C17527" s="54"/>
      <c r="N17527" s="33"/>
    </row>
    <row r="17528" spans="3:14" x14ac:dyDescent="0.3">
      <c r="C17528" s="54"/>
      <c r="N17528" s="33"/>
    </row>
    <row r="17529" spans="3:14" x14ac:dyDescent="0.3">
      <c r="C17529" s="54"/>
      <c r="N17529" s="33"/>
    </row>
    <row r="17530" spans="3:14" x14ac:dyDescent="0.3">
      <c r="C17530" s="54"/>
      <c r="N17530" s="33"/>
    </row>
    <row r="17531" spans="3:14" x14ac:dyDescent="0.3">
      <c r="C17531" s="54"/>
      <c r="N17531" s="33"/>
    </row>
    <row r="17532" spans="3:14" x14ac:dyDescent="0.3">
      <c r="C17532" s="54"/>
      <c r="N17532" s="33"/>
    </row>
    <row r="17533" spans="3:14" x14ac:dyDescent="0.3">
      <c r="C17533" s="54"/>
      <c r="N17533" s="33"/>
    </row>
    <row r="17534" spans="3:14" x14ac:dyDescent="0.3">
      <c r="C17534" s="54"/>
      <c r="N17534" s="33"/>
    </row>
    <row r="17535" spans="3:14" x14ac:dyDescent="0.3">
      <c r="C17535" s="54"/>
      <c r="N17535" s="33"/>
    </row>
    <row r="17536" spans="3:14" x14ac:dyDescent="0.3">
      <c r="C17536" s="54"/>
      <c r="N17536" s="33"/>
    </row>
    <row r="17537" spans="3:14" x14ac:dyDescent="0.3">
      <c r="C17537" s="54"/>
      <c r="N17537" s="33"/>
    </row>
    <row r="17538" spans="3:14" x14ac:dyDescent="0.3">
      <c r="C17538" s="54"/>
      <c r="N17538" s="33"/>
    </row>
    <row r="17539" spans="3:14" x14ac:dyDescent="0.3">
      <c r="C17539" s="54"/>
      <c r="N17539" s="33"/>
    </row>
    <row r="17540" spans="3:14" x14ac:dyDescent="0.3">
      <c r="C17540" s="54"/>
      <c r="N17540" s="33"/>
    </row>
    <row r="17541" spans="3:14" x14ac:dyDescent="0.3">
      <c r="C17541" s="54"/>
      <c r="N17541" s="33"/>
    </row>
    <row r="17542" spans="3:14" x14ac:dyDescent="0.3">
      <c r="C17542" s="54"/>
      <c r="N17542" s="33"/>
    </row>
    <row r="17543" spans="3:14" x14ac:dyDescent="0.3">
      <c r="C17543" s="54"/>
      <c r="N17543" s="33"/>
    </row>
    <row r="17544" spans="3:14" x14ac:dyDescent="0.3">
      <c r="C17544" s="54"/>
      <c r="N17544" s="33"/>
    </row>
    <row r="17545" spans="3:14" x14ac:dyDescent="0.3">
      <c r="C17545" s="54"/>
      <c r="N17545" s="33"/>
    </row>
    <row r="17546" spans="3:14" x14ac:dyDescent="0.3">
      <c r="C17546" s="54"/>
      <c r="N17546" s="33"/>
    </row>
    <row r="17547" spans="3:14" x14ac:dyDescent="0.3">
      <c r="C17547" s="54"/>
      <c r="N17547" s="33"/>
    </row>
    <row r="17548" spans="3:14" x14ac:dyDescent="0.3">
      <c r="C17548" s="54"/>
      <c r="N17548" s="33"/>
    </row>
    <row r="17549" spans="3:14" x14ac:dyDescent="0.3">
      <c r="C17549" s="54"/>
      <c r="N17549" s="33"/>
    </row>
    <row r="17550" spans="3:14" x14ac:dyDescent="0.3">
      <c r="C17550" s="54"/>
      <c r="N17550" s="33"/>
    </row>
    <row r="17551" spans="3:14" x14ac:dyDescent="0.3">
      <c r="C17551" s="54"/>
      <c r="N17551" s="33"/>
    </row>
    <row r="17552" spans="3:14" x14ac:dyDescent="0.3">
      <c r="C17552" s="54"/>
      <c r="N17552" s="33"/>
    </row>
    <row r="17553" spans="3:14" x14ac:dyDescent="0.3">
      <c r="C17553" s="54"/>
      <c r="N17553" s="33"/>
    </row>
    <row r="17554" spans="3:14" x14ac:dyDescent="0.3">
      <c r="C17554" s="54"/>
      <c r="N17554" s="33"/>
    </row>
    <row r="17555" spans="3:14" x14ac:dyDescent="0.3">
      <c r="C17555" s="54"/>
      <c r="N17555" s="33"/>
    </row>
    <row r="17556" spans="3:14" x14ac:dyDescent="0.3">
      <c r="C17556" s="54"/>
      <c r="N17556" s="33"/>
    </row>
    <row r="17557" spans="3:14" x14ac:dyDescent="0.3">
      <c r="C17557" s="54"/>
      <c r="N17557" s="33"/>
    </row>
    <row r="17558" spans="3:14" x14ac:dyDescent="0.3">
      <c r="C17558" s="54"/>
      <c r="N17558" s="33"/>
    </row>
    <row r="17559" spans="3:14" x14ac:dyDescent="0.3">
      <c r="C17559" s="54"/>
      <c r="N17559" s="33"/>
    </row>
    <row r="17560" spans="3:14" x14ac:dyDescent="0.3">
      <c r="C17560" s="54"/>
      <c r="N17560" s="33"/>
    </row>
    <row r="17561" spans="3:14" x14ac:dyDescent="0.3">
      <c r="C17561" s="54"/>
      <c r="N17561" s="33"/>
    </row>
    <row r="17562" spans="3:14" x14ac:dyDescent="0.3">
      <c r="C17562" s="54"/>
      <c r="N17562" s="33"/>
    </row>
    <row r="17563" spans="3:14" x14ac:dyDescent="0.3">
      <c r="C17563" s="54"/>
      <c r="N17563" s="33"/>
    </row>
    <row r="17564" spans="3:14" x14ac:dyDescent="0.3">
      <c r="C17564" s="54"/>
      <c r="N17564" s="33"/>
    </row>
    <row r="17565" spans="3:14" x14ac:dyDescent="0.3">
      <c r="C17565" s="54"/>
      <c r="N17565" s="33"/>
    </row>
    <row r="17566" spans="3:14" x14ac:dyDescent="0.3">
      <c r="C17566" s="54"/>
      <c r="N17566" s="33"/>
    </row>
    <row r="17567" spans="3:14" x14ac:dyDescent="0.3">
      <c r="C17567" s="54"/>
      <c r="N17567" s="33"/>
    </row>
    <row r="17568" spans="3:14" x14ac:dyDescent="0.3">
      <c r="C17568" s="54"/>
      <c r="N17568" s="33"/>
    </row>
    <row r="17569" spans="3:14" x14ac:dyDescent="0.3">
      <c r="C17569" s="54"/>
      <c r="N17569" s="33"/>
    </row>
    <row r="17570" spans="3:14" x14ac:dyDescent="0.3">
      <c r="C17570" s="54"/>
      <c r="N17570" s="33"/>
    </row>
    <row r="17571" spans="3:14" x14ac:dyDescent="0.3">
      <c r="C17571" s="54"/>
      <c r="N17571" s="33"/>
    </row>
    <row r="17572" spans="3:14" x14ac:dyDescent="0.3">
      <c r="C17572" s="54"/>
      <c r="N17572" s="33"/>
    </row>
    <row r="17573" spans="3:14" x14ac:dyDescent="0.3">
      <c r="C17573" s="54"/>
      <c r="N17573" s="33"/>
    </row>
    <row r="17574" spans="3:14" x14ac:dyDescent="0.3">
      <c r="C17574" s="54"/>
      <c r="N17574" s="33"/>
    </row>
    <row r="17575" spans="3:14" x14ac:dyDescent="0.3">
      <c r="C17575" s="54"/>
      <c r="N17575" s="33"/>
    </row>
    <row r="17576" spans="3:14" x14ac:dyDescent="0.3">
      <c r="C17576" s="54"/>
      <c r="N17576" s="33"/>
    </row>
    <row r="17577" spans="3:14" x14ac:dyDescent="0.3">
      <c r="C17577" s="54"/>
      <c r="N17577" s="33"/>
    </row>
    <row r="17578" spans="3:14" x14ac:dyDescent="0.3">
      <c r="C17578" s="54"/>
      <c r="N17578" s="33"/>
    </row>
    <row r="17579" spans="3:14" x14ac:dyDescent="0.3">
      <c r="C17579" s="54"/>
      <c r="N17579" s="33"/>
    </row>
    <row r="17580" spans="3:14" x14ac:dyDescent="0.3">
      <c r="C17580" s="54"/>
      <c r="N17580" s="33"/>
    </row>
    <row r="17581" spans="3:14" x14ac:dyDescent="0.3">
      <c r="C17581" s="54"/>
      <c r="N17581" s="33"/>
    </row>
    <row r="17582" spans="3:14" x14ac:dyDescent="0.3">
      <c r="C17582" s="54"/>
      <c r="N17582" s="33"/>
    </row>
    <row r="17583" spans="3:14" x14ac:dyDescent="0.3">
      <c r="C17583" s="54"/>
      <c r="N17583" s="33"/>
    </row>
    <row r="17584" spans="3:14" x14ac:dyDescent="0.3">
      <c r="C17584" s="54"/>
      <c r="N17584" s="33"/>
    </row>
    <row r="17585" spans="3:14" x14ac:dyDescent="0.3">
      <c r="C17585" s="54"/>
      <c r="N17585" s="33"/>
    </row>
    <row r="17586" spans="3:14" x14ac:dyDescent="0.3">
      <c r="C17586" s="54"/>
      <c r="N17586" s="33"/>
    </row>
    <row r="17587" spans="3:14" x14ac:dyDescent="0.3">
      <c r="C17587" s="54"/>
      <c r="N17587" s="33"/>
    </row>
    <row r="17588" spans="3:14" x14ac:dyDescent="0.3">
      <c r="C17588" s="54"/>
      <c r="N17588" s="33"/>
    </row>
    <row r="17589" spans="3:14" x14ac:dyDescent="0.3">
      <c r="C17589" s="54"/>
      <c r="N17589" s="33"/>
    </row>
    <row r="17590" spans="3:14" x14ac:dyDescent="0.3">
      <c r="C17590" s="54"/>
      <c r="N17590" s="33"/>
    </row>
    <row r="17591" spans="3:14" x14ac:dyDescent="0.3">
      <c r="C17591" s="54"/>
      <c r="N17591" s="33"/>
    </row>
    <row r="17592" spans="3:14" x14ac:dyDescent="0.3">
      <c r="C17592" s="54"/>
      <c r="N17592" s="33"/>
    </row>
    <row r="17593" spans="3:14" x14ac:dyDescent="0.3">
      <c r="C17593" s="54"/>
      <c r="N17593" s="33"/>
    </row>
    <row r="17594" spans="3:14" x14ac:dyDescent="0.3">
      <c r="C17594" s="54"/>
      <c r="N17594" s="33"/>
    </row>
    <row r="17595" spans="3:14" x14ac:dyDescent="0.3">
      <c r="C17595" s="54"/>
      <c r="N17595" s="33"/>
    </row>
    <row r="17596" spans="3:14" x14ac:dyDescent="0.3">
      <c r="C17596" s="54"/>
      <c r="N17596" s="33"/>
    </row>
    <row r="17597" spans="3:14" x14ac:dyDescent="0.3">
      <c r="C17597" s="54"/>
      <c r="N17597" s="33"/>
    </row>
    <row r="17598" spans="3:14" x14ac:dyDescent="0.3">
      <c r="C17598" s="54"/>
      <c r="N17598" s="33"/>
    </row>
    <row r="17599" spans="3:14" x14ac:dyDescent="0.3">
      <c r="C17599" s="54"/>
      <c r="N17599" s="33"/>
    </row>
    <row r="17600" spans="3:14" x14ac:dyDescent="0.3">
      <c r="C17600" s="54"/>
      <c r="N17600" s="33"/>
    </row>
    <row r="17601" spans="3:14" x14ac:dyDescent="0.3">
      <c r="C17601" s="54"/>
      <c r="N17601" s="33"/>
    </row>
    <row r="17602" spans="3:14" x14ac:dyDescent="0.3">
      <c r="C17602" s="54"/>
      <c r="N17602" s="33"/>
    </row>
    <row r="17603" spans="3:14" x14ac:dyDescent="0.3">
      <c r="C17603" s="54"/>
      <c r="N17603" s="33"/>
    </row>
    <row r="17604" spans="3:14" x14ac:dyDescent="0.3">
      <c r="C17604" s="54"/>
      <c r="N17604" s="33"/>
    </row>
    <row r="17605" spans="3:14" x14ac:dyDescent="0.3">
      <c r="C17605" s="54"/>
      <c r="N17605" s="33"/>
    </row>
    <row r="17606" spans="3:14" x14ac:dyDescent="0.3">
      <c r="C17606" s="54"/>
      <c r="N17606" s="33"/>
    </row>
    <row r="17607" spans="3:14" x14ac:dyDescent="0.3">
      <c r="C17607" s="54"/>
      <c r="N17607" s="33"/>
    </row>
    <row r="17608" spans="3:14" x14ac:dyDescent="0.3">
      <c r="C17608" s="54"/>
      <c r="N17608" s="33"/>
    </row>
    <row r="17609" spans="3:14" x14ac:dyDescent="0.3">
      <c r="C17609" s="54"/>
      <c r="N17609" s="33"/>
    </row>
    <row r="17610" spans="3:14" x14ac:dyDescent="0.3">
      <c r="C17610" s="54"/>
      <c r="N17610" s="33"/>
    </row>
    <row r="17611" spans="3:14" x14ac:dyDescent="0.3">
      <c r="C17611" s="54"/>
      <c r="N17611" s="33"/>
    </row>
    <row r="17612" spans="3:14" x14ac:dyDescent="0.3">
      <c r="C17612" s="54"/>
      <c r="N17612" s="33"/>
    </row>
    <row r="17613" spans="3:14" x14ac:dyDescent="0.3">
      <c r="C17613" s="54"/>
      <c r="N17613" s="33"/>
    </row>
    <row r="17614" spans="3:14" x14ac:dyDescent="0.3">
      <c r="C17614" s="54"/>
      <c r="N17614" s="33"/>
    </row>
    <row r="17615" spans="3:14" x14ac:dyDescent="0.3">
      <c r="C17615" s="54"/>
      <c r="N17615" s="33"/>
    </row>
    <row r="17616" spans="3:14" x14ac:dyDescent="0.3">
      <c r="C17616" s="54"/>
      <c r="N17616" s="33"/>
    </row>
    <row r="17617" spans="3:14" x14ac:dyDescent="0.3">
      <c r="C17617" s="54"/>
      <c r="N17617" s="33"/>
    </row>
    <row r="17618" spans="3:14" x14ac:dyDescent="0.3">
      <c r="C17618" s="54"/>
      <c r="N17618" s="33"/>
    </row>
    <row r="17619" spans="3:14" x14ac:dyDescent="0.3">
      <c r="C17619" s="54"/>
      <c r="N17619" s="33"/>
    </row>
    <row r="17620" spans="3:14" x14ac:dyDescent="0.3">
      <c r="C17620" s="54"/>
      <c r="N17620" s="33"/>
    </row>
    <row r="17621" spans="3:14" x14ac:dyDescent="0.3">
      <c r="C17621" s="54"/>
      <c r="N17621" s="33"/>
    </row>
    <row r="17622" spans="3:14" x14ac:dyDescent="0.3">
      <c r="C17622" s="54"/>
      <c r="N17622" s="33"/>
    </row>
    <row r="17623" spans="3:14" x14ac:dyDescent="0.3">
      <c r="C17623" s="54"/>
      <c r="N17623" s="33"/>
    </row>
    <row r="17624" spans="3:14" x14ac:dyDescent="0.3">
      <c r="C17624" s="54"/>
      <c r="N17624" s="33"/>
    </row>
    <row r="17625" spans="3:14" x14ac:dyDescent="0.3">
      <c r="C17625" s="54"/>
      <c r="N17625" s="33"/>
    </row>
    <row r="17626" spans="3:14" x14ac:dyDescent="0.3">
      <c r="C17626" s="54"/>
      <c r="N17626" s="33"/>
    </row>
    <row r="17627" spans="3:14" x14ac:dyDescent="0.3">
      <c r="C17627" s="54"/>
      <c r="N17627" s="33"/>
    </row>
    <row r="17628" spans="3:14" x14ac:dyDescent="0.3">
      <c r="C17628" s="54"/>
      <c r="N17628" s="33"/>
    </row>
    <row r="17629" spans="3:14" x14ac:dyDescent="0.3">
      <c r="C17629" s="54"/>
      <c r="N17629" s="33"/>
    </row>
    <row r="17630" spans="3:14" x14ac:dyDescent="0.3">
      <c r="C17630" s="54"/>
      <c r="N17630" s="33"/>
    </row>
    <row r="17631" spans="3:14" x14ac:dyDescent="0.3">
      <c r="C17631" s="54"/>
      <c r="N17631" s="33"/>
    </row>
    <row r="17632" spans="3:14" x14ac:dyDescent="0.3">
      <c r="C17632" s="54"/>
      <c r="N17632" s="33"/>
    </row>
    <row r="17633" spans="3:14" x14ac:dyDescent="0.3">
      <c r="C17633" s="54"/>
      <c r="N17633" s="33"/>
    </row>
    <row r="17634" spans="3:14" x14ac:dyDescent="0.3">
      <c r="C17634" s="54"/>
      <c r="N17634" s="33"/>
    </row>
    <row r="17635" spans="3:14" x14ac:dyDescent="0.3">
      <c r="C17635" s="54"/>
      <c r="N17635" s="33"/>
    </row>
    <row r="17636" spans="3:14" x14ac:dyDescent="0.3">
      <c r="C17636" s="54"/>
      <c r="N17636" s="33"/>
    </row>
    <row r="17637" spans="3:14" x14ac:dyDescent="0.3">
      <c r="C17637" s="54"/>
      <c r="N17637" s="33"/>
    </row>
    <row r="17638" spans="3:14" x14ac:dyDescent="0.3">
      <c r="C17638" s="54"/>
      <c r="N17638" s="33"/>
    </row>
    <row r="17639" spans="3:14" x14ac:dyDescent="0.3">
      <c r="C17639" s="54"/>
      <c r="N17639" s="33"/>
    </row>
    <row r="17640" spans="3:14" x14ac:dyDescent="0.3">
      <c r="C17640" s="54"/>
      <c r="N17640" s="33"/>
    </row>
    <row r="17641" spans="3:14" x14ac:dyDescent="0.3">
      <c r="C17641" s="54"/>
      <c r="N17641" s="33"/>
    </row>
    <row r="17642" spans="3:14" x14ac:dyDescent="0.3">
      <c r="C17642" s="54"/>
      <c r="N17642" s="33"/>
    </row>
    <row r="17643" spans="3:14" x14ac:dyDescent="0.3">
      <c r="C17643" s="54"/>
      <c r="N17643" s="33"/>
    </row>
    <row r="17644" spans="3:14" x14ac:dyDescent="0.3">
      <c r="C17644" s="54"/>
      <c r="N17644" s="33"/>
    </row>
    <row r="17645" spans="3:14" x14ac:dyDescent="0.3">
      <c r="C17645" s="54"/>
      <c r="N17645" s="33"/>
    </row>
    <row r="17646" spans="3:14" x14ac:dyDescent="0.3">
      <c r="C17646" s="54"/>
      <c r="N17646" s="33"/>
    </row>
    <row r="17647" spans="3:14" x14ac:dyDescent="0.3">
      <c r="C17647" s="54"/>
      <c r="N17647" s="33"/>
    </row>
    <row r="17648" spans="3:14" x14ac:dyDescent="0.3">
      <c r="C17648" s="54"/>
      <c r="N17648" s="33"/>
    </row>
    <row r="17649" spans="3:14" x14ac:dyDescent="0.3">
      <c r="C17649" s="54"/>
      <c r="N17649" s="33"/>
    </row>
    <row r="17650" spans="3:14" x14ac:dyDescent="0.3">
      <c r="C17650" s="54"/>
      <c r="N17650" s="33"/>
    </row>
    <row r="17651" spans="3:14" x14ac:dyDescent="0.3">
      <c r="C17651" s="54"/>
      <c r="N17651" s="33"/>
    </row>
    <row r="17652" spans="3:14" x14ac:dyDescent="0.3">
      <c r="C17652" s="54"/>
      <c r="N17652" s="33"/>
    </row>
    <row r="17653" spans="3:14" x14ac:dyDescent="0.3">
      <c r="C17653" s="54"/>
      <c r="N17653" s="33"/>
    </row>
    <row r="17654" spans="3:14" x14ac:dyDescent="0.3">
      <c r="C17654" s="54"/>
      <c r="N17654" s="33"/>
    </row>
    <row r="17655" spans="3:14" x14ac:dyDescent="0.3">
      <c r="C17655" s="54"/>
      <c r="N17655" s="33"/>
    </row>
    <row r="17656" spans="3:14" x14ac:dyDescent="0.3">
      <c r="C17656" s="54"/>
      <c r="N17656" s="33"/>
    </row>
    <row r="17657" spans="3:14" x14ac:dyDescent="0.3">
      <c r="C17657" s="54"/>
      <c r="N17657" s="33"/>
    </row>
    <row r="17658" spans="3:14" x14ac:dyDescent="0.3">
      <c r="C17658" s="54"/>
      <c r="N17658" s="33"/>
    </row>
    <row r="17659" spans="3:14" x14ac:dyDescent="0.3">
      <c r="C17659" s="54"/>
      <c r="N17659" s="33"/>
    </row>
    <row r="17660" spans="3:14" x14ac:dyDescent="0.3">
      <c r="C17660" s="54"/>
      <c r="N17660" s="33"/>
    </row>
    <row r="17661" spans="3:14" x14ac:dyDescent="0.3">
      <c r="C17661" s="54"/>
      <c r="N17661" s="33"/>
    </row>
    <row r="17662" spans="3:14" x14ac:dyDescent="0.3">
      <c r="C17662" s="54"/>
      <c r="N17662" s="33"/>
    </row>
    <row r="17663" spans="3:14" x14ac:dyDescent="0.3">
      <c r="C17663" s="54"/>
      <c r="N17663" s="33"/>
    </row>
    <row r="17664" spans="3:14" x14ac:dyDescent="0.3">
      <c r="C17664" s="54"/>
      <c r="N17664" s="33"/>
    </row>
    <row r="17665" spans="3:14" x14ac:dyDescent="0.3">
      <c r="C17665" s="54"/>
      <c r="N17665" s="33"/>
    </row>
    <row r="17666" spans="3:14" x14ac:dyDescent="0.3">
      <c r="C17666" s="54"/>
      <c r="N17666" s="33"/>
    </row>
    <row r="17667" spans="3:14" x14ac:dyDescent="0.3">
      <c r="C17667" s="54"/>
      <c r="N17667" s="33"/>
    </row>
    <row r="17668" spans="3:14" x14ac:dyDescent="0.3">
      <c r="C17668" s="54"/>
      <c r="N17668" s="33"/>
    </row>
    <row r="17669" spans="3:14" x14ac:dyDescent="0.3">
      <c r="C17669" s="54"/>
      <c r="N17669" s="33"/>
    </row>
    <row r="17670" spans="3:14" x14ac:dyDescent="0.3">
      <c r="C17670" s="54"/>
      <c r="N17670" s="33"/>
    </row>
    <row r="17671" spans="3:14" x14ac:dyDescent="0.3">
      <c r="C17671" s="54"/>
      <c r="N17671" s="33"/>
    </row>
    <row r="17672" spans="3:14" x14ac:dyDescent="0.3">
      <c r="C17672" s="54"/>
      <c r="N17672" s="33"/>
    </row>
    <row r="17673" spans="3:14" x14ac:dyDescent="0.3">
      <c r="C17673" s="54"/>
      <c r="N17673" s="33"/>
    </row>
    <row r="17674" spans="3:14" x14ac:dyDescent="0.3">
      <c r="C17674" s="54"/>
      <c r="N17674" s="33"/>
    </row>
    <row r="17675" spans="3:14" x14ac:dyDescent="0.3">
      <c r="C17675" s="54"/>
      <c r="N17675" s="33"/>
    </row>
    <row r="17676" spans="3:14" x14ac:dyDescent="0.3">
      <c r="C17676" s="54"/>
      <c r="N17676" s="33"/>
    </row>
    <row r="17677" spans="3:14" x14ac:dyDescent="0.3">
      <c r="C17677" s="54"/>
      <c r="N17677" s="33"/>
    </row>
    <row r="17678" spans="3:14" x14ac:dyDescent="0.3">
      <c r="C17678" s="54"/>
      <c r="N17678" s="33"/>
    </row>
    <row r="17679" spans="3:14" x14ac:dyDescent="0.3">
      <c r="C17679" s="54"/>
      <c r="N17679" s="33"/>
    </row>
    <row r="17680" spans="3:14" x14ac:dyDescent="0.3">
      <c r="C17680" s="54"/>
      <c r="N17680" s="33"/>
    </row>
    <row r="17681" spans="3:14" x14ac:dyDescent="0.3">
      <c r="C17681" s="54"/>
      <c r="N17681" s="33"/>
    </row>
    <row r="17682" spans="3:14" x14ac:dyDescent="0.3">
      <c r="C17682" s="54"/>
      <c r="N17682" s="33"/>
    </row>
    <row r="17683" spans="3:14" x14ac:dyDescent="0.3">
      <c r="C17683" s="54"/>
      <c r="N17683" s="33"/>
    </row>
    <row r="17684" spans="3:14" x14ac:dyDescent="0.3">
      <c r="C17684" s="54"/>
      <c r="N17684" s="33"/>
    </row>
    <row r="17685" spans="3:14" x14ac:dyDescent="0.3">
      <c r="C17685" s="54"/>
      <c r="N17685" s="33"/>
    </row>
    <row r="17686" spans="3:14" x14ac:dyDescent="0.3">
      <c r="C17686" s="54"/>
      <c r="N17686" s="33"/>
    </row>
    <row r="17687" spans="3:14" x14ac:dyDescent="0.3">
      <c r="C17687" s="54"/>
      <c r="N17687" s="33"/>
    </row>
    <row r="17688" spans="3:14" x14ac:dyDescent="0.3">
      <c r="C17688" s="54"/>
      <c r="N17688" s="33"/>
    </row>
    <row r="17689" spans="3:14" x14ac:dyDescent="0.3">
      <c r="C17689" s="54"/>
      <c r="N17689" s="33"/>
    </row>
    <row r="17690" spans="3:14" x14ac:dyDescent="0.3">
      <c r="C17690" s="54"/>
      <c r="N17690" s="33"/>
    </row>
    <row r="17691" spans="3:14" x14ac:dyDescent="0.3">
      <c r="C17691" s="54"/>
      <c r="N17691" s="33"/>
    </row>
    <row r="17692" spans="3:14" x14ac:dyDescent="0.3">
      <c r="C17692" s="54"/>
      <c r="N17692" s="33"/>
    </row>
    <row r="17693" spans="3:14" x14ac:dyDescent="0.3">
      <c r="C17693" s="54"/>
      <c r="N17693" s="33"/>
    </row>
    <row r="17694" spans="3:14" x14ac:dyDescent="0.3">
      <c r="C17694" s="54"/>
      <c r="N17694" s="33"/>
    </row>
    <row r="17695" spans="3:14" x14ac:dyDescent="0.3">
      <c r="C17695" s="54"/>
      <c r="N17695" s="33"/>
    </row>
    <row r="17696" spans="3:14" x14ac:dyDescent="0.3">
      <c r="C17696" s="54"/>
      <c r="N17696" s="33"/>
    </row>
    <row r="17697" spans="3:14" x14ac:dyDescent="0.3">
      <c r="C17697" s="54"/>
      <c r="N17697" s="33"/>
    </row>
    <row r="17698" spans="3:14" x14ac:dyDescent="0.3">
      <c r="C17698" s="54"/>
      <c r="N17698" s="33"/>
    </row>
    <row r="17699" spans="3:14" x14ac:dyDescent="0.3">
      <c r="C17699" s="54"/>
      <c r="N17699" s="33"/>
    </row>
    <row r="17700" spans="3:14" x14ac:dyDescent="0.3">
      <c r="C17700" s="54"/>
      <c r="N17700" s="33"/>
    </row>
    <row r="17701" spans="3:14" x14ac:dyDescent="0.3">
      <c r="C17701" s="54"/>
      <c r="N17701" s="33"/>
    </row>
    <row r="17702" spans="3:14" x14ac:dyDescent="0.3">
      <c r="C17702" s="54"/>
      <c r="N17702" s="33"/>
    </row>
    <row r="17703" spans="3:14" x14ac:dyDescent="0.3">
      <c r="C17703" s="54"/>
      <c r="N17703" s="33"/>
    </row>
    <row r="17704" spans="3:14" x14ac:dyDescent="0.3">
      <c r="C17704" s="54"/>
      <c r="N17704" s="33"/>
    </row>
    <row r="17705" spans="3:14" x14ac:dyDescent="0.3">
      <c r="C17705" s="54"/>
      <c r="N17705" s="33"/>
    </row>
    <row r="17706" spans="3:14" x14ac:dyDescent="0.3">
      <c r="C17706" s="54"/>
      <c r="N17706" s="33"/>
    </row>
    <row r="17707" spans="3:14" x14ac:dyDescent="0.3">
      <c r="C17707" s="54"/>
      <c r="N17707" s="33"/>
    </row>
    <row r="17708" spans="3:14" x14ac:dyDescent="0.3">
      <c r="C17708" s="54"/>
      <c r="N17708" s="33"/>
    </row>
    <row r="17709" spans="3:14" x14ac:dyDescent="0.3">
      <c r="C17709" s="54"/>
      <c r="N17709" s="33"/>
    </row>
    <row r="17710" spans="3:14" x14ac:dyDescent="0.3">
      <c r="C17710" s="54"/>
      <c r="N17710" s="33"/>
    </row>
    <row r="17711" spans="3:14" x14ac:dyDescent="0.3">
      <c r="C17711" s="54"/>
      <c r="N17711" s="33"/>
    </row>
    <row r="17712" spans="3:14" x14ac:dyDescent="0.3">
      <c r="C17712" s="54"/>
      <c r="N17712" s="33"/>
    </row>
    <row r="17713" spans="3:14" x14ac:dyDescent="0.3">
      <c r="C17713" s="54"/>
      <c r="N17713" s="33"/>
    </row>
    <row r="17714" spans="3:14" x14ac:dyDescent="0.3">
      <c r="C17714" s="54"/>
      <c r="N17714" s="33"/>
    </row>
    <row r="17715" spans="3:14" x14ac:dyDescent="0.3">
      <c r="C17715" s="54"/>
      <c r="N17715" s="33"/>
    </row>
    <row r="17716" spans="3:14" x14ac:dyDescent="0.3">
      <c r="C17716" s="54"/>
      <c r="N17716" s="33"/>
    </row>
    <row r="17717" spans="3:14" x14ac:dyDescent="0.3">
      <c r="C17717" s="54"/>
      <c r="N17717" s="33"/>
    </row>
    <row r="17718" spans="3:14" x14ac:dyDescent="0.3">
      <c r="C17718" s="54"/>
      <c r="N17718" s="33"/>
    </row>
    <row r="17719" spans="3:14" x14ac:dyDescent="0.3">
      <c r="C17719" s="54"/>
      <c r="N17719" s="33"/>
    </row>
    <row r="17720" spans="3:14" x14ac:dyDescent="0.3">
      <c r="C17720" s="54"/>
      <c r="N17720" s="33"/>
    </row>
    <row r="17721" spans="3:14" x14ac:dyDescent="0.3">
      <c r="C17721" s="54"/>
      <c r="N17721" s="33"/>
    </row>
    <row r="17722" spans="3:14" x14ac:dyDescent="0.3">
      <c r="C17722" s="54"/>
      <c r="N17722" s="33"/>
    </row>
    <row r="17723" spans="3:14" x14ac:dyDescent="0.3">
      <c r="C17723" s="54"/>
      <c r="N17723" s="33"/>
    </row>
    <row r="17724" spans="3:14" x14ac:dyDescent="0.3">
      <c r="C17724" s="54"/>
      <c r="N17724" s="33"/>
    </row>
    <row r="17725" spans="3:14" x14ac:dyDescent="0.3">
      <c r="C17725" s="54"/>
      <c r="N17725" s="33"/>
    </row>
    <row r="17726" spans="3:14" x14ac:dyDescent="0.3">
      <c r="C17726" s="54"/>
      <c r="N17726" s="33"/>
    </row>
    <row r="17727" spans="3:14" x14ac:dyDescent="0.3">
      <c r="C17727" s="54"/>
      <c r="N17727" s="33"/>
    </row>
    <row r="17728" spans="3:14" x14ac:dyDescent="0.3">
      <c r="C17728" s="54"/>
      <c r="N17728" s="33"/>
    </row>
    <row r="17729" spans="3:14" x14ac:dyDescent="0.3">
      <c r="C17729" s="54"/>
      <c r="N17729" s="33"/>
    </row>
    <row r="17730" spans="3:14" x14ac:dyDescent="0.3">
      <c r="C17730" s="54"/>
      <c r="N17730" s="33"/>
    </row>
    <row r="17731" spans="3:14" x14ac:dyDescent="0.3">
      <c r="C17731" s="54"/>
      <c r="N17731" s="33"/>
    </row>
    <row r="17732" spans="3:14" x14ac:dyDescent="0.3">
      <c r="C17732" s="54"/>
      <c r="N17732" s="33"/>
    </row>
    <row r="17733" spans="3:14" x14ac:dyDescent="0.3">
      <c r="C17733" s="54"/>
      <c r="N17733" s="33"/>
    </row>
    <row r="17734" spans="3:14" x14ac:dyDescent="0.3">
      <c r="C17734" s="54"/>
      <c r="N17734" s="33"/>
    </row>
    <row r="17735" spans="3:14" x14ac:dyDescent="0.3">
      <c r="C17735" s="54"/>
      <c r="N17735" s="33"/>
    </row>
    <row r="17736" spans="3:14" x14ac:dyDescent="0.3">
      <c r="C17736" s="54"/>
      <c r="N17736" s="33"/>
    </row>
    <row r="17737" spans="3:14" x14ac:dyDescent="0.3">
      <c r="C17737" s="54"/>
      <c r="N17737" s="33"/>
    </row>
    <row r="17738" spans="3:14" x14ac:dyDescent="0.3">
      <c r="C17738" s="54"/>
      <c r="N17738" s="33"/>
    </row>
    <row r="17739" spans="3:14" x14ac:dyDescent="0.3">
      <c r="C17739" s="54"/>
      <c r="N17739" s="33"/>
    </row>
    <row r="17740" spans="3:14" x14ac:dyDescent="0.3">
      <c r="C17740" s="54"/>
      <c r="N17740" s="33"/>
    </row>
    <row r="17741" spans="3:14" x14ac:dyDescent="0.3">
      <c r="C17741" s="54"/>
      <c r="N17741" s="33"/>
    </row>
    <row r="17742" spans="3:14" x14ac:dyDescent="0.3">
      <c r="C17742" s="54"/>
      <c r="N17742" s="33"/>
    </row>
    <row r="17743" spans="3:14" x14ac:dyDescent="0.3">
      <c r="C17743" s="54"/>
      <c r="N17743" s="33"/>
    </row>
    <row r="17744" spans="3:14" x14ac:dyDescent="0.3">
      <c r="C17744" s="54"/>
      <c r="N17744" s="33"/>
    </row>
    <row r="17745" spans="3:14" x14ac:dyDescent="0.3">
      <c r="C17745" s="54"/>
      <c r="N17745" s="33"/>
    </row>
    <row r="17746" spans="3:14" x14ac:dyDescent="0.3">
      <c r="C17746" s="54"/>
      <c r="N17746" s="33"/>
    </row>
    <row r="17747" spans="3:14" x14ac:dyDescent="0.3">
      <c r="C17747" s="54"/>
      <c r="N17747" s="33"/>
    </row>
    <row r="17748" spans="3:14" x14ac:dyDescent="0.3">
      <c r="C17748" s="54"/>
      <c r="N17748" s="33"/>
    </row>
    <row r="17749" spans="3:14" x14ac:dyDescent="0.3">
      <c r="C17749" s="54"/>
      <c r="N17749" s="33"/>
    </row>
    <row r="17750" spans="3:14" x14ac:dyDescent="0.3">
      <c r="C17750" s="54"/>
      <c r="N17750" s="33"/>
    </row>
    <row r="17751" spans="3:14" x14ac:dyDescent="0.3">
      <c r="C17751" s="54"/>
      <c r="N17751" s="33"/>
    </row>
    <row r="17752" spans="3:14" x14ac:dyDescent="0.3">
      <c r="C17752" s="54"/>
      <c r="N17752" s="33"/>
    </row>
    <row r="17753" spans="3:14" x14ac:dyDescent="0.3">
      <c r="C17753" s="54"/>
      <c r="N17753" s="33"/>
    </row>
    <row r="17754" spans="3:14" x14ac:dyDescent="0.3">
      <c r="C17754" s="54"/>
      <c r="N17754" s="33"/>
    </row>
    <row r="17755" spans="3:14" x14ac:dyDescent="0.3">
      <c r="C17755" s="54"/>
      <c r="N17755" s="33"/>
    </row>
    <row r="17756" spans="3:14" x14ac:dyDescent="0.3">
      <c r="C17756" s="54"/>
      <c r="N17756" s="33"/>
    </row>
    <row r="17757" spans="3:14" x14ac:dyDescent="0.3">
      <c r="C17757" s="54"/>
      <c r="N17757" s="33"/>
    </row>
    <row r="17758" spans="3:14" x14ac:dyDescent="0.3">
      <c r="C17758" s="54"/>
      <c r="N17758" s="33"/>
    </row>
    <row r="17759" spans="3:14" x14ac:dyDescent="0.3">
      <c r="C17759" s="54"/>
      <c r="N17759" s="33"/>
    </row>
    <row r="17760" spans="3:14" x14ac:dyDescent="0.3">
      <c r="C17760" s="54"/>
      <c r="N17760" s="33"/>
    </row>
    <row r="17761" spans="3:14" x14ac:dyDescent="0.3">
      <c r="C17761" s="54"/>
      <c r="N17761" s="33"/>
    </row>
    <row r="17762" spans="3:14" x14ac:dyDescent="0.3">
      <c r="C17762" s="54"/>
      <c r="N17762" s="33"/>
    </row>
    <row r="17763" spans="3:14" x14ac:dyDescent="0.3">
      <c r="C17763" s="54"/>
      <c r="N17763" s="33"/>
    </row>
    <row r="17764" spans="3:14" x14ac:dyDescent="0.3">
      <c r="C17764" s="54"/>
      <c r="N17764" s="33"/>
    </row>
    <row r="17765" spans="3:14" x14ac:dyDescent="0.3">
      <c r="C17765" s="54"/>
      <c r="N17765" s="33"/>
    </row>
    <row r="17766" spans="3:14" x14ac:dyDescent="0.3">
      <c r="C17766" s="54"/>
      <c r="N17766" s="33"/>
    </row>
    <row r="17767" spans="3:14" x14ac:dyDescent="0.3">
      <c r="C17767" s="54"/>
      <c r="N17767" s="33"/>
    </row>
    <row r="17768" spans="3:14" x14ac:dyDescent="0.3">
      <c r="C17768" s="54"/>
      <c r="N17768" s="33"/>
    </row>
    <row r="17769" spans="3:14" x14ac:dyDescent="0.3">
      <c r="C17769" s="54"/>
      <c r="N17769" s="33"/>
    </row>
    <row r="17770" spans="3:14" x14ac:dyDescent="0.3">
      <c r="C17770" s="54"/>
      <c r="N17770" s="33"/>
    </row>
    <row r="17771" spans="3:14" x14ac:dyDescent="0.3">
      <c r="C17771" s="54"/>
      <c r="N17771" s="33"/>
    </row>
    <row r="17772" spans="3:14" x14ac:dyDescent="0.3">
      <c r="C17772" s="54"/>
      <c r="N17772" s="33"/>
    </row>
    <row r="17773" spans="3:14" x14ac:dyDescent="0.3">
      <c r="C17773" s="54"/>
      <c r="N17773" s="33"/>
    </row>
    <row r="17774" spans="3:14" x14ac:dyDescent="0.3">
      <c r="C17774" s="54"/>
      <c r="N17774" s="33"/>
    </row>
    <row r="17775" spans="3:14" x14ac:dyDescent="0.3">
      <c r="C17775" s="54"/>
      <c r="N17775" s="33"/>
    </row>
    <row r="17776" spans="3:14" x14ac:dyDescent="0.3">
      <c r="C17776" s="54"/>
      <c r="N17776" s="33"/>
    </row>
    <row r="17777" spans="3:14" x14ac:dyDescent="0.3">
      <c r="C17777" s="54"/>
      <c r="N17777" s="33"/>
    </row>
    <row r="17778" spans="3:14" x14ac:dyDescent="0.3">
      <c r="C17778" s="54"/>
      <c r="N17778" s="33"/>
    </row>
    <row r="17779" spans="3:14" x14ac:dyDescent="0.3">
      <c r="C17779" s="54"/>
      <c r="N17779" s="33"/>
    </row>
    <row r="17780" spans="3:14" x14ac:dyDescent="0.3">
      <c r="C17780" s="54"/>
      <c r="N17780" s="33"/>
    </row>
    <row r="17781" spans="3:14" x14ac:dyDescent="0.3">
      <c r="C17781" s="54"/>
      <c r="N17781" s="33"/>
    </row>
    <row r="17782" spans="3:14" x14ac:dyDescent="0.3">
      <c r="C17782" s="54"/>
      <c r="N17782" s="33"/>
    </row>
    <row r="17783" spans="3:14" x14ac:dyDescent="0.3">
      <c r="C17783" s="54"/>
      <c r="N17783" s="33"/>
    </row>
    <row r="17784" spans="3:14" x14ac:dyDescent="0.3">
      <c r="C17784" s="54"/>
      <c r="N17784" s="33"/>
    </row>
    <row r="17785" spans="3:14" x14ac:dyDescent="0.3">
      <c r="C17785" s="54"/>
      <c r="N17785" s="33"/>
    </row>
    <row r="17786" spans="3:14" x14ac:dyDescent="0.3">
      <c r="C17786" s="54"/>
      <c r="N17786" s="33"/>
    </row>
    <row r="17787" spans="3:14" x14ac:dyDescent="0.3">
      <c r="C17787" s="54"/>
      <c r="N17787" s="33"/>
    </row>
    <row r="17788" spans="3:14" x14ac:dyDescent="0.3">
      <c r="C17788" s="54"/>
      <c r="N17788" s="33"/>
    </row>
    <row r="17789" spans="3:14" x14ac:dyDescent="0.3">
      <c r="C17789" s="54"/>
      <c r="N17789" s="33"/>
    </row>
    <row r="17790" spans="3:14" x14ac:dyDescent="0.3">
      <c r="C17790" s="54"/>
      <c r="N17790" s="33"/>
    </row>
    <row r="17791" spans="3:14" x14ac:dyDescent="0.3">
      <c r="C17791" s="54"/>
      <c r="N17791" s="33"/>
    </row>
    <row r="17792" spans="3:14" x14ac:dyDescent="0.3">
      <c r="C17792" s="54"/>
      <c r="N17792" s="33"/>
    </row>
    <row r="17793" spans="3:14" x14ac:dyDescent="0.3">
      <c r="C17793" s="54"/>
      <c r="N17793" s="33"/>
    </row>
    <row r="17794" spans="3:14" x14ac:dyDescent="0.3">
      <c r="C17794" s="54"/>
      <c r="N17794" s="33"/>
    </row>
    <row r="17795" spans="3:14" x14ac:dyDescent="0.3">
      <c r="C17795" s="54"/>
      <c r="N17795" s="33"/>
    </row>
    <row r="17796" spans="3:14" x14ac:dyDescent="0.3">
      <c r="C17796" s="54"/>
      <c r="N17796" s="33"/>
    </row>
    <row r="17797" spans="3:14" x14ac:dyDescent="0.3">
      <c r="C17797" s="54"/>
      <c r="N17797" s="33"/>
    </row>
    <row r="17798" spans="3:14" x14ac:dyDescent="0.3">
      <c r="C17798" s="54"/>
      <c r="N17798" s="33"/>
    </row>
    <row r="17799" spans="3:14" x14ac:dyDescent="0.3">
      <c r="C17799" s="54"/>
      <c r="N17799" s="33"/>
    </row>
    <row r="17800" spans="3:14" x14ac:dyDescent="0.3">
      <c r="C17800" s="54"/>
      <c r="N17800" s="33"/>
    </row>
    <row r="17801" spans="3:14" x14ac:dyDescent="0.3">
      <c r="C17801" s="54"/>
      <c r="N17801" s="33"/>
    </row>
    <row r="17802" spans="3:14" x14ac:dyDescent="0.3">
      <c r="C17802" s="54"/>
      <c r="N17802" s="33"/>
    </row>
    <row r="17803" spans="3:14" x14ac:dyDescent="0.3">
      <c r="C17803" s="54"/>
      <c r="N17803" s="33"/>
    </row>
    <row r="17804" spans="3:14" x14ac:dyDescent="0.3">
      <c r="C17804" s="54"/>
      <c r="N17804" s="33"/>
    </row>
    <row r="17805" spans="3:14" x14ac:dyDescent="0.3">
      <c r="C17805" s="54"/>
      <c r="N17805" s="33"/>
    </row>
    <row r="17806" spans="3:14" x14ac:dyDescent="0.3">
      <c r="C17806" s="54"/>
      <c r="N17806" s="33"/>
    </row>
    <row r="17807" spans="3:14" x14ac:dyDescent="0.3">
      <c r="C17807" s="54"/>
      <c r="N17807" s="33"/>
    </row>
    <row r="17808" spans="3:14" x14ac:dyDescent="0.3">
      <c r="C17808" s="54"/>
      <c r="N17808" s="33"/>
    </row>
    <row r="17809" spans="3:14" x14ac:dyDescent="0.3">
      <c r="C17809" s="54"/>
      <c r="N17809" s="33"/>
    </row>
    <row r="17810" spans="3:14" x14ac:dyDescent="0.3">
      <c r="C17810" s="54"/>
      <c r="N17810" s="33"/>
    </row>
    <row r="17811" spans="3:14" x14ac:dyDescent="0.3">
      <c r="C17811" s="54"/>
      <c r="N17811" s="33"/>
    </row>
    <row r="17812" spans="3:14" x14ac:dyDescent="0.3">
      <c r="C17812" s="54"/>
      <c r="N17812" s="33"/>
    </row>
    <row r="17813" spans="3:14" x14ac:dyDescent="0.3">
      <c r="C17813" s="54"/>
      <c r="N17813" s="33"/>
    </row>
    <row r="17814" spans="3:14" x14ac:dyDescent="0.3">
      <c r="C17814" s="54"/>
      <c r="N17814" s="33"/>
    </row>
    <row r="17815" spans="3:14" x14ac:dyDescent="0.3">
      <c r="C17815" s="54"/>
      <c r="N17815" s="33"/>
    </row>
    <row r="17816" spans="3:14" x14ac:dyDescent="0.3">
      <c r="C17816" s="54"/>
      <c r="N17816" s="33"/>
    </row>
    <row r="17817" spans="3:14" x14ac:dyDescent="0.3">
      <c r="C17817" s="54"/>
      <c r="N17817" s="33"/>
    </row>
    <row r="17818" spans="3:14" x14ac:dyDescent="0.3">
      <c r="C17818" s="54"/>
      <c r="N17818" s="33"/>
    </row>
    <row r="17819" spans="3:14" x14ac:dyDescent="0.3">
      <c r="C17819" s="54"/>
      <c r="N17819" s="33"/>
    </row>
    <row r="17820" spans="3:14" x14ac:dyDescent="0.3">
      <c r="C17820" s="54"/>
      <c r="N17820" s="33"/>
    </row>
    <row r="17821" spans="3:14" x14ac:dyDescent="0.3">
      <c r="C17821" s="54"/>
      <c r="N17821" s="33"/>
    </row>
    <row r="17822" spans="3:14" x14ac:dyDescent="0.3">
      <c r="C17822" s="54"/>
      <c r="N17822" s="33"/>
    </row>
    <row r="17823" spans="3:14" x14ac:dyDescent="0.3">
      <c r="C17823" s="54"/>
      <c r="N17823" s="33"/>
    </row>
    <row r="17824" spans="3:14" x14ac:dyDescent="0.3">
      <c r="C17824" s="54"/>
      <c r="N17824" s="33"/>
    </row>
    <row r="17825" spans="3:14" x14ac:dyDescent="0.3">
      <c r="C17825" s="54"/>
      <c r="N17825" s="33"/>
    </row>
    <row r="17826" spans="3:14" x14ac:dyDescent="0.3">
      <c r="C17826" s="54"/>
      <c r="N17826" s="33"/>
    </row>
    <row r="17827" spans="3:14" x14ac:dyDescent="0.3">
      <c r="C17827" s="54"/>
      <c r="N17827" s="33"/>
    </row>
    <row r="17828" spans="3:14" x14ac:dyDescent="0.3">
      <c r="C17828" s="54"/>
      <c r="N17828" s="33"/>
    </row>
    <row r="17829" spans="3:14" x14ac:dyDescent="0.3">
      <c r="C17829" s="54"/>
      <c r="N17829" s="33"/>
    </row>
    <row r="17830" spans="3:14" x14ac:dyDescent="0.3">
      <c r="C17830" s="54"/>
      <c r="N17830" s="33"/>
    </row>
    <row r="17831" spans="3:14" x14ac:dyDescent="0.3">
      <c r="C17831" s="54"/>
      <c r="N17831" s="33"/>
    </row>
    <row r="17832" spans="3:14" x14ac:dyDescent="0.3">
      <c r="C17832" s="54"/>
      <c r="N17832" s="33"/>
    </row>
    <row r="17833" spans="3:14" x14ac:dyDescent="0.3">
      <c r="C17833" s="54"/>
      <c r="N17833" s="33"/>
    </row>
    <row r="17834" spans="3:14" x14ac:dyDescent="0.3">
      <c r="C17834" s="54"/>
      <c r="N17834" s="33"/>
    </row>
    <row r="17835" spans="3:14" x14ac:dyDescent="0.3">
      <c r="C17835" s="54"/>
      <c r="N17835" s="33"/>
    </row>
    <row r="17836" spans="3:14" x14ac:dyDescent="0.3">
      <c r="C17836" s="54"/>
      <c r="N17836" s="33"/>
    </row>
    <row r="17837" spans="3:14" x14ac:dyDescent="0.3">
      <c r="C17837" s="54"/>
      <c r="N17837" s="33"/>
    </row>
    <row r="17838" spans="3:14" x14ac:dyDescent="0.3">
      <c r="C17838" s="54"/>
      <c r="N17838" s="33"/>
    </row>
    <row r="17839" spans="3:14" x14ac:dyDescent="0.3">
      <c r="C17839" s="54"/>
      <c r="N17839" s="33"/>
    </row>
    <row r="17840" spans="3:14" x14ac:dyDescent="0.3">
      <c r="C17840" s="54"/>
      <c r="N17840" s="33"/>
    </row>
    <row r="17841" spans="3:14" x14ac:dyDescent="0.3">
      <c r="C17841" s="54"/>
      <c r="N17841" s="33"/>
    </row>
    <row r="17842" spans="3:14" x14ac:dyDescent="0.3">
      <c r="C17842" s="54"/>
      <c r="N17842" s="33"/>
    </row>
    <row r="17843" spans="3:14" x14ac:dyDescent="0.3">
      <c r="C17843" s="54"/>
      <c r="N17843" s="33"/>
    </row>
    <row r="17844" spans="3:14" x14ac:dyDescent="0.3">
      <c r="C17844" s="54"/>
      <c r="N17844" s="33"/>
    </row>
    <row r="17845" spans="3:14" x14ac:dyDescent="0.3">
      <c r="C17845" s="54"/>
      <c r="N17845" s="33"/>
    </row>
    <row r="17846" spans="3:14" x14ac:dyDescent="0.3">
      <c r="C17846" s="54"/>
      <c r="N17846" s="33"/>
    </row>
    <row r="17847" spans="3:14" x14ac:dyDescent="0.3">
      <c r="C17847" s="54"/>
      <c r="N17847" s="33"/>
    </row>
    <row r="17848" spans="3:14" x14ac:dyDescent="0.3">
      <c r="C17848" s="54"/>
      <c r="N17848" s="33"/>
    </row>
    <row r="17849" spans="3:14" x14ac:dyDescent="0.3">
      <c r="C17849" s="54"/>
      <c r="N17849" s="33"/>
    </row>
    <row r="17850" spans="3:14" x14ac:dyDescent="0.3">
      <c r="C17850" s="54"/>
      <c r="N17850" s="33"/>
    </row>
    <row r="17851" spans="3:14" x14ac:dyDescent="0.3">
      <c r="C17851" s="54"/>
      <c r="N17851" s="33"/>
    </row>
    <row r="17852" spans="3:14" x14ac:dyDescent="0.3">
      <c r="C17852" s="54"/>
      <c r="N17852" s="33"/>
    </row>
    <row r="17853" spans="3:14" x14ac:dyDescent="0.3">
      <c r="C17853" s="54"/>
      <c r="N17853" s="33"/>
    </row>
    <row r="17854" spans="3:14" x14ac:dyDescent="0.3">
      <c r="C17854" s="54"/>
      <c r="N17854" s="33"/>
    </row>
    <row r="17855" spans="3:14" x14ac:dyDescent="0.3">
      <c r="C17855" s="54"/>
      <c r="N17855" s="33"/>
    </row>
    <row r="17856" spans="3:14" x14ac:dyDescent="0.3">
      <c r="C17856" s="54"/>
      <c r="N17856" s="33"/>
    </row>
    <row r="17857" spans="3:14" x14ac:dyDescent="0.3">
      <c r="C17857" s="54"/>
      <c r="N17857" s="33"/>
    </row>
    <row r="17858" spans="3:14" x14ac:dyDescent="0.3">
      <c r="C17858" s="54"/>
      <c r="N17858" s="33"/>
    </row>
    <row r="17859" spans="3:14" x14ac:dyDescent="0.3">
      <c r="C17859" s="54"/>
      <c r="N17859" s="33"/>
    </row>
    <row r="17860" spans="3:14" x14ac:dyDescent="0.3">
      <c r="C17860" s="54"/>
      <c r="N17860" s="33"/>
    </row>
    <row r="17861" spans="3:14" x14ac:dyDescent="0.3">
      <c r="C17861" s="54"/>
      <c r="N17861" s="33"/>
    </row>
    <row r="17862" spans="3:14" x14ac:dyDescent="0.3">
      <c r="C17862" s="54"/>
      <c r="N17862" s="33"/>
    </row>
    <row r="17863" spans="3:14" x14ac:dyDescent="0.3">
      <c r="C17863" s="54"/>
      <c r="N17863" s="33"/>
    </row>
    <row r="17864" spans="3:14" x14ac:dyDescent="0.3">
      <c r="C17864" s="54"/>
      <c r="N17864" s="33"/>
    </row>
    <row r="17865" spans="3:14" x14ac:dyDescent="0.3">
      <c r="C17865" s="54"/>
      <c r="N17865" s="33"/>
    </row>
    <row r="17866" spans="3:14" x14ac:dyDescent="0.3">
      <c r="C17866" s="54"/>
      <c r="N17866" s="33"/>
    </row>
    <row r="17867" spans="3:14" x14ac:dyDescent="0.3">
      <c r="C17867" s="54"/>
      <c r="N17867" s="33"/>
    </row>
    <row r="17868" spans="3:14" x14ac:dyDescent="0.3">
      <c r="C17868" s="54"/>
      <c r="N17868" s="33"/>
    </row>
    <row r="17869" spans="3:14" x14ac:dyDescent="0.3">
      <c r="C17869" s="54"/>
      <c r="N17869" s="33"/>
    </row>
    <row r="17870" spans="3:14" x14ac:dyDescent="0.3">
      <c r="C17870" s="54"/>
      <c r="N17870" s="33"/>
    </row>
    <row r="17871" spans="3:14" x14ac:dyDescent="0.3">
      <c r="C17871" s="54"/>
      <c r="N17871" s="33"/>
    </row>
    <row r="17872" spans="3:14" x14ac:dyDescent="0.3">
      <c r="C17872" s="54"/>
      <c r="N17872" s="33"/>
    </row>
    <row r="17873" spans="3:14" x14ac:dyDescent="0.3">
      <c r="C17873" s="54"/>
      <c r="N17873" s="33"/>
    </row>
    <row r="17874" spans="3:14" x14ac:dyDescent="0.3">
      <c r="C17874" s="54"/>
      <c r="N17874" s="33"/>
    </row>
    <row r="17875" spans="3:14" x14ac:dyDescent="0.3">
      <c r="C17875" s="54"/>
      <c r="N17875" s="33"/>
    </row>
    <row r="17876" spans="3:14" x14ac:dyDescent="0.3">
      <c r="C17876" s="54"/>
      <c r="N17876" s="33"/>
    </row>
    <row r="17877" spans="3:14" x14ac:dyDescent="0.3">
      <c r="C17877" s="54"/>
      <c r="N17877" s="33"/>
    </row>
    <row r="17878" spans="3:14" x14ac:dyDescent="0.3">
      <c r="C17878" s="54"/>
      <c r="N17878" s="33"/>
    </row>
    <row r="17879" spans="3:14" x14ac:dyDescent="0.3">
      <c r="C17879" s="54"/>
      <c r="N17879" s="33"/>
    </row>
    <row r="17880" spans="3:14" x14ac:dyDescent="0.3">
      <c r="C17880" s="54"/>
      <c r="N17880" s="33"/>
    </row>
    <row r="17881" spans="3:14" x14ac:dyDescent="0.3">
      <c r="C17881" s="54"/>
      <c r="N17881" s="33"/>
    </row>
    <row r="17882" spans="3:14" x14ac:dyDescent="0.3">
      <c r="C17882" s="54"/>
      <c r="N17882" s="33"/>
    </row>
    <row r="17883" spans="3:14" x14ac:dyDescent="0.3">
      <c r="C17883" s="54"/>
      <c r="N17883" s="33"/>
    </row>
    <row r="17884" spans="3:14" x14ac:dyDescent="0.3">
      <c r="C17884" s="54"/>
      <c r="N17884" s="33"/>
    </row>
    <row r="17885" spans="3:14" x14ac:dyDescent="0.3">
      <c r="C17885" s="54"/>
      <c r="N17885" s="33"/>
    </row>
    <row r="17886" spans="3:14" x14ac:dyDescent="0.3">
      <c r="C17886" s="54"/>
      <c r="N17886" s="33"/>
    </row>
    <row r="17887" spans="3:14" x14ac:dyDescent="0.3">
      <c r="C17887" s="54"/>
      <c r="N17887" s="33"/>
    </row>
    <row r="17888" spans="3:14" x14ac:dyDescent="0.3">
      <c r="C17888" s="54"/>
      <c r="N17888" s="33"/>
    </row>
    <row r="17889" spans="3:14" x14ac:dyDescent="0.3">
      <c r="C17889" s="54"/>
      <c r="N17889" s="33"/>
    </row>
    <row r="17890" spans="3:14" x14ac:dyDescent="0.3">
      <c r="C17890" s="54"/>
      <c r="N17890" s="33"/>
    </row>
    <row r="17891" spans="3:14" x14ac:dyDescent="0.3">
      <c r="C17891" s="54"/>
      <c r="N17891" s="33"/>
    </row>
    <row r="17892" spans="3:14" x14ac:dyDescent="0.3">
      <c r="C17892" s="54"/>
      <c r="N17892" s="33"/>
    </row>
    <row r="17893" spans="3:14" x14ac:dyDescent="0.3">
      <c r="C17893" s="54"/>
      <c r="N17893" s="33"/>
    </row>
    <row r="17894" spans="3:14" x14ac:dyDescent="0.3">
      <c r="C17894" s="54"/>
      <c r="N17894" s="33"/>
    </row>
    <row r="17895" spans="3:14" x14ac:dyDescent="0.3">
      <c r="C17895" s="54"/>
      <c r="N17895" s="33"/>
    </row>
    <row r="17896" spans="3:14" x14ac:dyDescent="0.3">
      <c r="C17896" s="54"/>
      <c r="N17896" s="33"/>
    </row>
    <row r="17897" spans="3:14" x14ac:dyDescent="0.3">
      <c r="C17897" s="54"/>
      <c r="N17897" s="33"/>
    </row>
    <row r="17898" spans="3:14" x14ac:dyDescent="0.3">
      <c r="C17898" s="54"/>
      <c r="N17898" s="33"/>
    </row>
    <row r="17899" spans="3:14" x14ac:dyDescent="0.3">
      <c r="C17899" s="54"/>
      <c r="N17899" s="33"/>
    </row>
    <row r="17900" spans="3:14" x14ac:dyDescent="0.3">
      <c r="C17900" s="54"/>
      <c r="N17900" s="33"/>
    </row>
    <row r="17901" spans="3:14" x14ac:dyDescent="0.3">
      <c r="C17901" s="54"/>
      <c r="N17901" s="33"/>
    </row>
    <row r="17902" spans="3:14" x14ac:dyDescent="0.3">
      <c r="C17902" s="54"/>
      <c r="N17902" s="33"/>
    </row>
    <row r="17903" spans="3:14" x14ac:dyDescent="0.3">
      <c r="C17903" s="54"/>
      <c r="N17903" s="33"/>
    </row>
    <row r="17904" spans="3:14" x14ac:dyDescent="0.3">
      <c r="C17904" s="54"/>
      <c r="N17904" s="33"/>
    </row>
    <row r="17905" spans="3:14" x14ac:dyDescent="0.3">
      <c r="C17905" s="54"/>
      <c r="N17905" s="33"/>
    </row>
    <row r="17906" spans="3:14" x14ac:dyDescent="0.3">
      <c r="C17906" s="54"/>
      <c r="N17906" s="33"/>
    </row>
    <row r="17907" spans="3:14" x14ac:dyDescent="0.3">
      <c r="C17907" s="54"/>
      <c r="N17907" s="33"/>
    </row>
    <row r="17908" spans="3:14" x14ac:dyDescent="0.3">
      <c r="C17908" s="54"/>
      <c r="N17908" s="33"/>
    </row>
    <row r="17909" spans="3:14" x14ac:dyDescent="0.3">
      <c r="C17909" s="54"/>
      <c r="N17909" s="33"/>
    </row>
    <row r="17910" spans="3:14" x14ac:dyDescent="0.3">
      <c r="C17910" s="54"/>
      <c r="N17910" s="33"/>
    </row>
    <row r="17911" spans="3:14" x14ac:dyDescent="0.3">
      <c r="C17911" s="54"/>
      <c r="N17911" s="33"/>
    </row>
    <row r="17912" spans="3:14" x14ac:dyDescent="0.3">
      <c r="C17912" s="54"/>
      <c r="N17912" s="33"/>
    </row>
    <row r="17913" spans="3:14" x14ac:dyDescent="0.3">
      <c r="C17913" s="54"/>
      <c r="N17913" s="33"/>
    </row>
    <row r="17914" spans="3:14" x14ac:dyDescent="0.3">
      <c r="C17914" s="54"/>
      <c r="N17914" s="33"/>
    </row>
    <row r="17915" spans="3:14" x14ac:dyDescent="0.3">
      <c r="C17915" s="54"/>
      <c r="N17915" s="33"/>
    </row>
    <row r="17916" spans="3:14" x14ac:dyDescent="0.3">
      <c r="C17916" s="54"/>
      <c r="N17916" s="33"/>
    </row>
    <row r="17917" spans="3:14" x14ac:dyDescent="0.3">
      <c r="C17917" s="54"/>
      <c r="N17917" s="33"/>
    </row>
    <row r="17918" spans="3:14" x14ac:dyDescent="0.3">
      <c r="C17918" s="54"/>
      <c r="N17918" s="33"/>
    </row>
    <row r="17919" spans="3:14" x14ac:dyDescent="0.3">
      <c r="C17919" s="54"/>
      <c r="N17919" s="33"/>
    </row>
    <row r="17920" spans="3:14" x14ac:dyDescent="0.3">
      <c r="C17920" s="54"/>
      <c r="N17920" s="33"/>
    </row>
    <row r="17921" spans="3:14" x14ac:dyDescent="0.3">
      <c r="C17921" s="54"/>
      <c r="N17921" s="33"/>
    </row>
    <row r="17922" spans="3:14" x14ac:dyDescent="0.3">
      <c r="C17922" s="54"/>
      <c r="N17922" s="33"/>
    </row>
    <row r="17923" spans="3:14" x14ac:dyDescent="0.3">
      <c r="C17923" s="54"/>
      <c r="N17923" s="33"/>
    </row>
    <row r="17924" spans="3:14" x14ac:dyDescent="0.3">
      <c r="C17924" s="54"/>
      <c r="N17924" s="33"/>
    </row>
    <row r="17925" spans="3:14" x14ac:dyDescent="0.3">
      <c r="C17925" s="54"/>
      <c r="N17925" s="33"/>
    </row>
    <row r="17926" spans="3:14" x14ac:dyDescent="0.3">
      <c r="C17926" s="54"/>
      <c r="N17926" s="33"/>
    </row>
    <row r="17927" spans="3:14" x14ac:dyDescent="0.3">
      <c r="C17927" s="54"/>
      <c r="N17927" s="33"/>
    </row>
    <row r="17928" spans="3:14" x14ac:dyDescent="0.3">
      <c r="C17928" s="54"/>
      <c r="N17928" s="33"/>
    </row>
    <row r="17929" spans="3:14" x14ac:dyDescent="0.3">
      <c r="C17929" s="54"/>
      <c r="N17929" s="33"/>
    </row>
    <row r="17930" spans="3:14" x14ac:dyDescent="0.3">
      <c r="C17930" s="54"/>
      <c r="N17930" s="33"/>
    </row>
    <row r="17931" spans="3:14" x14ac:dyDescent="0.3">
      <c r="C17931" s="54"/>
      <c r="N17931" s="33"/>
    </row>
    <row r="17932" spans="3:14" x14ac:dyDescent="0.3">
      <c r="C17932" s="54"/>
      <c r="N17932" s="33"/>
    </row>
    <row r="17933" spans="3:14" x14ac:dyDescent="0.3">
      <c r="C17933" s="54"/>
      <c r="N17933" s="33"/>
    </row>
    <row r="17934" spans="3:14" x14ac:dyDescent="0.3">
      <c r="C17934" s="54"/>
      <c r="N17934" s="33"/>
    </row>
    <row r="17935" spans="3:14" x14ac:dyDescent="0.3">
      <c r="C17935" s="54"/>
      <c r="N17935" s="33"/>
    </row>
    <row r="17936" spans="3:14" x14ac:dyDescent="0.3">
      <c r="C17936" s="54"/>
      <c r="N17936" s="33"/>
    </row>
    <row r="17937" spans="3:14" x14ac:dyDescent="0.3">
      <c r="C17937" s="54"/>
      <c r="N17937" s="33"/>
    </row>
    <row r="17938" spans="3:14" x14ac:dyDescent="0.3">
      <c r="C17938" s="54"/>
      <c r="N17938" s="33"/>
    </row>
    <row r="17939" spans="3:14" x14ac:dyDescent="0.3">
      <c r="C17939" s="54"/>
      <c r="N17939" s="33"/>
    </row>
    <row r="17940" spans="3:14" x14ac:dyDescent="0.3">
      <c r="C17940" s="54"/>
      <c r="N17940" s="33"/>
    </row>
    <row r="17941" spans="3:14" x14ac:dyDescent="0.3">
      <c r="C17941" s="54"/>
      <c r="N17941" s="33"/>
    </row>
    <row r="17942" spans="3:14" x14ac:dyDescent="0.3">
      <c r="C17942" s="54"/>
      <c r="N17942" s="33"/>
    </row>
    <row r="17943" spans="3:14" x14ac:dyDescent="0.3">
      <c r="C17943" s="54"/>
      <c r="N17943" s="33"/>
    </row>
    <row r="17944" spans="3:14" x14ac:dyDescent="0.3">
      <c r="C17944" s="54"/>
      <c r="N17944" s="33"/>
    </row>
    <row r="17945" spans="3:14" x14ac:dyDescent="0.3">
      <c r="C17945" s="54"/>
      <c r="N17945" s="33"/>
    </row>
    <row r="17946" spans="3:14" x14ac:dyDescent="0.3">
      <c r="C17946" s="54"/>
      <c r="N17946" s="33"/>
    </row>
    <row r="17947" spans="3:14" x14ac:dyDescent="0.3">
      <c r="C17947" s="54"/>
      <c r="N17947" s="33"/>
    </row>
    <row r="17948" spans="3:14" x14ac:dyDescent="0.3">
      <c r="C17948" s="54"/>
      <c r="N17948" s="33"/>
    </row>
    <row r="17949" spans="3:14" x14ac:dyDescent="0.3">
      <c r="C17949" s="54"/>
      <c r="N17949" s="33"/>
    </row>
    <row r="17950" spans="3:14" x14ac:dyDescent="0.3">
      <c r="C17950" s="54"/>
      <c r="N17950" s="33"/>
    </row>
    <row r="17951" spans="3:14" x14ac:dyDescent="0.3">
      <c r="C17951" s="54"/>
      <c r="N17951" s="33"/>
    </row>
    <row r="17952" spans="3:14" x14ac:dyDescent="0.3">
      <c r="C17952" s="54"/>
      <c r="N17952" s="33"/>
    </row>
    <row r="17953" spans="3:14" x14ac:dyDescent="0.3">
      <c r="C17953" s="54"/>
      <c r="N17953" s="33"/>
    </row>
    <row r="17954" spans="3:14" x14ac:dyDescent="0.3">
      <c r="C17954" s="54"/>
      <c r="N17954" s="33"/>
    </row>
    <row r="17955" spans="3:14" x14ac:dyDescent="0.3">
      <c r="C17955" s="54"/>
      <c r="N17955" s="33"/>
    </row>
    <row r="17956" spans="3:14" x14ac:dyDescent="0.3">
      <c r="C17956" s="54"/>
      <c r="N17956" s="33"/>
    </row>
    <row r="17957" spans="3:14" x14ac:dyDescent="0.3">
      <c r="C17957" s="54"/>
      <c r="N17957" s="33"/>
    </row>
    <row r="17958" spans="3:14" x14ac:dyDescent="0.3">
      <c r="C17958" s="54"/>
      <c r="N17958" s="33"/>
    </row>
    <row r="17959" spans="3:14" x14ac:dyDescent="0.3">
      <c r="C17959" s="54"/>
      <c r="N17959" s="33"/>
    </row>
    <row r="17960" spans="3:14" x14ac:dyDescent="0.3">
      <c r="C17960" s="54"/>
      <c r="N17960" s="33"/>
    </row>
    <row r="17961" spans="3:14" x14ac:dyDescent="0.3">
      <c r="C17961" s="54"/>
      <c r="N17961" s="33"/>
    </row>
    <row r="17962" spans="3:14" x14ac:dyDescent="0.3">
      <c r="C17962" s="54"/>
      <c r="N17962" s="33"/>
    </row>
    <row r="17963" spans="3:14" x14ac:dyDescent="0.3">
      <c r="C17963" s="54"/>
      <c r="N17963" s="33"/>
    </row>
    <row r="17964" spans="3:14" x14ac:dyDescent="0.3">
      <c r="C17964" s="54"/>
      <c r="N17964" s="33"/>
    </row>
    <row r="17965" spans="3:14" x14ac:dyDescent="0.3">
      <c r="C17965" s="54"/>
      <c r="N17965" s="33"/>
    </row>
    <row r="17966" spans="3:14" x14ac:dyDescent="0.3">
      <c r="C17966" s="54"/>
      <c r="N17966" s="33"/>
    </row>
    <row r="17967" spans="3:14" x14ac:dyDescent="0.3">
      <c r="C17967" s="54"/>
      <c r="N17967" s="33"/>
    </row>
    <row r="17968" spans="3:14" x14ac:dyDescent="0.3">
      <c r="C17968" s="54"/>
      <c r="N17968" s="33"/>
    </row>
    <row r="17969" spans="3:14" x14ac:dyDescent="0.3">
      <c r="C17969" s="54"/>
      <c r="N17969" s="33"/>
    </row>
    <row r="17970" spans="3:14" x14ac:dyDescent="0.3">
      <c r="C17970" s="54"/>
      <c r="N17970" s="33"/>
    </row>
    <row r="17971" spans="3:14" x14ac:dyDescent="0.3">
      <c r="C17971" s="54"/>
      <c r="N17971" s="33"/>
    </row>
    <row r="17972" spans="3:14" x14ac:dyDescent="0.3">
      <c r="C17972" s="54"/>
      <c r="N17972" s="33"/>
    </row>
    <row r="17973" spans="3:14" x14ac:dyDescent="0.3">
      <c r="C17973" s="54"/>
      <c r="N17973" s="33"/>
    </row>
    <row r="17974" spans="3:14" x14ac:dyDescent="0.3">
      <c r="C17974" s="54"/>
      <c r="N17974" s="33"/>
    </row>
    <row r="17975" spans="3:14" x14ac:dyDescent="0.3">
      <c r="C17975" s="54"/>
      <c r="N17975" s="33"/>
    </row>
    <row r="17976" spans="3:14" x14ac:dyDescent="0.3">
      <c r="C17976" s="54"/>
      <c r="N17976" s="33"/>
    </row>
    <row r="17977" spans="3:14" x14ac:dyDescent="0.3">
      <c r="C17977" s="54"/>
      <c r="N17977" s="33"/>
    </row>
    <row r="17978" spans="3:14" x14ac:dyDescent="0.3">
      <c r="C17978" s="54"/>
      <c r="N17978" s="33"/>
    </row>
    <row r="17979" spans="3:14" x14ac:dyDescent="0.3">
      <c r="C17979" s="54"/>
      <c r="N17979" s="33"/>
    </row>
    <row r="17980" spans="3:14" x14ac:dyDescent="0.3">
      <c r="C17980" s="54"/>
      <c r="N17980" s="33"/>
    </row>
    <row r="17981" spans="3:14" x14ac:dyDescent="0.3">
      <c r="C17981" s="54"/>
      <c r="N17981" s="33"/>
    </row>
    <row r="17982" spans="3:14" x14ac:dyDescent="0.3">
      <c r="C17982" s="54"/>
      <c r="N17982" s="33"/>
    </row>
    <row r="17983" spans="3:14" x14ac:dyDescent="0.3">
      <c r="C17983" s="54"/>
      <c r="N17983" s="33"/>
    </row>
    <row r="17984" spans="3:14" x14ac:dyDescent="0.3">
      <c r="C17984" s="54"/>
      <c r="N17984" s="33"/>
    </row>
    <row r="17985" spans="3:14" x14ac:dyDescent="0.3">
      <c r="C17985" s="54"/>
      <c r="N17985" s="33"/>
    </row>
    <row r="17986" spans="3:14" x14ac:dyDescent="0.3">
      <c r="C17986" s="54"/>
      <c r="N17986" s="33"/>
    </row>
    <row r="17987" spans="3:14" x14ac:dyDescent="0.3">
      <c r="C17987" s="54"/>
      <c r="N17987" s="33"/>
    </row>
    <row r="17988" spans="3:14" x14ac:dyDescent="0.3">
      <c r="C17988" s="54"/>
      <c r="N17988" s="33"/>
    </row>
    <row r="17989" spans="3:14" x14ac:dyDescent="0.3">
      <c r="C17989" s="54"/>
      <c r="N17989" s="33"/>
    </row>
    <row r="17990" spans="3:14" x14ac:dyDescent="0.3">
      <c r="C17990" s="54"/>
      <c r="N17990" s="33"/>
    </row>
    <row r="17991" spans="3:14" x14ac:dyDescent="0.3">
      <c r="C17991" s="54"/>
      <c r="N17991" s="33"/>
    </row>
    <row r="17992" spans="3:14" x14ac:dyDescent="0.3">
      <c r="C17992" s="54"/>
      <c r="N17992" s="33"/>
    </row>
    <row r="17993" spans="3:14" x14ac:dyDescent="0.3">
      <c r="C17993" s="54"/>
      <c r="N17993" s="33"/>
    </row>
    <row r="17994" spans="3:14" x14ac:dyDescent="0.3">
      <c r="C17994" s="54"/>
      <c r="N17994" s="33"/>
    </row>
    <row r="17995" spans="3:14" x14ac:dyDescent="0.3">
      <c r="C17995" s="54"/>
      <c r="N17995" s="33"/>
    </row>
    <row r="17996" spans="3:14" x14ac:dyDescent="0.3">
      <c r="C17996" s="54"/>
      <c r="N17996" s="33"/>
    </row>
    <row r="17997" spans="3:14" x14ac:dyDescent="0.3">
      <c r="C17997" s="54"/>
      <c r="N17997" s="33"/>
    </row>
    <row r="17998" spans="3:14" x14ac:dyDescent="0.3">
      <c r="C17998" s="54"/>
      <c r="N17998" s="33"/>
    </row>
    <row r="17999" spans="3:14" x14ac:dyDescent="0.3">
      <c r="C17999" s="54"/>
      <c r="N17999" s="33"/>
    </row>
    <row r="18000" spans="3:14" x14ac:dyDescent="0.3">
      <c r="C18000" s="54"/>
      <c r="N18000" s="33"/>
    </row>
    <row r="18001" spans="3:14" x14ac:dyDescent="0.3">
      <c r="C18001" s="54"/>
      <c r="N18001" s="33"/>
    </row>
    <row r="18002" spans="3:14" x14ac:dyDescent="0.3">
      <c r="C18002" s="54"/>
      <c r="N18002" s="33"/>
    </row>
    <row r="18003" spans="3:14" x14ac:dyDescent="0.3">
      <c r="C18003" s="54"/>
      <c r="N18003" s="33"/>
    </row>
    <row r="18004" spans="3:14" x14ac:dyDescent="0.3">
      <c r="C18004" s="54"/>
      <c r="N18004" s="33"/>
    </row>
    <row r="18005" spans="3:14" x14ac:dyDescent="0.3">
      <c r="C18005" s="54"/>
      <c r="N18005" s="33"/>
    </row>
    <row r="18006" spans="3:14" x14ac:dyDescent="0.3">
      <c r="C18006" s="54"/>
      <c r="N18006" s="33"/>
    </row>
    <row r="18007" spans="3:14" x14ac:dyDescent="0.3">
      <c r="C18007" s="54"/>
      <c r="N18007" s="33"/>
    </row>
    <row r="18008" spans="3:14" x14ac:dyDescent="0.3">
      <c r="C18008" s="54"/>
      <c r="N18008" s="33"/>
    </row>
    <row r="18009" spans="3:14" x14ac:dyDescent="0.3">
      <c r="C18009" s="54"/>
      <c r="N18009" s="33"/>
    </row>
    <row r="18010" spans="3:14" x14ac:dyDescent="0.3">
      <c r="C18010" s="54"/>
      <c r="N18010" s="33"/>
    </row>
    <row r="18011" spans="3:14" x14ac:dyDescent="0.3">
      <c r="C18011" s="54"/>
      <c r="N18011" s="33"/>
    </row>
    <row r="18012" spans="3:14" x14ac:dyDescent="0.3">
      <c r="C18012" s="54"/>
      <c r="N18012" s="33"/>
    </row>
    <row r="18013" spans="3:14" x14ac:dyDescent="0.3">
      <c r="C18013" s="54"/>
      <c r="N18013" s="33"/>
    </row>
    <row r="18014" spans="3:14" x14ac:dyDescent="0.3">
      <c r="C18014" s="54"/>
      <c r="N18014" s="33"/>
    </row>
    <row r="18015" spans="3:14" x14ac:dyDescent="0.3">
      <c r="C18015" s="54"/>
      <c r="N18015" s="33"/>
    </row>
    <row r="18016" spans="3:14" x14ac:dyDescent="0.3">
      <c r="C18016" s="54"/>
      <c r="N18016" s="33"/>
    </row>
    <row r="18017" spans="3:14" x14ac:dyDescent="0.3">
      <c r="C18017" s="54"/>
      <c r="N18017" s="33"/>
    </row>
    <row r="18018" spans="3:14" x14ac:dyDescent="0.3">
      <c r="C18018" s="54"/>
      <c r="N18018" s="33"/>
    </row>
    <row r="18019" spans="3:14" x14ac:dyDescent="0.3">
      <c r="C18019" s="54"/>
      <c r="N18019" s="33"/>
    </row>
    <row r="18020" spans="3:14" x14ac:dyDescent="0.3">
      <c r="C18020" s="54"/>
      <c r="N18020" s="33"/>
    </row>
    <row r="18021" spans="3:14" x14ac:dyDescent="0.3">
      <c r="C18021" s="54"/>
      <c r="N18021" s="33"/>
    </row>
    <row r="18022" spans="3:14" x14ac:dyDescent="0.3">
      <c r="C18022" s="54"/>
      <c r="N18022" s="33"/>
    </row>
    <row r="18023" spans="3:14" x14ac:dyDescent="0.3">
      <c r="C18023" s="54"/>
      <c r="N18023" s="33"/>
    </row>
    <row r="18024" spans="3:14" x14ac:dyDescent="0.3">
      <c r="C18024" s="54"/>
      <c r="N18024" s="33"/>
    </row>
    <row r="18025" spans="3:14" x14ac:dyDescent="0.3">
      <c r="C18025" s="54"/>
      <c r="N18025" s="33"/>
    </row>
    <row r="18026" spans="3:14" x14ac:dyDescent="0.3">
      <c r="C18026" s="54"/>
      <c r="N18026" s="33"/>
    </row>
    <row r="18027" spans="3:14" x14ac:dyDescent="0.3">
      <c r="C18027" s="54"/>
      <c r="N18027" s="33"/>
    </row>
    <row r="18028" spans="3:14" x14ac:dyDescent="0.3">
      <c r="C18028" s="54"/>
      <c r="N18028" s="33"/>
    </row>
    <row r="18029" spans="3:14" x14ac:dyDescent="0.3">
      <c r="C18029" s="54"/>
      <c r="N18029" s="33"/>
    </row>
    <row r="18030" spans="3:14" x14ac:dyDescent="0.3">
      <c r="C18030" s="54"/>
      <c r="N18030" s="33"/>
    </row>
    <row r="18031" spans="3:14" x14ac:dyDescent="0.3">
      <c r="C18031" s="54"/>
      <c r="N18031" s="33"/>
    </row>
    <row r="18032" spans="3:14" x14ac:dyDescent="0.3">
      <c r="C18032" s="54"/>
      <c r="N18032" s="33"/>
    </row>
    <row r="18033" spans="3:14" x14ac:dyDescent="0.3">
      <c r="C18033" s="54"/>
      <c r="N18033" s="33"/>
    </row>
    <row r="18034" spans="3:14" x14ac:dyDescent="0.3">
      <c r="C18034" s="54"/>
      <c r="N18034" s="33"/>
    </row>
    <row r="18035" spans="3:14" x14ac:dyDescent="0.3">
      <c r="C18035" s="54"/>
      <c r="N18035" s="33"/>
    </row>
    <row r="18036" spans="3:14" x14ac:dyDescent="0.3">
      <c r="C18036" s="54"/>
      <c r="N18036" s="33"/>
    </row>
    <row r="18037" spans="3:14" x14ac:dyDescent="0.3">
      <c r="C18037" s="54"/>
      <c r="N18037" s="33"/>
    </row>
    <row r="18038" spans="3:14" x14ac:dyDescent="0.3">
      <c r="C18038" s="54"/>
      <c r="N18038" s="33"/>
    </row>
    <row r="18039" spans="3:14" x14ac:dyDescent="0.3">
      <c r="C18039" s="54"/>
      <c r="N18039" s="33"/>
    </row>
    <row r="18040" spans="3:14" x14ac:dyDescent="0.3">
      <c r="C18040" s="54"/>
      <c r="N18040" s="33"/>
    </row>
    <row r="18041" spans="3:14" x14ac:dyDescent="0.3">
      <c r="C18041" s="54"/>
      <c r="N18041" s="33"/>
    </row>
    <row r="18042" spans="3:14" x14ac:dyDescent="0.3">
      <c r="C18042" s="54"/>
      <c r="N18042" s="33"/>
    </row>
    <row r="18043" spans="3:14" x14ac:dyDescent="0.3">
      <c r="C18043" s="54"/>
      <c r="N18043" s="33"/>
    </row>
    <row r="18044" spans="3:14" x14ac:dyDescent="0.3">
      <c r="C18044" s="54"/>
      <c r="N18044" s="33"/>
    </row>
    <row r="18045" spans="3:14" x14ac:dyDescent="0.3">
      <c r="C18045" s="54"/>
      <c r="N18045" s="33"/>
    </row>
    <row r="18046" spans="3:14" x14ac:dyDescent="0.3">
      <c r="C18046" s="54"/>
      <c r="N18046" s="33"/>
    </row>
    <row r="18047" spans="3:14" x14ac:dyDescent="0.3">
      <c r="C18047" s="54"/>
      <c r="N18047" s="33"/>
    </row>
    <row r="18048" spans="3:14" x14ac:dyDescent="0.3">
      <c r="C18048" s="54"/>
      <c r="N18048" s="33"/>
    </row>
    <row r="18049" spans="3:14" x14ac:dyDescent="0.3">
      <c r="C18049" s="54"/>
      <c r="N18049" s="33"/>
    </row>
    <row r="18050" spans="3:14" x14ac:dyDescent="0.3">
      <c r="C18050" s="54"/>
      <c r="N18050" s="33"/>
    </row>
    <row r="18051" spans="3:14" x14ac:dyDescent="0.3">
      <c r="C18051" s="54"/>
      <c r="N18051" s="33"/>
    </row>
    <row r="18052" spans="3:14" x14ac:dyDescent="0.3">
      <c r="C18052" s="54"/>
      <c r="N18052" s="33"/>
    </row>
    <row r="18053" spans="3:14" x14ac:dyDescent="0.3">
      <c r="C18053" s="54"/>
      <c r="N18053" s="33"/>
    </row>
    <row r="18054" spans="3:14" x14ac:dyDescent="0.3">
      <c r="C18054" s="54"/>
      <c r="N18054" s="33"/>
    </row>
    <row r="18055" spans="3:14" x14ac:dyDescent="0.3">
      <c r="C18055" s="54"/>
      <c r="N18055" s="33"/>
    </row>
    <row r="18056" spans="3:14" x14ac:dyDescent="0.3">
      <c r="C18056" s="54"/>
      <c r="N18056" s="33"/>
    </row>
    <row r="18057" spans="3:14" x14ac:dyDescent="0.3">
      <c r="C18057" s="54"/>
      <c r="N18057" s="33"/>
    </row>
    <row r="18058" spans="3:14" x14ac:dyDescent="0.3">
      <c r="C18058" s="54"/>
      <c r="N18058" s="33"/>
    </row>
    <row r="18059" spans="3:14" x14ac:dyDescent="0.3">
      <c r="C18059" s="54"/>
      <c r="N18059" s="33"/>
    </row>
    <row r="18060" spans="3:14" x14ac:dyDescent="0.3">
      <c r="C18060" s="54"/>
      <c r="N18060" s="33"/>
    </row>
    <row r="18061" spans="3:14" x14ac:dyDescent="0.3">
      <c r="C18061" s="54"/>
      <c r="N18061" s="33"/>
    </row>
    <row r="18062" spans="3:14" x14ac:dyDescent="0.3">
      <c r="C18062" s="54"/>
      <c r="N18062" s="33"/>
    </row>
    <row r="18063" spans="3:14" x14ac:dyDescent="0.3">
      <c r="C18063" s="54"/>
      <c r="N18063" s="33"/>
    </row>
    <row r="18064" spans="3:14" x14ac:dyDescent="0.3">
      <c r="C18064" s="54"/>
      <c r="N18064" s="33"/>
    </row>
    <row r="18065" spans="3:14" x14ac:dyDescent="0.3">
      <c r="C18065" s="54"/>
      <c r="N18065" s="33"/>
    </row>
    <row r="18066" spans="3:14" x14ac:dyDescent="0.3">
      <c r="C18066" s="54"/>
      <c r="N18066" s="33"/>
    </row>
    <row r="18067" spans="3:14" x14ac:dyDescent="0.3">
      <c r="C18067" s="54"/>
      <c r="N18067" s="33"/>
    </row>
    <row r="18068" spans="3:14" x14ac:dyDescent="0.3">
      <c r="C18068" s="54"/>
      <c r="N18068" s="33"/>
    </row>
    <row r="18069" spans="3:14" x14ac:dyDescent="0.3">
      <c r="C18069" s="54"/>
      <c r="N18069" s="33"/>
    </row>
    <row r="18070" spans="3:14" x14ac:dyDescent="0.3">
      <c r="C18070" s="54"/>
      <c r="N18070" s="33"/>
    </row>
    <row r="18071" spans="3:14" x14ac:dyDescent="0.3">
      <c r="C18071" s="54"/>
      <c r="N18071" s="33"/>
    </row>
    <row r="18072" spans="3:14" x14ac:dyDescent="0.3">
      <c r="C18072" s="54"/>
      <c r="N18072" s="33"/>
    </row>
    <row r="18073" spans="3:14" x14ac:dyDescent="0.3">
      <c r="C18073" s="54"/>
      <c r="N18073" s="33"/>
    </row>
    <row r="18074" spans="3:14" x14ac:dyDescent="0.3">
      <c r="C18074" s="54"/>
      <c r="N18074" s="33"/>
    </row>
    <row r="18075" spans="3:14" x14ac:dyDescent="0.3">
      <c r="C18075" s="54"/>
      <c r="N18075" s="33"/>
    </row>
    <row r="18076" spans="3:14" x14ac:dyDescent="0.3">
      <c r="C18076" s="54"/>
      <c r="N18076" s="33"/>
    </row>
    <row r="18077" spans="3:14" x14ac:dyDescent="0.3">
      <c r="C18077" s="54"/>
      <c r="N18077" s="33"/>
    </row>
    <row r="18078" spans="3:14" x14ac:dyDescent="0.3">
      <c r="C18078" s="54"/>
      <c r="N18078" s="33"/>
    </row>
    <row r="18079" spans="3:14" x14ac:dyDescent="0.3">
      <c r="C18079" s="54"/>
      <c r="N18079" s="33"/>
    </row>
    <row r="18080" spans="3:14" x14ac:dyDescent="0.3">
      <c r="C18080" s="54"/>
      <c r="N18080" s="33"/>
    </row>
    <row r="18081" spans="3:14" x14ac:dyDescent="0.3">
      <c r="C18081" s="54"/>
      <c r="N18081" s="33"/>
    </row>
    <row r="18082" spans="3:14" x14ac:dyDescent="0.3">
      <c r="C18082" s="54"/>
      <c r="N18082" s="33"/>
    </row>
    <row r="18083" spans="3:14" x14ac:dyDescent="0.3">
      <c r="C18083" s="54"/>
      <c r="N18083" s="33"/>
    </row>
    <row r="18084" spans="3:14" x14ac:dyDescent="0.3">
      <c r="C18084" s="54"/>
      <c r="N18084" s="33"/>
    </row>
    <row r="18085" spans="3:14" x14ac:dyDescent="0.3">
      <c r="C18085" s="54"/>
      <c r="N18085" s="33"/>
    </row>
    <row r="18086" spans="3:14" x14ac:dyDescent="0.3">
      <c r="C18086" s="54"/>
      <c r="N18086" s="33"/>
    </row>
    <row r="18087" spans="3:14" x14ac:dyDescent="0.3">
      <c r="C18087" s="54"/>
      <c r="N18087" s="33"/>
    </row>
    <row r="18088" spans="3:14" x14ac:dyDescent="0.3">
      <c r="C18088" s="54"/>
      <c r="N18088" s="33"/>
    </row>
    <row r="18089" spans="3:14" x14ac:dyDescent="0.3">
      <c r="C18089" s="54"/>
      <c r="N18089" s="33"/>
    </row>
    <row r="18090" spans="3:14" x14ac:dyDescent="0.3">
      <c r="C18090" s="54"/>
      <c r="N18090" s="33"/>
    </row>
    <row r="18091" spans="3:14" x14ac:dyDescent="0.3">
      <c r="C18091" s="54"/>
      <c r="N18091" s="33"/>
    </row>
    <row r="18092" spans="3:14" x14ac:dyDescent="0.3">
      <c r="C18092" s="54"/>
      <c r="N18092" s="33"/>
    </row>
    <row r="18093" spans="3:14" x14ac:dyDescent="0.3">
      <c r="C18093" s="54"/>
      <c r="N18093" s="33"/>
    </row>
    <row r="18094" spans="3:14" x14ac:dyDescent="0.3">
      <c r="C18094" s="54"/>
      <c r="N18094" s="33"/>
    </row>
    <row r="18095" spans="3:14" x14ac:dyDescent="0.3">
      <c r="C18095" s="54"/>
      <c r="N18095" s="33"/>
    </row>
    <row r="18096" spans="3:14" x14ac:dyDescent="0.3">
      <c r="C18096" s="54"/>
      <c r="N18096" s="33"/>
    </row>
    <row r="18097" spans="3:14" x14ac:dyDescent="0.3">
      <c r="C18097" s="54"/>
      <c r="N18097" s="33"/>
    </row>
    <row r="18098" spans="3:14" x14ac:dyDescent="0.3">
      <c r="C18098" s="54"/>
      <c r="N18098" s="33"/>
    </row>
    <row r="18099" spans="3:14" x14ac:dyDescent="0.3">
      <c r="C18099" s="54"/>
      <c r="N18099" s="33"/>
    </row>
    <row r="18100" spans="3:14" x14ac:dyDescent="0.3">
      <c r="C18100" s="54"/>
      <c r="N18100" s="33"/>
    </row>
    <row r="18101" spans="3:14" x14ac:dyDescent="0.3">
      <c r="C18101" s="54"/>
      <c r="N18101" s="33"/>
    </row>
    <row r="18102" spans="3:14" x14ac:dyDescent="0.3">
      <c r="C18102" s="54"/>
      <c r="N18102" s="33"/>
    </row>
    <row r="18103" spans="3:14" x14ac:dyDescent="0.3">
      <c r="C18103" s="54"/>
      <c r="N18103" s="33"/>
    </row>
    <row r="18104" spans="3:14" x14ac:dyDescent="0.3">
      <c r="C18104" s="54"/>
      <c r="N18104" s="33"/>
    </row>
    <row r="18105" spans="3:14" x14ac:dyDescent="0.3">
      <c r="C18105" s="54"/>
      <c r="N18105" s="33"/>
    </row>
    <row r="18106" spans="3:14" x14ac:dyDescent="0.3">
      <c r="C18106" s="54"/>
      <c r="N18106" s="33"/>
    </row>
    <row r="18107" spans="3:14" x14ac:dyDescent="0.3">
      <c r="C18107" s="54"/>
      <c r="N18107" s="33"/>
    </row>
    <row r="18108" spans="3:14" x14ac:dyDescent="0.3">
      <c r="C18108" s="54"/>
      <c r="N18108" s="33"/>
    </row>
    <row r="18109" spans="3:14" x14ac:dyDescent="0.3">
      <c r="C18109" s="54"/>
      <c r="N18109" s="33"/>
    </row>
    <row r="18110" spans="3:14" x14ac:dyDescent="0.3">
      <c r="C18110" s="54"/>
      <c r="N18110" s="33"/>
    </row>
    <row r="18111" spans="3:14" x14ac:dyDescent="0.3">
      <c r="C18111" s="54"/>
      <c r="N18111" s="33"/>
    </row>
    <row r="18112" spans="3:14" x14ac:dyDescent="0.3">
      <c r="C18112" s="54"/>
      <c r="N18112" s="33"/>
    </row>
    <row r="18113" spans="3:14" x14ac:dyDescent="0.3">
      <c r="C18113" s="54"/>
      <c r="N18113" s="33"/>
    </row>
    <row r="18114" spans="3:14" x14ac:dyDescent="0.3">
      <c r="C18114" s="54"/>
      <c r="N18114" s="33"/>
    </row>
    <row r="18115" spans="3:14" x14ac:dyDescent="0.3">
      <c r="C18115" s="54"/>
      <c r="N18115" s="33"/>
    </row>
    <row r="18116" spans="3:14" x14ac:dyDescent="0.3">
      <c r="C18116" s="54"/>
      <c r="N18116" s="33"/>
    </row>
    <row r="18117" spans="3:14" x14ac:dyDescent="0.3">
      <c r="C18117" s="54"/>
      <c r="N18117" s="33"/>
    </row>
    <row r="18118" spans="3:14" x14ac:dyDescent="0.3">
      <c r="C18118" s="54"/>
      <c r="N18118" s="33"/>
    </row>
    <row r="18119" spans="3:14" x14ac:dyDescent="0.3">
      <c r="C18119" s="54"/>
      <c r="N18119" s="33"/>
    </row>
    <row r="18120" spans="3:14" x14ac:dyDescent="0.3">
      <c r="C18120" s="54"/>
      <c r="N18120" s="33"/>
    </row>
    <row r="18121" spans="3:14" x14ac:dyDescent="0.3">
      <c r="C18121" s="54"/>
      <c r="N18121" s="33"/>
    </row>
    <row r="18122" spans="3:14" x14ac:dyDescent="0.3">
      <c r="C18122" s="54"/>
      <c r="N18122" s="33"/>
    </row>
    <row r="18123" spans="3:14" x14ac:dyDescent="0.3">
      <c r="C18123" s="54"/>
      <c r="N18123" s="33"/>
    </row>
    <row r="18124" spans="3:14" x14ac:dyDescent="0.3">
      <c r="C18124" s="54"/>
      <c r="N18124" s="33"/>
    </row>
    <row r="18125" spans="3:14" x14ac:dyDescent="0.3">
      <c r="C18125" s="54"/>
      <c r="N18125" s="33"/>
    </row>
    <row r="18126" spans="3:14" x14ac:dyDescent="0.3">
      <c r="C18126" s="54"/>
      <c r="N18126" s="33"/>
    </row>
    <row r="18127" spans="3:14" x14ac:dyDescent="0.3">
      <c r="C18127" s="54"/>
      <c r="N18127" s="33"/>
    </row>
    <row r="18128" spans="3:14" x14ac:dyDescent="0.3">
      <c r="C18128" s="54"/>
      <c r="N18128" s="33"/>
    </row>
    <row r="18129" spans="3:14" x14ac:dyDescent="0.3">
      <c r="C18129" s="54"/>
      <c r="N18129" s="33"/>
    </row>
    <row r="18130" spans="3:14" x14ac:dyDescent="0.3">
      <c r="C18130" s="54"/>
      <c r="N18130" s="33"/>
    </row>
    <row r="18131" spans="3:14" x14ac:dyDescent="0.3">
      <c r="C18131" s="54"/>
      <c r="N18131" s="33"/>
    </row>
    <row r="18132" spans="3:14" x14ac:dyDescent="0.3">
      <c r="C18132" s="54"/>
      <c r="N18132" s="33"/>
    </row>
    <row r="18133" spans="3:14" x14ac:dyDescent="0.3">
      <c r="C18133" s="54"/>
      <c r="N18133" s="33"/>
    </row>
    <row r="18134" spans="3:14" x14ac:dyDescent="0.3">
      <c r="C18134" s="54"/>
      <c r="N18134" s="33"/>
    </row>
    <row r="18135" spans="3:14" x14ac:dyDescent="0.3">
      <c r="C18135" s="54"/>
      <c r="N18135" s="33"/>
    </row>
    <row r="18136" spans="3:14" x14ac:dyDescent="0.3">
      <c r="C18136" s="54"/>
      <c r="N18136" s="33"/>
    </row>
    <row r="18137" spans="3:14" x14ac:dyDescent="0.3">
      <c r="C18137" s="54"/>
      <c r="N18137" s="33"/>
    </row>
    <row r="18138" spans="3:14" x14ac:dyDescent="0.3">
      <c r="C18138" s="54"/>
      <c r="N18138" s="33"/>
    </row>
    <row r="18139" spans="3:14" x14ac:dyDescent="0.3">
      <c r="C18139" s="54"/>
      <c r="N18139" s="33"/>
    </row>
    <row r="18140" spans="3:14" x14ac:dyDescent="0.3">
      <c r="C18140" s="54"/>
      <c r="N18140" s="33"/>
    </row>
    <row r="18141" spans="3:14" x14ac:dyDescent="0.3">
      <c r="C18141" s="54"/>
      <c r="N18141" s="33"/>
    </row>
    <row r="18142" spans="3:14" x14ac:dyDescent="0.3">
      <c r="C18142" s="54"/>
      <c r="N18142" s="33"/>
    </row>
    <row r="18143" spans="3:14" x14ac:dyDescent="0.3">
      <c r="C18143" s="54"/>
      <c r="N18143" s="33"/>
    </row>
    <row r="18144" spans="3:14" x14ac:dyDescent="0.3">
      <c r="C18144" s="54"/>
      <c r="N18144" s="33"/>
    </row>
    <row r="18145" spans="3:14" x14ac:dyDescent="0.3">
      <c r="C18145" s="54"/>
      <c r="N18145" s="33"/>
    </row>
    <row r="18146" spans="3:14" x14ac:dyDescent="0.3">
      <c r="C18146" s="54"/>
      <c r="N18146" s="33"/>
    </row>
    <row r="18147" spans="3:14" x14ac:dyDescent="0.3">
      <c r="C18147" s="54"/>
      <c r="N18147" s="33"/>
    </row>
    <row r="18148" spans="3:14" x14ac:dyDescent="0.3">
      <c r="C18148" s="54"/>
      <c r="N18148" s="33"/>
    </row>
    <row r="18149" spans="3:14" x14ac:dyDescent="0.3">
      <c r="C18149" s="54"/>
      <c r="N18149" s="33"/>
    </row>
    <row r="18150" spans="3:14" x14ac:dyDescent="0.3">
      <c r="C18150" s="54"/>
      <c r="N18150" s="33"/>
    </row>
    <row r="18151" spans="3:14" x14ac:dyDescent="0.3">
      <c r="C18151" s="54"/>
      <c r="N18151" s="33"/>
    </row>
    <row r="18152" spans="3:14" x14ac:dyDescent="0.3">
      <c r="C18152" s="54"/>
      <c r="N18152" s="33"/>
    </row>
    <row r="18153" spans="3:14" x14ac:dyDescent="0.3">
      <c r="C18153" s="54"/>
      <c r="N18153" s="33"/>
    </row>
    <row r="18154" spans="3:14" x14ac:dyDescent="0.3">
      <c r="C18154" s="54"/>
      <c r="N18154" s="33"/>
    </row>
    <row r="18155" spans="3:14" x14ac:dyDescent="0.3">
      <c r="C18155" s="54"/>
      <c r="N18155" s="33"/>
    </row>
    <row r="18156" spans="3:14" x14ac:dyDescent="0.3">
      <c r="C18156" s="54"/>
      <c r="N18156" s="33"/>
    </row>
    <row r="18157" spans="3:14" x14ac:dyDescent="0.3">
      <c r="C18157" s="54"/>
      <c r="N18157" s="33"/>
    </row>
    <row r="18158" spans="3:14" x14ac:dyDescent="0.3">
      <c r="C18158" s="54"/>
      <c r="N18158" s="33"/>
    </row>
    <row r="18159" spans="3:14" x14ac:dyDescent="0.3">
      <c r="C18159" s="54"/>
      <c r="N18159" s="33"/>
    </row>
    <row r="18160" spans="3:14" x14ac:dyDescent="0.3">
      <c r="C18160" s="54"/>
      <c r="N18160" s="33"/>
    </row>
    <row r="18161" spans="3:14" x14ac:dyDescent="0.3">
      <c r="C18161" s="54"/>
      <c r="N18161" s="33"/>
    </row>
    <row r="18162" spans="3:14" x14ac:dyDescent="0.3">
      <c r="C18162" s="54"/>
      <c r="N18162" s="33"/>
    </row>
    <row r="18163" spans="3:14" x14ac:dyDescent="0.3">
      <c r="C18163" s="54"/>
      <c r="N18163" s="33"/>
    </row>
    <row r="18164" spans="3:14" x14ac:dyDescent="0.3">
      <c r="C18164" s="54"/>
      <c r="N18164" s="33"/>
    </row>
    <row r="18165" spans="3:14" x14ac:dyDescent="0.3">
      <c r="C18165" s="54"/>
      <c r="N18165" s="33"/>
    </row>
    <row r="18166" spans="3:14" x14ac:dyDescent="0.3">
      <c r="C18166" s="54"/>
      <c r="N18166" s="33"/>
    </row>
    <row r="18167" spans="3:14" x14ac:dyDescent="0.3">
      <c r="C18167" s="54"/>
      <c r="N18167" s="33"/>
    </row>
    <row r="18168" spans="3:14" x14ac:dyDescent="0.3">
      <c r="C18168" s="54"/>
      <c r="N18168" s="33"/>
    </row>
    <row r="18169" spans="3:14" x14ac:dyDescent="0.3">
      <c r="C18169" s="54"/>
      <c r="N18169" s="33"/>
    </row>
    <row r="18170" spans="3:14" x14ac:dyDescent="0.3">
      <c r="C18170" s="54"/>
      <c r="N18170" s="33"/>
    </row>
    <row r="18171" spans="3:14" x14ac:dyDescent="0.3">
      <c r="C18171" s="54"/>
      <c r="N18171" s="33"/>
    </row>
    <row r="18172" spans="3:14" x14ac:dyDescent="0.3">
      <c r="C18172" s="54"/>
      <c r="N18172" s="33"/>
    </row>
    <row r="18173" spans="3:14" x14ac:dyDescent="0.3">
      <c r="C18173" s="54"/>
      <c r="N18173" s="33"/>
    </row>
    <row r="18174" spans="3:14" x14ac:dyDescent="0.3">
      <c r="C18174" s="54"/>
      <c r="N18174" s="33"/>
    </row>
    <row r="18175" spans="3:14" x14ac:dyDescent="0.3">
      <c r="C18175" s="54"/>
      <c r="N18175" s="33"/>
    </row>
    <row r="18176" spans="3:14" x14ac:dyDescent="0.3">
      <c r="C18176" s="54"/>
      <c r="N18176" s="33"/>
    </row>
    <row r="18177" spans="3:14" x14ac:dyDescent="0.3">
      <c r="C18177" s="54"/>
      <c r="N18177" s="33"/>
    </row>
    <row r="18178" spans="3:14" x14ac:dyDescent="0.3">
      <c r="C18178" s="54"/>
      <c r="N18178" s="33"/>
    </row>
    <row r="18179" spans="3:14" x14ac:dyDescent="0.3">
      <c r="C18179" s="54"/>
      <c r="N18179" s="33"/>
    </row>
    <row r="18180" spans="3:14" x14ac:dyDescent="0.3">
      <c r="C18180" s="54"/>
      <c r="N18180" s="33"/>
    </row>
    <row r="18181" spans="3:14" x14ac:dyDescent="0.3">
      <c r="C18181" s="54"/>
      <c r="N18181" s="33"/>
    </row>
    <row r="18182" spans="3:14" x14ac:dyDescent="0.3">
      <c r="C18182" s="54"/>
      <c r="N18182" s="33"/>
    </row>
    <row r="18183" spans="3:14" x14ac:dyDescent="0.3">
      <c r="C18183" s="54"/>
      <c r="N18183" s="33"/>
    </row>
    <row r="18184" spans="3:14" x14ac:dyDescent="0.3">
      <c r="C18184" s="54"/>
      <c r="N18184" s="33"/>
    </row>
    <row r="18185" spans="3:14" x14ac:dyDescent="0.3">
      <c r="C18185" s="54"/>
      <c r="N18185" s="33"/>
    </row>
    <row r="18186" spans="3:14" x14ac:dyDescent="0.3">
      <c r="C18186" s="54"/>
      <c r="N18186" s="33"/>
    </row>
    <row r="18187" spans="3:14" x14ac:dyDescent="0.3">
      <c r="C18187" s="54"/>
      <c r="N18187" s="33"/>
    </row>
    <row r="18188" spans="3:14" x14ac:dyDescent="0.3">
      <c r="C18188" s="54"/>
      <c r="N18188" s="33"/>
    </row>
    <row r="18189" spans="3:14" x14ac:dyDescent="0.3">
      <c r="C18189" s="54"/>
      <c r="N18189" s="33"/>
    </row>
    <row r="18190" spans="3:14" x14ac:dyDescent="0.3">
      <c r="C18190" s="54"/>
      <c r="N18190" s="33"/>
    </row>
    <row r="18191" spans="3:14" x14ac:dyDescent="0.3">
      <c r="C18191" s="54"/>
      <c r="N18191" s="33"/>
    </row>
    <row r="18192" spans="3:14" x14ac:dyDescent="0.3">
      <c r="C18192" s="54"/>
      <c r="N18192" s="33"/>
    </row>
    <row r="18193" spans="3:14" x14ac:dyDescent="0.3">
      <c r="C18193" s="54"/>
      <c r="N18193" s="33"/>
    </row>
    <row r="18194" spans="3:14" x14ac:dyDescent="0.3">
      <c r="C18194" s="54"/>
      <c r="N18194" s="33"/>
    </row>
    <row r="18195" spans="3:14" x14ac:dyDescent="0.3">
      <c r="C18195" s="54"/>
      <c r="N18195" s="33"/>
    </row>
    <row r="18196" spans="3:14" x14ac:dyDescent="0.3">
      <c r="C18196" s="54"/>
      <c r="N18196" s="33"/>
    </row>
    <row r="18197" spans="3:14" x14ac:dyDescent="0.3">
      <c r="C18197" s="54"/>
      <c r="N18197" s="33"/>
    </row>
    <row r="18198" spans="3:14" x14ac:dyDescent="0.3">
      <c r="C18198" s="54"/>
      <c r="N18198" s="33"/>
    </row>
    <row r="18199" spans="3:14" x14ac:dyDescent="0.3">
      <c r="C18199" s="54"/>
      <c r="N18199" s="33"/>
    </row>
    <row r="18200" spans="3:14" x14ac:dyDescent="0.3">
      <c r="C18200" s="54"/>
      <c r="N18200" s="33"/>
    </row>
    <row r="18201" spans="3:14" x14ac:dyDescent="0.3">
      <c r="C18201" s="54"/>
      <c r="N18201" s="33"/>
    </row>
    <row r="18202" spans="3:14" x14ac:dyDescent="0.3">
      <c r="C18202" s="54"/>
      <c r="N18202" s="33"/>
    </row>
    <row r="18203" spans="3:14" x14ac:dyDescent="0.3">
      <c r="C18203" s="54"/>
      <c r="N18203" s="33"/>
    </row>
    <row r="18204" spans="3:14" x14ac:dyDescent="0.3">
      <c r="C18204" s="54"/>
      <c r="N18204" s="33"/>
    </row>
    <row r="18205" spans="3:14" x14ac:dyDescent="0.3">
      <c r="C18205" s="54"/>
      <c r="N18205" s="33"/>
    </row>
    <row r="18206" spans="3:14" x14ac:dyDescent="0.3">
      <c r="C18206" s="54"/>
      <c r="N18206" s="33"/>
    </row>
    <row r="18207" spans="3:14" x14ac:dyDescent="0.3">
      <c r="C18207" s="54"/>
      <c r="N18207" s="33"/>
    </row>
    <row r="18208" spans="3:14" x14ac:dyDescent="0.3">
      <c r="C18208" s="54"/>
      <c r="N18208" s="33"/>
    </row>
    <row r="18209" spans="3:14" x14ac:dyDescent="0.3">
      <c r="C18209" s="54"/>
      <c r="N18209" s="33"/>
    </row>
    <row r="18210" spans="3:14" x14ac:dyDescent="0.3">
      <c r="C18210" s="54"/>
      <c r="N18210" s="33"/>
    </row>
    <row r="18211" spans="3:14" x14ac:dyDescent="0.3">
      <c r="C18211" s="54"/>
      <c r="N18211" s="33"/>
    </row>
    <row r="18212" spans="3:14" x14ac:dyDescent="0.3">
      <c r="C18212" s="54"/>
      <c r="N18212" s="33"/>
    </row>
    <row r="18213" spans="3:14" x14ac:dyDescent="0.3">
      <c r="C18213" s="54"/>
      <c r="N18213" s="33"/>
    </row>
    <row r="18214" spans="3:14" x14ac:dyDescent="0.3">
      <c r="C18214" s="54"/>
      <c r="N18214" s="33"/>
    </row>
    <row r="18215" spans="3:14" x14ac:dyDescent="0.3">
      <c r="C18215" s="54"/>
      <c r="N18215" s="33"/>
    </row>
    <row r="18216" spans="3:14" x14ac:dyDescent="0.3">
      <c r="C18216" s="54"/>
      <c r="N18216" s="33"/>
    </row>
    <row r="18217" spans="3:14" x14ac:dyDescent="0.3">
      <c r="C18217" s="54"/>
      <c r="N18217" s="33"/>
    </row>
    <row r="18218" spans="3:14" x14ac:dyDescent="0.3">
      <c r="C18218" s="54"/>
      <c r="N18218" s="33"/>
    </row>
    <row r="18219" spans="3:14" x14ac:dyDescent="0.3">
      <c r="C18219" s="54"/>
      <c r="N18219" s="33"/>
    </row>
    <row r="18220" spans="3:14" x14ac:dyDescent="0.3">
      <c r="C18220" s="54"/>
      <c r="N18220" s="33"/>
    </row>
    <row r="18221" spans="3:14" x14ac:dyDescent="0.3">
      <c r="C18221" s="54"/>
      <c r="N18221" s="33"/>
    </row>
    <row r="18222" spans="3:14" x14ac:dyDescent="0.3">
      <c r="C18222" s="54"/>
      <c r="N18222" s="33"/>
    </row>
    <row r="18223" spans="3:14" x14ac:dyDescent="0.3">
      <c r="C18223" s="54"/>
      <c r="N18223" s="33"/>
    </row>
    <row r="18224" spans="3:14" x14ac:dyDescent="0.3">
      <c r="C18224" s="54"/>
      <c r="N18224" s="33"/>
    </row>
    <row r="18225" spans="3:14" x14ac:dyDescent="0.3">
      <c r="C18225" s="54"/>
      <c r="N18225" s="33"/>
    </row>
    <row r="18226" spans="3:14" x14ac:dyDescent="0.3">
      <c r="C18226" s="54"/>
      <c r="N18226" s="33"/>
    </row>
    <row r="18227" spans="3:14" x14ac:dyDescent="0.3">
      <c r="C18227" s="54"/>
      <c r="N18227" s="33"/>
    </row>
    <row r="18228" spans="3:14" x14ac:dyDescent="0.3">
      <c r="C18228" s="54"/>
      <c r="N18228" s="33"/>
    </row>
    <row r="18229" spans="3:14" x14ac:dyDescent="0.3">
      <c r="C18229" s="54"/>
      <c r="N18229" s="33"/>
    </row>
    <row r="18230" spans="3:14" x14ac:dyDescent="0.3">
      <c r="C18230" s="54"/>
      <c r="N18230" s="33"/>
    </row>
    <row r="18231" spans="3:14" x14ac:dyDescent="0.3">
      <c r="C18231" s="54"/>
      <c r="N18231" s="33"/>
    </row>
    <row r="18232" spans="3:14" x14ac:dyDescent="0.3">
      <c r="C18232" s="54"/>
      <c r="N18232" s="33"/>
    </row>
    <row r="18233" spans="3:14" x14ac:dyDescent="0.3">
      <c r="C18233" s="54"/>
      <c r="N18233" s="33"/>
    </row>
    <row r="18234" spans="3:14" x14ac:dyDescent="0.3">
      <c r="C18234" s="54"/>
      <c r="N18234" s="33"/>
    </row>
    <row r="18235" spans="3:14" x14ac:dyDescent="0.3">
      <c r="C18235" s="54"/>
      <c r="N18235" s="33"/>
    </row>
    <row r="18236" spans="3:14" x14ac:dyDescent="0.3">
      <c r="C18236" s="54"/>
      <c r="N18236" s="33"/>
    </row>
    <row r="18237" spans="3:14" x14ac:dyDescent="0.3">
      <c r="C18237" s="54"/>
      <c r="N18237" s="33"/>
    </row>
    <row r="18238" spans="3:14" x14ac:dyDescent="0.3">
      <c r="C18238" s="54"/>
      <c r="N18238" s="33"/>
    </row>
    <row r="18239" spans="3:14" x14ac:dyDescent="0.3">
      <c r="C18239" s="54"/>
      <c r="N18239" s="33"/>
    </row>
    <row r="18240" spans="3:14" x14ac:dyDescent="0.3">
      <c r="C18240" s="54"/>
      <c r="N18240" s="33"/>
    </row>
    <row r="18241" spans="3:14" x14ac:dyDescent="0.3">
      <c r="C18241" s="54"/>
      <c r="N18241" s="33"/>
    </row>
    <row r="18242" spans="3:14" x14ac:dyDescent="0.3">
      <c r="C18242" s="54"/>
      <c r="N18242" s="33"/>
    </row>
    <row r="18243" spans="3:14" x14ac:dyDescent="0.3">
      <c r="C18243" s="54"/>
      <c r="N18243" s="33"/>
    </row>
    <row r="18244" spans="3:14" x14ac:dyDescent="0.3">
      <c r="C18244" s="54"/>
      <c r="N18244" s="33"/>
    </row>
    <row r="18245" spans="3:14" x14ac:dyDescent="0.3">
      <c r="C18245" s="54"/>
      <c r="N18245" s="33"/>
    </row>
    <row r="18246" spans="3:14" x14ac:dyDescent="0.3">
      <c r="C18246" s="54"/>
      <c r="N18246" s="33"/>
    </row>
    <row r="18247" spans="3:14" x14ac:dyDescent="0.3">
      <c r="C18247" s="54"/>
      <c r="N18247" s="33"/>
    </row>
    <row r="18248" spans="3:14" x14ac:dyDescent="0.3">
      <c r="C18248" s="54"/>
      <c r="N18248" s="33"/>
    </row>
    <row r="18249" spans="3:14" x14ac:dyDescent="0.3">
      <c r="C18249" s="54"/>
      <c r="N18249" s="33"/>
    </row>
    <row r="18250" spans="3:14" x14ac:dyDescent="0.3">
      <c r="C18250" s="54"/>
      <c r="N18250" s="33"/>
    </row>
    <row r="18251" spans="3:14" x14ac:dyDescent="0.3">
      <c r="C18251" s="54"/>
      <c r="N18251" s="33"/>
    </row>
    <row r="18252" spans="3:14" x14ac:dyDescent="0.3">
      <c r="C18252" s="54"/>
      <c r="N18252" s="33"/>
    </row>
    <row r="18253" spans="3:14" x14ac:dyDescent="0.3">
      <c r="C18253" s="54"/>
      <c r="N18253" s="33"/>
    </row>
    <row r="18254" spans="3:14" x14ac:dyDescent="0.3">
      <c r="C18254" s="54"/>
      <c r="N18254" s="33"/>
    </row>
    <row r="18255" spans="3:14" x14ac:dyDescent="0.3">
      <c r="C18255" s="54"/>
      <c r="N18255" s="33"/>
    </row>
    <row r="18256" spans="3:14" x14ac:dyDescent="0.3">
      <c r="C18256" s="54"/>
      <c r="N18256" s="33"/>
    </row>
    <row r="18257" spans="3:14" x14ac:dyDescent="0.3">
      <c r="C18257" s="54"/>
      <c r="N18257" s="33"/>
    </row>
    <row r="18258" spans="3:14" x14ac:dyDescent="0.3">
      <c r="C18258" s="54"/>
      <c r="N18258" s="33"/>
    </row>
    <row r="18259" spans="3:14" x14ac:dyDescent="0.3">
      <c r="C18259" s="54"/>
      <c r="N18259" s="33"/>
    </row>
    <row r="18260" spans="3:14" x14ac:dyDescent="0.3">
      <c r="C18260" s="54"/>
      <c r="N18260" s="33"/>
    </row>
    <row r="18261" spans="3:14" x14ac:dyDescent="0.3">
      <c r="C18261" s="54"/>
      <c r="N18261" s="33"/>
    </row>
    <row r="18262" spans="3:14" x14ac:dyDescent="0.3">
      <c r="C18262" s="54"/>
      <c r="N18262" s="33"/>
    </row>
    <row r="18263" spans="3:14" x14ac:dyDescent="0.3">
      <c r="C18263" s="54"/>
      <c r="N18263" s="33"/>
    </row>
    <row r="18264" spans="3:14" x14ac:dyDescent="0.3">
      <c r="C18264" s="54"/>
      <c r="N18264" s="33"/>
    </row>
    <row r="18265" spans="3:14" x14ac:dyDescent="0.3">
      <c r="C18265" s="54"/>
      <c r="N18265" s="33"/>
    </row>
    <row r="18266" spans="3:14" x14ac:dyDescent="0.3">
      <c r="C18266" s="54"/>
      <c r="N18266" s="33"/>
    </row>
    <row r="18267" spans="3:14" x14ac:dyDescent="0.3">
      <c r="C18267" s="54"/>
      <c r="N18267" s="33"/>
    </row>
    <row r="18268" spans="3:14" x14ac:dyDescent="0.3">
      <c r="C18268" s="54"/>
      <c r="N18268" s="33"/>
    </row>
    <row r="18269" spans="3:14" x14ac:dyDescent="0.3">
      <c r="C18269" s="54"/>
      <c r="N18269" s="33"/>
    </row>
    <row r="18270" spans="3:14" x14ac:dyDescent="0.3">
      <c r="C18270" s="54"/>
      <c r="N18270" s="33"/>
    </row>
    <row r="18271" spans="3:14" x14ac:dyDescent="0.3">
      <c r="C18271" s="54"/>
      <c r="N18271" s="33"/>
    </row>
    <row r="18272" spans="3:14" x14ac:dyDescent="0.3">
      <c r="C18272" s="54"/>
      <c r="N18272" s="33"/>
    </row>
    <row r="18273" spans="3:14" x14ac:dyDescent="0.3">
      <c r="C18273" s="54"/>
      <c r="N18273" s="33"/>
    </row>
    <row r="18274" spans="3:14" x14ac:dyDescent="0.3">
      <c r="C18274" s="54"/>
      <c r="N18274" s="33"/>
    </row>
    <row r="18275" spans="3:14" x14ac:dyDescent="0.3">
      <c r="C18275" s="54"/>
      <c r="N18275" s="33"/>
    </row>
    <row r="18276" spans="3:14" x14ac:dyDescent="0.3">
      <c r="C18276" s="54"/>
      <c r="N18276" s="33"/>
    </row>
    <row r="18277" spans="3:14" x14ac:dyDescent="0.3">
      <c r="C18277" s="54"/>
      <c r="N18277" s="33"/>
    </row>
    <row r="18278" spans="3:14" x14ac:dyDescent="0.3">
      <c r="C18278" s="54"/>
      <c r="N18278" s="33"/>
    </row>
    <row r="18279" spans="3:14" x14ac:dyDescent="0.3">
      <c r="C18279" s="54"/>
      <c r="N18279" s="33"/>
    </row>
    <row r="18280" spans="3:14" x14ac:dyDescent="0.3">
      <c r="C18280" s="54"/>
      <c r="N18280" s="33"/>
    </row>
    <row r="18281" spans="3:14" x14ac:dyDescent="0.3">
      <c r="C18281" s="54"/>
      <c r="N18281" s="33"/>
    </row>
    <row r="18282" spans="3:14" x14ac:dyDescent="0.3">
      <c r="C18282" s="54"/>
      <c r="N18282" s="33"/>
    </row>
    <row r="18283" spans="3:14" x14ac:dyDescent="0.3">
      <c r="C18283" s="54"/>
      <c r="N18283" s="33"/>
    </row>
    <row r="18284" spans="3:14" x14ac:dyDescent="0.3">
      <c r="C18284" s="54"/>
      <c r="N18284" s="33"/>
    </row>
    <row r="18285" spans="3:14" x14ac:dyDescent="0.3">
      <c r="C18285" s="54"/>
      <c r="N18285" s="33"/>
    </row>
    <row r="18286" spans="3:14" x14ac:dyDescent="0.3">
      <c r="C18286" s="54"/>
      <c r="N18286" s="33"/>
    </row>
    <row r="18287" spans="3:14" x14ac:dyDescent="0.3">
      <c r="C18287" s="54"/>
      <c r="N18287" s="33"/>
    </row>
    <row r="18288" spans="3:14" x14ac:dyDescent="0.3">
      <c r="C18288" s="54"/>
      <c r="N18288" s="33"/>
    </row>
    <row r="18289" spans="3:14" x14ac:dyDescent="0.3">
      <c r="C18289" s="54"/>
      <c r="N18289" s="33"/>
    </row>
    <row r="18290" spans="3:14" x14ac:dyDescent="0.3">
      <c r="C18290" s="54"/>
      <c r="N18290" s="33"/>
    </row>
    <row r="18291" spans="3:14" x14ac:dyDescent="0.3">
      <c r="C18291" s="54"/>
      <c r="N18291" s="33"/>
    </row>
    <row r="18292" spans="3:14" x14ac:dyDescent="0.3">
      <c r="C18292" s="54"/>
      <c r="N18292" s="33"/>
    </row>
    <row r="18293" spans="3:14" x14ac:dyDescent="0.3">
      <c r="C18293" s="54"/>
      <c r="N18293" s="33"/>
    </row>
    <row r="18294" spans="3:14" x14ac:dyDescent="0.3">
      <c r="C18294" s="54"/>
      <c r="N18294" s="33"/>
    </row>
    <row r="18295" spans="3:14" x14ac:dyDescent="0.3">
      <c r="C18295" s="54"/>
      <c r="N18295" s="33"/>
    </row>
    <row r="18296" spans="3:14" x14ac:dyDescent="0.3">
      <c r="C18296" s="54"/>
      <c r="N18296" s="33"/>
    </row>
    <row r="18297" spans="3:14" x14ac:dyDescent="0.3">
      <c r="C18297" s="54"/>
      <c r="N18297" s="33"/>
    </row>
    <row r="18298" spans="3:14" x14ac:dyDescent="0.3">
      <c r="C18298" s="54"/>
      <c r="N18298" s="33"/>
    </row>
    <row r="18299" spans="3:14" x14ac:dyDescent="0.3">
      <c r="C18299" s="54"/>
      <c r="N18299" s="33"/>
    </row>
    <row r="18300" spans="3:14" x14ac:dyDescent="0.3">
      <c r="C18300" s="54"/>
      <c r="N18300" s="33"/>
    </row>
    <row r="18301" spans="3:14" x14ac:dyDescent="0.3">
      <c r="C18301" s="54"/>
      <c r="N18301" s="33"/>
    </row>
    <row r="18302" spans="3:14" x14ac:dyDescent="0.3">
      <c r="C18302" s="54"/>
      <c r="N18302" s="33"/>
    </row>
    <row r="18303" spans="3:14" x14ac:dyDescent="0.3">
      <c r="C18303" s="54"/>
      <c r="N18303" s="33"/>
    </row>
    <row r="18304" spans="3:14" x14ac:dyDescent="0.3">
      <c r="C18304" s="54"/>
      <c r="N18304" s="33"/>
    </row>
    <row r="18305" spans="3:14" x14ac:dyDescent="0.3">
      <c r="C18305" s="54"/>
      <c r="N18305" s="33"/>
    </row>
    <row r="18306" spans="3:14" x14ac:dyDescent="0.3">
      <c r="C18306" s="54"/>
      <c r="N18306" s="33"/>
    </row>
    <row r="18307" spans="3:14" x14ac:dyDescent="0.3">
      <c r="C18307" s="54"/>
      <c r="N18307" s="33"/>
    </row>
    <row r="18308" spans="3:14" x14ac:dyDescent="0.3">
      <c r="C18308" s="54"/>
      <c r="N18308" s="33"/>
    </row>
    <row r="18309" spans="3:14" x14ac:dyDescent="0.3">
      <c r="C18309" s="54"/>
      <c r="N18309" s="33"/>
    </row>
    <row r="18310" spans="3:14" x14ac:dyDescent="0.3">
      <c r="C18310" s="54"/>
      <c r="N18310" s="33"/>
    </row>
    <row r="18311" spans="3:14" x14ac:dyDescent="0.3">
      <c r="C18311" s="54"/>
      <c r="N18311" s="33"/>
    </row>
    <row r="18312" spans="3:14" x14ac:dyDescent="0.3">
      <c r="C18312" s="54"/>
      <c r="N18312" s="33"/>
    </row>
    <row r="18313" spans="3:14" x14ac:dyDescent="0.3">
      <c r="C18313" s="54"/>
      <c r="N18313" s="33"/>
    </row>
    <row r="18314" spans="3:14" x14ac:dyDescent="0.3">
      <c r="C18314" s="54"/>
      <c r="N18314" s="33"/>
    </row>
    <row r="18315" spans="3:14" x14ac:dyDescent="0.3">
      <c r="C18315" s="54"/>
      <c r="N18315" s="33"/>
    </row>
    <row r="18316" spans="3:14" x14ac:dyDescent="0.3">
      <c r="C18316" s="54"/>
      <c r="N18316" s="33"/>
    </row>
    <row r="18317" spans="3:14" x14ac:dyDescent="0.3">
      <c r="C18317" s="54"/>
      <c r="N18317" s="33"/>
    </row>
    <row r="18318" spans="3:14" x14ac:dyDescent="0.3">
      <c r="C18318" s="54"/>
      <c r="N18318" s="33"/>
    </row>
    <row r="18319" spans="3:14" x14ac:dyDescent="0.3">
      <c r="C18319" s="54"/>
      <c r="N18319" s="33"/>
    </row>
    <row r="18320" spans="3:14" x14ac:dyDescent="0.3">
      <c r="C18320" s="54"/>
      <c r="N18320" s="33"/>
    </row>
    <row r="18321" spans="3:14" x14ac:dyDescent="0.3">
      <c r="C18321" s="54"/>
      <c r="N18321" s="33"/>
    </row>
    <row r="18322" spans="3:14" x14ac:dyDescent="0.3">
      <c r="C18322" s="54"/>
      <c r="N18322" s="33"/>
    </row>
    <row r="18323" spans="3:14" x14ac:dyDescent="0.3">
      <c r="C18323" s="54"/>
      <c r="N18323" s="33"/>
    </row>
    <row r="18324" spans="3:14" x14ac:dyDescent="0.3">
      <c r="C18324" s="54"/>
      <c r="N18324" s="33"/>
    </row>
    <row r="18325" spans="3:14" x14ac:dyDescent="0.3">
      <c r="C18325" s="54"/>
      <c r="N18325" s="33"/>
    </row>
    <row r="18326" spans="3:14" x14ac:dyDescent="0.3">
      <c r="C18326" s="54"/>
      <c r="N18326" s="33"/>
    </row>
    <row r="18327" spans="3:14" x14ac:dyDescent="0.3">
      <c r="C18327" s="54"/>
      <c r="N18327" s="33"/>
    </row>
    <row r="18328" spans="3:14" x14ac:dyDescent="0.3">
      <c r="C18328" s="54"/>
      <c r="N18328" s="33"/>
    </row>
    <row r="18329" spans="3:14" x14ac:dyDescent="0.3">
      <c r="C18329" s="54"/>
      <c r="N18329" s="33"/>
    </row>
    <row r="18330" spans="3:14" x14ac:dyDescent="0.3">
      <c r="C18330" s="54"/>
      <c r="N18330" s="33"/>
    </row>
    <row r="18331" spans="3:14" x14ac:dyDescent="0.3">
      <c r="C18331" s="54"/>
      <c r="N18331" s="33"/>
    </row>
    <row r="18332" spans="3:14" x14ac:dyDescent="0.3">
      <c r="C18332" s="54"/>
      <c r="N18332" s="33"/>
    </row>
    <row r="18333" spans="3:14" x14ac:dyDescent="0.3">
      <c r="C18333" s="54"/>
      <c r="N18333" s="33"/>
    </row>
    <row r="18334" spans="3:14" x14ac:dyDescent="0.3">
      <c r="C18334" s="54"/>
      <c r="N18334" s="33"/>
    </row>
    <row r="18335" spans="3:14" x14ac:dyDescent="0.3">
      <c r="C18335" s="54"/>
      <c r="N18335" s="33"/>
    </row>
    <row r="18336" spans="3:14" x14ac:dyDescent="0.3">
      <c r="C18336" s="54"/>
      <c r="N18336" s="33"/>
    </row>
    <row r="18337" spans="3:14" x14ac:dyDescent="0.3">
      <c r="C18337" s="54"/>
      <c r="N18337" s="33"/>
    </row>
    <row r="18338" spans="3:14" x14ac:dyDescent="0.3">
      <c r="C18338" s="54"/>
      <c r="N18338" s="33"/>
    </row>
    <row r="18339" spans="3:14" x14ac:dyDescent="0.3">
      <c r="C18339" s="54"/>
      <c r="N18339" s="33"/>
    </row>
    <row r="18340" spans="3:14" x14ac:dyDescent="0.3">
      <c r="C18340" s="54"/>
      <c r="N18340" s="33"/>
    </row>
    <row r="18341" spans="3:14" x14ac:dyDescent="0.3">
      <c r="C18341" s="54"/>
      <c r="N18341" s="33"/>
    </row>
    <row r="18342" spans="3:14" x14ac:dyDescent="0.3">
      <c r="C18342" s="54"/>
      <c r="N18342" s="33"/>
    </row>
    <row r="18343" spans="3:14" x14ac:dyDescent="0.3">
      <c r="C18343" s="54"/>
      <c r="N18343" s="33"/>
    </row>
    <row r="18344" spans="3:14" x14ac:dyDescent="0.3">
      <c r="C18344" s="54"/>
      <c r="N18344" s="33"/>
    </row>
    <row r="18345" spans="3:14" x14ac:dyDescent="0.3">
      <c r="C18345" s="54"/>
      <c r="N18345" s="33"/>
    </row>
    <row r="18346" spans="3:14" x14ac:dyDescent="0.3">
      <c r="C18346" s="54"/>
      <c r="N18346" s="33"/>
    </row>
    <row r="18347" spans="3:14" x14ac:dyDescent="0.3">
      <c r="C18347" s="54"/>
      <c r="N18347" s="33"/>
    </row>
    <row r="18348" spans="3:14" x14ac:dyDescent="0.3">
      <c r="C18348" s="54"/>
      <c r="N18348" s="33"/>
    </row>
    <row r="18349" spans="3:14" x14ac:dyDescent="0.3">
      <c r="C18349" s="54"/>
      <c r="N18349" s="33"/>
    </row>
    <row r="18350" spans="3:14" x14ac:dyDescent="0.3">
      <c r="C18350" s="54"/>
      <c r="N18350" s="33"/>
    </row>
    <row r="18351" spans="3:14" x14ac:dyDescent="0.3">
      <c r="C18351" s="54"/>
      <c r="N18351" s="33"/>
    </row>
    <row r="18352" spans="3:14" x14ac:dyDescent="0.3">
      <c r="C18352" s="54"/>
      <c r="N18352" s="33"/>
    </row>
    <row r="18353" spans="3:14" x14ac:dyDescent="0.3">
      <c r="C18353" s="54"/>
      <c r="N18353" s="33"/>
    </row>
    <row r="18354" spans="3:14" x14ac:dyDescent="0.3">
      <c r="C18354" s="54"/>
      <c r="N18354" s="33"/>
    </row>
    <row r="18355" spans="3:14" x14ac:dyDescent="0.3">
      <c r="C18355" s="54"/>
      <c r="N18355" s="33"/>
    </row>
    <row r="18356" spans="3:14" x14ac:dyDescent="0.3">
      <c r="C18356" s="54"/>
      <c r="N18356" s="33"/>
    </row>
    <row r="18357" spans="3:14" x14ac:dyDescent="0.3">
      <c r="C18357" s="54"/>
      <c r="N18357" s="33"/>
    </row>
    <row r="18358" spans="3:14" x14ac:dyDescent="0.3">
      <c r="C18358" s="54"/>
      <c r="N18358" s="33"/>
    </row>
    <row r="18359" spans="3:14" x14ac:dyDescent="0.3">
      <c r="C18359" s="54"/>
      <c r="N18359" s="33"/>
    </row>
    <row r="18360" spans="3:14" x14ac:dyDescent="0.3">
      <c r="C18360" s="54"/>
      <c r="N18360" s="33"/>
    </row>
    <row r="18361" spans="3:14" x14ac:dyDescent="0.3">
      <c r="C18361" s="54"/>
      <c r="N18361" s="33"/>
    </row>
    <row r="18362" spans="3:14" x14ac:dyDescent="0.3">
      <c r="C18362" s="54"/>
      <c r="N18362" s="33"/>
    </row>
    <row r="18363" spans="3:14" x14ac:dyDescent="0.3">
      <c r="C18363" s="54"/>
      <c r="N18363" s="33"/>
    </row>
    <row r="18364" spans="3:14" x14ac:dyDescent="0.3">
      <c r="C18364" s="54"/>
      <c r="N18364" s="33"/>
    </row>
    <row r="18365" spans="3:14" x14ac:dyDescent="0.3">
      <c r="C18365" s="54"/>
      <c r="N18365" s="33"/>
    </row>
    <row r="18366" spans="3:14" x14ac:dyDescent="0.3">
      <c r="C18366" s="54"/>
      <c r="N18366" s="33"/>
    </row>
    <row r="18367" spans="3:14" x14ac:dyDescent="0.3">
      <c r="C18367" s="54"/>
      <c r="N18367" s="33"/>
    </row>
    <row r="18368" spans="3:14" x14ac:dyDescent="0.3">
      <c r="C18368" s="54"/>
      <c r="N18368" s="33"/>
    </row>
    <row r="18369" spans="3:14" x14ac:dyDescent="0.3">
      <c r="C18369" s="54"/>
      <c r="N18369" s="33"/>
    </row>
    <row r="18370" spans="3:14" x14ac:dyDescent="0.3">
      <c r="C18370" s="54"/>
      <c r="N18370" s="33"/>
    </row>
    <row r="18371" spans="3:14" x14ac:dyDescent="0.3">
      <c r="C18371" s="54"/>
      <c r="N18371" s="33"/>
    </row>
    <row r="18372" spans="3:14" x14ac:dyDescent="0.3">
      <c r="C18372" s="54"/>
      <c r="N18372" s="33"/>
    </row>
    <row r="18373" spans="3:14" x14ac:dyDescent="0.3">
      <c r="C18373" s="54"/>
      <c r="N18373" s="33"/>
    </row>
    <row r="18374" spans="3:14" x14ac:dyDescent="0.3">
      <c r="C18374" s="54"/>
      <c r="N18374" s="33"/>
    </row>
    <row r="18375" spans="3:14" x14ac:dyDescent="0.3">
      <c r="C18375" s="54"/>
      <c r="N18375" s="33"/>
    </row>
    <row r="18376" spans="3:14" x14ac:dyDescent="0.3">
      <c r="C18376" s="54"/>
      <c r="N18376" s="33"/>
    </row>
    <row r="18377" spans="3:14" x14ac:dyDescent="0.3">
      <c r="C18377" s="54"/>
      <c r="N18377" s="33"/>
    </row>
    <row r="18378" spans="3:14" x14ac:dyDescent="0.3">
      <c r="C18378" s="54"/>
      <c r="N18378" s="33"/>
    </row>
    <row r="18379" spans="3:14" x14ac:dyDescent="0.3">
      <c r="C18379" s="54"/>
      <c r="N18379" s="33"/>
    </row>
    <row r="18380" spans="3:14" x14ac:dyDescent="0.3">
      <c r="C18380" s="54"/>
      <c r="N18380" s="33"/>
    </row>
    <row r="18381" spans="3:14" x14ac:dyDescent="0.3">
      <c r="C18381" s="54"/>
      <c r="N18381" s="33"/>
    </row>
    <row r="18382" spans="3:14" x14ac:dyDescent="0.3">
      <c r="C18382" s="54"/>
      <c r="N18382" s="33"/>
    </row>
    <row r="18383" spans="3:14" x14ac:dyDescent="0.3">
      <c r="C18383" s="54"/>
      <c r="N18383" s="33"/>
    </row>
    <row r="18384" spans="3:14" x14ac:dyDescent="0.3">
      <c r="C18384" s="54"/>
      <c r="N18384" s="33"/>
    </row>
    <row r="18385" spans="3:14" x14ac:dyDescent="0.3">
      <c r="C18385" s="54"/>
      <c r="N18385" s="33"/>
    </row>
    <row r="18386" spans="3:14" x14ac:dyDescent="0.3">
      <c r="C18386" s="54"/>
      <c r="N18386" s="33"/>
    </row>
    <row r="18387" spans="3:14" x14ac:dyDescent="0.3">
      <c r="C18387" s="54"/>
      <c r="N18387" s="33"/>
    </row>
    <row r="18388" spans="3:14" x14ac:dyDescent="0.3">
      <c r="C18388" s="54"/>
      <c r="N18388" s="33"/>
    </row>
    <row r="18389" spans="3:14" x14ac:dyDescent="0.3">
      <c r="C18389" s="54"/>
      <c r="N18389" s="33"/>
    </row>
    <row r="18390" spans="3:14" x14ac:dyDescent="0.3">
      <c r="C18390" s="54"/>
      <c r="N18390" s="33"/>
    </row>
    <row r="18391" spans="3:14" x14ac:dyDescent="0.3">
      <c r="C18391" s="54"/>
      <c r="N18391" s="33"/>
    </row>
    <row r="18392" spans="3:14" x14ac:dyDescent="0.3">
      <c r="C18392" s="54"/>
      <c r="N18392" s="33"/>
    </row>
    <row r="18393" spans="3:14" x14ac:dyDescent="0.3">
      <c r="C18393" s="54"/>
      <c r="N18393" s="33"/>
    </row>
    <row r="18394" spans="3:14" x14ac:dyDescent="0.3">
      <c r="C18394" s="54"/>
      <c r="N18394" s="33"/>
    </row>
    <row r="18395" spans="3:14" x14ac:dyDescent="0.3">
      <c r="C18395" s="54"/>
      <c r="N18395" s="33"/>
    </row>
    <row r="18396" spans="3:14" x14ac:dyDescent="0.3">
      <c r="C18396" s="54"/>
      <c r="N18396" s="33"/>
    </row>
    <row r="18397" spans="3:14" x14ac:dyDescent="0.3">
      <c r="C18397" s="54"/>
      <c r="N18397" s="33"/>
    </row>
    <row r="18398" spans="3:14" x14ac:dyDescent="0.3">
      <c r="C18398" s="54"/>
      <c r="N18398" s="33"/>
    </row>
    <row r="18399" spans="3:14" x14ac:dyDescent="0.3">
      <c r="C18399" s="54"/>
      <c r="N18399" s="33"/>
    </row>
    <row r="18400" spans="3:14" x14ac:dyDescent="0.3">
      <c r="C18400" s="54"/>
      <c r="N18400" s="33"/>
    </row>
    <row r="18401" spans="3:14" x14ac:dyDescent="0.3">
      <c r="C18401" s="54"/>
      <c r="N18401" s="33"/>
    </row>
    <row r="18402" spans="3:14" x14ac:dyDescent="0.3">
      <c r="C18402" s="54"/>
      <c r="N18402" s="33"/>
    </row>
    <row r="18403" spans="3:14" x14ac:dyDescent="0.3">
      <c r="C18403" s="54"/>
      <c r="N18403" s="33"/>
    </row>
    <row r="18404" spans="3:14" x14ac:dyDescent="0.3">
      <c r="C18404" s="54"/>
      <c r="N18404" s="33"/>
    </row>
    <row r="18405" spans="3:14" x14ac:dyDescent="0.3">
      <c r="C18405" s="54"/>
      <c r="N18405" s="33"/>
    </row>
    <row r="18406" spans="3:14" x14ac:dyDescent="0.3">
      <c r="C18406" s="54"/>
      <c r="N18406" s="33"/>
    </row>
    <row r="18407" spans="3:14" x14ac:dyDescent="0.3">
      <c r="C18407" s="54"/>
      <c r="N18407" s="33"/>
    </row>
    <row r="18408" spans="3:14" x14ac:dyDescent="0.3">
      <c r="C18408" s="54"/>
      <c r="N18408" s="33"/>
    </row>
    <row r="18409" spans="3:14" x14ac:dyDescent="0.3">
      <c r="C18409" s="54"/>
      <c r="N18409" s="33"/>
    </row>
    <row r="18410" spans="3:14" x14ac:dyDescent="0.3">
      <c r="C18410" s="54"/>
      <c r="N18410" s="33"/>
    </row>
    <row r="18411" spans="3:14" x14ac:dyDescent="0.3">
      <c r="C18411" s="54"/>
      <c r="N18411" s="33"/>
    </row>
    <row r="18412" spans="3:14" x14ac:dyDescent="0.3">
      <c r="C18412" s="54"/>
      <c r="N18412" s="33"/>
    </row>
    <row r="18413" spans="3:14" x14ac:dyDescent="0.3">
      <c r="C18413" s="54"/>
      <c r="N18413" s="33"/>
    </row>
    <row r="18414" spans="3:14" x14ac:dyDescent="0.3">
      <c r="C18414" s="54"/>
      <c r="N18414" s="33"/>
    </row>
    <row r="18415" spans="3:14" x14ac:dyDescent="0.3">
      <c r="C18415" s="54"/>
      <c r="N18415" s="33"/>
    </row>
    <row r="18416" spans="3:14" x14ac:dyDescent="0.3">
      <c r="C18416" s="54"/>
      <c r="N18416" s="33"/>
    </row>
    <row r="18417" spans="3:14" x14ac:dyDescent="0.3">
      <c r="C18417" s="54"/>
      <c r="N18417" s="33"/>
    </row>
    <row r="18418" spans="3:14" x14ac:dyDescent="0.3">
      <c r="C18418" s="54"/>
      <c r="N18418" s="33"/>
    </row>
    <row r="18419" spans="3:14" x14ac:dyDescent="0.3">
      <c r="C18419" s="54"/>
      <c r="N18419" s="33"/>
    </row>
    <row r="18420" spans="3:14" x14ac:dyDescent="0.3">
      <c r="C18420" s="54"/>
      <c r="N18420" s="33"/>
    </row>
    <row r="18421" spans="3:14" x14ac:dyDescent="0.3">
      <c r="C18421" s="54"/>
      <c r="N18421" s="33"/>
    </row>
    <row r="18422" spans="3:14" x14ac:dyDescent="0.3">
      <c r="C18422" s="54"/>
      <c r="N18422" s="33"/>
    </row>
    <row r="18423" spans="3:14" x14ac:dyDescent="0.3">
      <c r="C18423" s="54"/>
      <c r="N18423" s="33"/>
    </row>
    <row r="18424" spans="3:14" x14ac:dyDescent="0.3">
      <c r="C18424" s="54"/>
      <c r="N18424" s="33"/>
    </row>
    <row r="18425" spans="3:14" x14ac:dyDescent="0.3">
      <c r="C18425" s="54"/>
      <c r="N18425" s="33"/>
    </row>
    <row r="18426" spans="3:14" x14ac:dyDescent="0.3">
      <c r="C18426" s="54"/>
      <c r="N18426" s="33"/>
    </row>
    <row r="18427" spans="3:14" x14ac:dyDescent="0.3">
      <c r="C18427" s="54"/>
      <c r="N18427" s="33"/>
    </row>
    <row r="18428" spans="3:14" x14ac:dyDescent="0.3">
      <c r="C18428" s="54"/>
      <c r="N18428" s="33"/>
    </row>
    <row r="18429" spans="3:14" x14ac:dyDescent="0.3">
      <c r="C18429" s="54"/>
      <c r="N18429" s="33"/>
    </row>
    <row r="18430" spans="3:14" x14ac:dyDescent="0.3">
      <c r="C18430" s="54"/>
      <c r="N18430" s="33"/>
    </row>
    <row r="18431" spans="3:14" x14ac:dyDescent="0.3">
      <c r="C18431" s="54"/>
      <c r="N18431" s="33"/>
    </row>
    <row r="18432" spans="3:14" x14ac:dyDescent="0.3">
      <c r="C18432" s="54"/>
      <c r="N18432" s="33"/>
    </row>
    <row r="18433" spans="3:14" x14ac:dyDescent="0.3">
      <c r="C18433" s="54"/>
      <c r="N18433" s="33"/>
    </row>
    <row r="18434" spans="3:14" x14ac:dyDescent="0.3">
      <c r="C18434" s="54"/>
      <c r="N18434" s="33"/>
    </row>
    <row r="18435" spans="3:14" x14ac:dyDescent="0.3">
      <c r="C18435" s="54"/>
      <c r="N18435" s="33"/>
    </row>
    <row r="18436" spans="3:14" x14ac:dyDescent="0.3">
      <c r="C18436" s="54"/>
      <c r="N18436" s="33"/>
    </row>
    <row r="18437" spans="3:14" x14ac:dyDescent="0.3">
      <c r="C18437" s="54"/>
      <c r="N18437" s="33"/>
    </row>
    <row r="18438" spans="3:14" x14ac:dyDescent="0.3">
      <c r="C18438" s="54"/>
      <c r="N18438" s="33"/>
    </row>
    <row r="18439" spans="3:14" x14ac:dyDescent="0.3">
      <c r="C18439" s="54"/>
      <c r="N18439" s="33"/>
    </row>
    <row r="18440" spans="3:14" x14ac:dyDescent="0.3">
      <c r="C18440" s="54"/>
      <c r="N18440" s="33"/>
    </row>
    <row r="18441" spans="3:14" x14ac:dyDescent="0.3">
      <c r="C18441" s="54"/>
      <c r="N18441" s="33"/>
    </row>
    <row r="18442" spans="3:14" x14ac:dyDescent="0.3">
      <c r="C18442" s="54"/>
      <c r="N18442" s="33"/>
    </row>
    <row r="18443" spans="3:14" x14ac:dyDescent="0.3">
      <c r="C18443" s="54"/>
      <c r="N18443" s="33"/>
    </row>
    <row r="18444" spans="3:14" x14ac:dyDescent="0.3">
      <c r="C18444" s="54"/>
      <c r="N18444" s="33"/>
    </row>
    <row r="18445" spans="3:14" x14ac:dyDescent="0.3">
      <c r="C18445" s="54"/>
      <c r="N18445" s="33"/>
    </row>
    <row r="18446" spans="3:14" x14ac:dyDescent="0.3">
      <c r="C18446" s="54"/>
      <c r="N18446" s="33"/>
    </row>
    <row r="18447" spans="3:14" x14ac:dyDescent="0.3">
      <c r="C18447" s="54"/>
      <c r="N18447" s="33"/>
    </row>
    <row r="18448" spans="3:14" x14ac:dyDescent="0.3">
      <c r="C18448" s="54"/>
      <c r="N18448" s="33"/>
    </row>
    <row r="18449" spans="3:14" x14ac:dyDescent="0.3">
      <c r="C18449" s="54"/>
      <c r="N18449" s="33"/>
    </row>
    <row r="18450" spans="3:14" x14ac:dyDescent="0.3">
      <c r="C18450" s="54"/>
      <c r="N18450" s="33"/>
    </row>
    <row r="18451" spans="3:14" x14ac:dyDescent="0.3">
      <c r="C18451" s="54"/>
      <c r="N18451" s="33"/>
    </row>
    <row r="18452" spans="3:14" x14ac:dyDescent="0.3">
      <c r="C18452" s="54"/>
      <c r="N18452" s="33"/>
    </row>
    <row r="18453" spans="3:14" x14ac:dyDescent="0.3">
      <c r="C18453" s="54"/>
      <c r="N18453" s="33"/>
    </row>
    <row r="18454" spans="3:14" x14ac:dyDescent="0.3">
      <c r="C18454" s="54"/>
      <c r="N18454" s="33"/>
    </row>
    <row r="18455" spans="3:14" x14ac:dyDescent="0.3">
      <c r="C18455" s="54"/>
      <c r="N18455" s="33"/>
    </row>
    <row r="18456" spans="3:14" x14ac:dyDescent="0.3">
      <c r="C18456" s="54"/>
      <c r="N18456" s="33"/>
    </row>
    <row r="18457" spans="3:14" x14ac:dyDescent="0.3">
      <c r="C18457" s="54"/>
      <c r="N18457" s="33"/>
    </row>
    <row r="18458" spans="3:14" x14ac:dyDescent="0.3">
      <c r="C18458" s="54"/>
      <c r="N18458" s="33"/>
    </row>
    <row r="18459" spans="3:14" x14ac:dyDescent="0.3">
      <c r="C18459" s="54"/>
      <c r="N18459" s="33"/>
    </row>
    <row r="18460" spans="3:14" x14ac:dyDescent="0.3">
      <c r="C18460" s="54"/>
      <c r="N18460" s="33"/>
    </row>
    <row r="18461" spans="3:14" x14ac:dyDescent="0.3">
      <c r="C18461" s="54"/>
      <c r="N18461" s="33"/>
    </row>
    <row r="18462" spans="3:14" x14ac:dyDescent="0.3">
      <c r="C18462" s="54"/>
      <c r="N18462" s="33"/>
    </row>
    <row r="18463" spans="3:14" x14ac:dyDescent="0.3">
      <c r="C18463" s="54"/>
      <c r="N18463" s="33"/>
    </row>
    <row r="18464" spans="3:14" x14ac:dyDescent="0.3">
      <c r="C18464" s="54"/>
      <c r="N18464" s="33"/>
    </row>
    <row r="18465" spans="3:14" x14ac:dyDescent="0.3">
      <c r="C18465" s="54"/>
      <c r="N18465" s="33"/>
    </row>
    <row r="18466" spans="3:14" x14ac:dyDescent="0.3">
      <c r="C18466" s="54"/>
      <c r="N18466" s="33"/>
    </row>
    <row r="18467" spans="3:14" x14ac:dyDescent="0.3">
      <c r="C18467" s="54"/>
      <c r="N18467" s="33"/>
    </row>
    <row r="18468" spans="3:14" x14ac:dyDescent="0.3">
      <c r="C18468" s="54"/>
      <c r="N18468" s="33"/>
    </row>
    <row r="18469" spans="3:14" x14ac:dyDescent="0.3">
      <c r="C18469" s="54"/>
      <c r="N18469" s="33"/>
    </row>
    <row r="18470" spans="3:14" x14ac:dyDescent="0.3">
      <c r="C18470" s="54"/>
      <c r="N18470" s="33"/>
    </row>
    <row r="18471" spans="3:14" x14ac:dyDescent="0.3">
      <c r="C18471" s="54"/>
      <c r="N18471" s="33"/>
    </row>
    <row r="18472" spans="3:14" x14ac:dyDescent="0.3">
      <c r="C18472" s="54"/>
      <c r="N18472" s="33"/>
    </row>
    <row r="18473" spans="3:14" x14ac:dyDescent="0.3">
      <c r="C18473" s="54"/>
      <c r="N18473" s="33"/>
    </row>
    <row r="18474" spans="3:14" x14ac:dyDescent="0.3">
      <c r="C18474" s="54"/>
      <c r="N18474" s="33"/>
    </row>
    <row r="18475" spans="3:14" x14ac:dyDescent="0.3">
      <c r="C18475" s="54"/>
      <c r="N18475" s="33"/>
    </row>
    <row r="18476" spans="3:14" x14ac:dyDescent="0.3">
      <c r="C18476" s="54"/>
      <c r="N18476" s="33"/>
    </row>
    <row r="18477" spans="3:14" x14ac:dyDescent="0.3">
      <c r="C18477" s="54"/>
      <c r="N18477" s="33"/>
    </row>
    <row r="18478" spans="3:14" x14ac:dyDescent="0.3">
      <c r="C18478" s="54"/>
      <c r="N18478" s="33"/>
    </row>
    <row r="18479" spans="3:14" x14ac:dyDescent="0.3">
      <c r="C18479" s="54"/>
      <c r="N18479" s="33"/>
    </row>
    <row r="18480" spans="3:14" x14ac:dyDescent="0.3">
      <c r="C18480" s="54"/>
      <c r="N18480" s="33"/>
    </row>
    <row r="18481" spans="3:14" x14ac:dyDescent="0.3">
      <c r="C18481" s="54"/>
      <c r="N18481" s="33"/>
    </row>
    <row r="18482" spans="3:14" x14ac:dyDescent="0.3">
      <c r="C18482" s="54"/>
      <c r="N18482" s="33"/>
    </row>
    <row r="18483" spans="3:14" x14ac:dyDescent="0.3">
      <c r="C18483" s="54"/>
      <c r="N18483" s="33"/>
    </row>
    <row r="18484" spans="3:14" x14ac:dyDescent="0.3">
      <c r="C18484" s="54"/>
      <c r="N18484" s="33"/>
    </row>
    <row r="18485" spans="3:14" x14ac:dyDescent="0.3">
      <c r="C18485" s="54"/>
      <c r="N18485" s="33"/>
    </row>
    <row r="18486" spans="3:14" x14ac:dyDescent="0.3">
      <c r="C18486" s="54"/>
      <c r="N18486" s="33"/>
    </row>
    <row r="18487" spans="3:14" x14ac:dyDescent="0.3">
      <c r="C18487" s="54"/>
      <c r="N18487" s="33"/>
    </row>
    <row r="18488" spans="3:14" x14ac:dyDescent="0.3">
      <c r="C18488" s="54"/>
      <c r="N18488" s="33"/>
    </row>
    <row r="18489" spans="3:14" x14ac:dyDescent="0.3">
      <c r="C18489" s="54"/>
      <c r="N18489" s="33"/>
    </row>
    <row r="18490" spans="3:14" x14ac:dyDescent="0.3">
      <c r="C18490" s="54"/>
      <c r="N18490" s="33"/>
    </row>
    <row r="18491" spans="3:14" x14ac:dyDescent="0.3">
      <c r="C18491" s="54"/>
      <c r="N18491" s="33"/>
    </row>
    <row r="18492" spans="3:14" x14ac:dyDescent="0.3">
      <c r="C18492" s="54"/>
      <c r="N18492" s="33"/>
    </row>
    <row r="18493" spans="3:14" x14ac:dyDescent="0.3">
      <c r="C18493" s="54"/>
      <c r="N18493" s="33"/>
    </row>
    <row r="18494" spans="3:14" x14ac:dyDescent="0.3">
      <c r="C18494" s="54"/>
      <c r="N18494" s="33"/>
    </row>
    <row r="18495" spans="3:14" x14ac:dyDescent="0.3">
      <c r="C18495" s="54"/>
      <c r="N18495" s="33"/>
    </row>
    <row r="18496" spans="3:14" x14ac:dyDescent="0.3">
      <c r="C18496" s="54"/>
      <c r="N18496" s="33"/>
    </row>
    <row r="18497" spans="3:14" x14ac:dyDescent="0.3">
      <c r="C18497" s="54"/>
      <c r="N18497" s="33"/>
    </row>
    <row r="18498" spans="3:14" x14ac:dyDescent="0.3">
      <c r="C18498" s="54"/>
      <c r="N18498" s="33"/>
    </row>
    <row r="18499" spans="3:14" x14ac:dyDescent="0.3">
      <c r="C18499" s="54"/>
      <c r="N18499" s="33"/>
    </row>
    <row r="18500" spans="3:14" x14ac:dyDescent="0.3">
      <c r="C18500" s="54"/>
      <c r="N18500" s="33"/>
    </row>
    <row r="18501" spans="3:14" x14ac:dyDescent="0.3">
      <c r="C18501" s="54"/>
      <c r="N18501" s="33"/>
    </row>
    <row r="18502" spans="3:14" x14ac:dyDescent="0.3">
      <c r="C18502" s="54"/>
      <c r="N18502" s="33"/>
    </row>
    <row r="18503" spans="3:14" x14ac:dyDescent="0.3">
      <c r="C18503" s="54"/>
      <c r="N18503" s="33"/>
    </row>
    <row r="18504" spans="3:14" x14ac:dyDescent="0.3">
      <c r="C18504" s="54"/>
      <c r="N18504" s="33"/>
    </row>
    <row r="18505" spans="3:14" x14ac:dyDescent="0.3">
      <c r="C18505" s="54"/>
      <c r="N18505" s="33"/>
    </row>
    <row r="18506" spans="3:14" x14ac:dyDescent="0.3">
      <c r="C18506" s="54"/>
      <c r="N18506" s="33"/>
    </row>
    <row r="18507" spans="3:14" x14ac:dyDescent="0.3">
      <c r="C18507" s="54"/>
      <c r="N18507" s="33"/>
    </row>
    <row r="18508" spans="3:14" x14ac:dyDescent="0.3">
      <c r="C18508" s="54"/>
      <c r="N18508" s="33"/>
    </row>
    <row r="18509" spans="3:14" x14ac:dyDescent="0.3">
      <c r="C18509" s="54"/>
      <c r="N18509" s="33"/>
    </row>
    <row r="18510" spans="3:14" x14ac:dyDescent="0.3">
      <c r="C18510" s="54"/>
      <c r="N18510" s="33"/>
    </row>
    <row r="18511" spans="3:14" x14ac:dyDescent="0.3">
      <c r="C18511" s="54"/>
      <c r="N18511" s="33"/>
    </row>
    <row r="18512" spans="3:14" x14ac:dyDescent="0.3">
      <c r="C18512" s="54"/>
      <c r="N18512" s="33"/>
    </row>
    <row r="18513" spans="3:14" x14ac:dyDescent="0.3">
      <c r="C18513" s="54"/>
      <c r="N18513" s="33"/>
    </row>
    <row r="18514" spans="3:14" x14ac:dyDescent="0.3">
      <c r="C18514" s="54"/>
      <c r="N18514" s="33"/>
    </row>
    <row r="18515" spans="3:14" x14ac:dyDescent="0.3">
      <c r="C18515" s="54"/>
      <c r="N18515" s="33"/>
    </row>
    <row r="18516" spans="3:14" x14ac:dyDescent="0.3">
      <c r="C18516" s="54"/>
      <c r="N18516" s="33"/>
    </row>
    <row r="18517" spans="3:14" x14ac:dyDescent="0.3">
      <c r="C18517" s="54"/>
      <c r="N18517" s="33"/>
    </row>
    <row r="18518" spans="3:14" x14ac:dyDescent="0.3">
      <c r="C18518" s="54"/>
      <c r="N18518" s="33"/>
    </row>
    <row r="18519" spans="3:14" x14ac:dyDescent="0.3">
      <c r="C18519" s="54"/>
      <c r="N18519" s="33"/>
    </row>
    <row r="18520" spans="3:14" x14ac:dyDescent="0.3">
      <c r="C18520" s="54"/>
      <c r="N18520" s="33"/>
    </row>
    <row r="18521" spans="3:14" x14ac:dyDescent="0.3">
      <c r="C18521" s="54"/>
      <c r="N18521" s="33"/>
    </row>
    <row r="18522" spans="3:14" x14ac:dyDescent="0.3">
      <c r="C18522" s="54"/>
      <c r="N18522" s="33"/>
    </row>
    <row r="18523" spans="3:14" x14ac:dyDescent="0.3">
      <c r="C18523" s="54"/>
      <c r="N18523" s="33"/>
    </row>
    <row r="18524" spans="3:14" x14ac:dyDescent="0.3">
      <c r="C18524" s="54"/>
      <c r="N18524" s="33"/>
    </row>
    <row r="18525" spans="3:14" x14ac:dyDescent="0.3">
      <c r="C18525" s="54"/>
      <c r="N18525" s="33"/>
    </row>
    <row r="18526" spans="3:14" x14ac:dyDescent="0.3">
      <c r="C18526" s="54"/>
      <c r="N18526" s="33"/>
    </row>
    <row r="18527" spans="3:14" x14ac:dyDescent="0.3">
      <c r="C18527" s="54"/>
      <c r="N18527" s="33"/>
    </row>
    <row r="18528" spans="3:14" x14ac:dyDescent="0.3">
      <c r="C18528" s="54"/>
      <c r="N18528" s="33"/>
    </row>
    <row r="18529" spans="3:14" x14ac:dyDescent="0.3">
      <c r="C18529" s="54"/>
      <c r="N18529" s="33"/>
    </row>
    <row r="18530" spans="3:14" x14ac:dyDescent="0.3">
      <c r="C18530" s="54"/>
      <c r="N18530" s="33"/>
    </row>
    <row r="18531" spans="3:14" x14ac:dyDescent="0.3">
      <c r="C18531" s="54"/>
      <c r="N18531" s="33"/>
    </row>
    <row r="18532" spans="3:14" x14ac:dyDescent="0.3">
      <c r="C18532" s="54"/>
      <c r="N18532" s="33"/>
    </row>
    <row r="18533" spans="3:14" x14ac:dyDescent="0.3">
      <c r="C18533" s="54"/>
      <c r="N18533" s="33"/>
    </row>
    <row r="18534" spans="3:14" x14ac:dyDescent="0.3">
      <c r="C18534" s="54"/>
      <c r="N18534" s="33"/>
    </row>
    <row r="18535" spans="3:14" x14ac:dyDescent="0.3">
      <c r="C18535" s="54"/>
      <c r="N18535" s="33"/>
    </row>
    <row r="18536" spans="3:14" x14ac:dyDescent="0.3">
      <c r="C18536" s="54"/>
      <c r="N18536" s="33"/>
    </row>
    <row r="18537" spans="3:14" x14ac:dyDescent="0.3">
      <c r="C18537" s="54"/>
      <c r="N18537" s="33"/>
    </row>
    <row r="18538" spans="3:14" x14ac:dyDescent="0.3">
      <c r="C18538" s="54"/>
      <c r="N18538" s="33"/>
    </row>
    <row r="18539" spans="3:14" x14ac:dyDescent="0.3">
      <c r="C18539" s="54"/>
      <c r="N18539" s="33"/>
    </row>
    <row r="18540" spans="3:14" x14ac:dyDescent="0.3">
      <c r="C18540" s="54"/>
      <c r="N18540" s="33"/>
    </row>
    <row r="18541" spans="3:14" x14ac:dyDescent="0.3">
      <c r="C18541" s="54"/>
      <c r="N18541" s="33"/>
    </row>
    <row r="18542" spans="3:14" x14ac:dyDescent="0.3">
      <c r="C18542" s="54"/>
      <c r="N18542" s="33"/>
    </row>
    <row r="18543" spans="3:14" x14ac:dyDescent="0.3">
      <c r="C18543" s="54"/>
      <c r="N18543" s="33"/>
    </row>
    <row r="18544" spans="3:14" x14ac:dyDescent="0.3">
      <c r="C18544" s="54"/>
      <c r="N18544" s="33"/>
    </row>
    <row r="18545" spans="3:14" x14ac:dyDescent="0.3">
      <c r="C18545" s="54"/>
      <c r="N18545" s="33"/>
    </row>
    <row r="18546" spans="3:14" x14ac:dyDescent="0.3">
      <c r="C18546" s="54"/>
      <c r="N18546" s="33"/>
    </row>
    <row r="18547" spans="3:14" x14ac:dyDescent="0.3">
      <c r="C18547" s="54"/>
      <c r="N18547" s="33"/>
    </row>
    <row r="18548" spans="3:14" x14ac:dyDescent="0.3">
      <c r="C18548" s="54"/>
      <c r="N18548" s="33"/>
    </row>
    <row r="18549" spans="3:14" x14ac:dyDescent="0.3">
      <c r="C18549" s="54"/>
      <c r="N18549" s="33"/>
    </row>
    <row r="18550" spans="3:14" x14ac:dyDescent="0.3">
      <c r="C18550" s="54"/>
      <c r="N18550" s="33"/>
    </row>
    <row r="18551" spans="3:14" x14ac:dyDescent="0.3">
      <c r="C18551" s="54"/>
      <c r="N18551" s="33"/>
    </row>
    <row r="18552" spans="3:14" x14ac:dyDescent="0.3">
      <c r="C18552" s="54"/>
      <c r="N18552" s="33"/>
    </row>
    <row r="18553" spans="3:14" x14ac:dyDescent="0.3">
      <c r="C18553" s="54"/>
      <c r="N18553" s="33"/>
    </row>
    <row r="18554" spans="3:14" x14ac:dyDescent="0.3">
      <c r="C18554" s="54"/>
      <c r="N18554" s="33"/>
    </row>
    <row r="18555" spans="3:14" x14ac:dyDescent="0.3">
      <c r="C18555" s="54"/>
      <c r="N18555" s="33"/>
    </row>
    <row r="18556" spans="3:14" x14ac:dyDescent="0.3">
      <c r="C18556" s="54"/>
      <c r="N18556" s="33"/>
    </row>
    <row r="18557" spans="3:14" x14ac:dyDescent="0.3">
      <c r="C18557" s="54"/>
      <c r="N18557" s="33"/>
    </row>
    <row r="18558" spans="3:14" x14ac:dyDescent="0.3">
      <c r="C18558" s="54"/>
      <c r="N18558" s="33"/>
    </row>
    <row r="18559" spans="3:14" x14ac:dyDescent="0.3">
      <c r="C18559" s="54"/>
      <c r="N18559" s="33"/>
    </row>
    <row r="18560" spans="3:14" x14ac:dyDescent="0.3">
      <c r="C18560" s="54"/>
      <c r="N18560" s="33"/>
    </row>
    <row r="18561" spans="3:14" x14ac:dyDescent="0.3">
      <c r="C18561" s="54"/>
      <c r="N18561" s="33"/>
    </row>
    <row r="18562" spans="3:14" x14ac:dyDescent="0.3">
      <c r="C18562" s="54"/>
      <c r="N18562" s="33"/>
    </row>
    <row r="18563" spans="3:14" x14ac:dyDescent="0.3">
      <c r="C18563" s="54"/>
      <c r="N18563" s="33"/>
    </row>
    <row r="18564" spans="3:14" x14ac:dyDescent="0.3">
      <c r="C18564" s="54"/>
      <c r="N18564" s="33"/>
    </row>
    <row r="18565" spans="3:14" x14ac:dyDescent="0.3">
      <c r="C18565" s="54"/>
      <c r="N18565" s="33"/>
    </row>
    <row r="18566" spans="3:14" x14ac:dyDescent="0.3">
      <c r="C18566" s="54"/>
      <c r="N18566" s="33"/>
    </row>
    <row r="18567" spans="3:14" x14ac:dyDescent="0.3">
      <c r="C18567" s="54"/>
      <c r="N18567" s="33"/>
    </row>
    <row r="18568" spans="3:14" x14ac:dyDescent="0.3">
      <c r="C18568" s="54"/>
      <c r="N18568" s="33"/>
    </row>
    <row r="18569" spans="3:14" x14ac:dyDescent="0.3">
      <c r="C18569" s="54"/>
      <c r="N18569" s="33"/>
    </row>
    <row r="18570" spans="3:14" x14ac:dyDescent="0.3">
      <c r="C18570" s="54"/>
      <c r="N18570" s="33"/>
    </row>
    <row r="18571" spans="3:14" x14ac:dyDescent="0.3">
      <c r="C18571" s="54"/>
      <c r="N18571" s="33"/>
    </row>
    <row r="18572" spans="3:14" x14ac:dyDescent="0.3">
      <c r="C18572" s="54"/>
      <c r="N18572" s="33"/>
    </row>
    <row r="18573" spans="3:14" x14ac:dyDescent="0.3">
      <c r="C18573" s="54"/>
      <c r="N18573" s="33"/>
    </row>
    <row r="18574" spans="3:14" x14ac:dyDescent="0.3">
      <c r="C18574" s="54"/>
      <c r="N18574" s="33"/>
    </row>
    <row r="18575" spans="3:14" x14ac:dyDescent="0.3">
      <c r="C18575" s="54"/>
      <c r="N18575" s="33"/>
    </row>
    <row r="18576" spans="3:14" x14ac:dyDescent="0.3">
      <c r="C18576" s="54"/>
      <c r="N18576" s="33"/>
    </row>
    <row r="18577" spans="3:14" x14ac:dyDescent="0.3">
      <c r="C18577" s="54"/>
      <c r="N18577" s="33"/>
    </row>
    <row r="18578" spans="3:14" x14ac:dyDescent="0.3">
      <c r="C18578" s="54"/>
      <c r="N18578" s="33"/>
    </row>
    <row r="18579" spans="3:14" x14ac:dyDescent="0.3">
      <c r="C18579" s="54"/>
      <c r="N18579" s="33"/>
    </row>
    <row r="18580" spans="3:14" x14ac:dyDescent="0.3">
      <c r="C18580" s="54"/>
      <c r="N18580" s="33"/>
    </row>
    <row r="18581" spans="3:14" x14ac:dyDescent="0.3">
      <c r="C18581" s="54"/>
      <c r="N18581" s="33"/>
    </row>
    <row r="18582" spans="3:14" x14ac:dyDescent="0.3">
      <c r="C18582" s="54"/>
      <c r="N18582" s="33"/>
    </row>
    <row r="18583" spans="3:14" x14ac:dyDescent="0.3">
      <c r="C18583" s="54"/>
      <c r="N18583" s="33"/>
    </row>
    <row r="18584" spans="3:14" x14ac:dyDescent="0.3">
      <c r="C18584" s="54"/>
      <c r="N18584" s="33"/>
    </row>
    <row r="18585" spans="3:14" x14ac:dyDescent="0.3">
      <c r="C18585" s="54"/>
      <c r="N18585" s="33"/>
    </row>
    <row r="18586" spans="3:14" x14ac:dyDescent="0.3">
      <c r="C18586" s="54"/>
      <c r="N18586" s="33"/>
    </row>
    <row r="18587" spans="3:14" x14ac:dyDescent="0.3">
      <c r="C18587" s="54"/>
      <c r="N18587" s="33"/>
    </row>
    <row r="18588" spans="3:14" x14ac:dyDescent="0.3">
      <c r="C18588" s="54"/>
      <c r="N18588" s="33"/>
    </row>
    <row r="18589" spans="3:14" x14ac:dyDescent="0.3">
      <c r="C18589" s="54"/>
      <c r="N18589" s="33"/>
    </row>
    <row r="18590" spans="3:14" x14ac:dyDescent="0.3">
      <c r="C18590" s="54"/>
      <c r="N18590" s="33"/>
    </row>
    <row r="18591" spans="3:14" x14ac:dyDescent="0.3">
      <c r="C18591" s="54"/>
      <c r="N18591" s="33"/>
    </row>
    <row r="18592" spans="3:14" x14ac:dyDescent="0.3">
      <c r="C18592" s="54"/>
      <c r="N18592" s="33"/>
    </row>
    <row r="18593" spans="3:14" x14ac:dyDescent="0.3">
      <c r="C18593" s="54"/>
      <c r="N18593" s="33"/>
    </row>
    <row r="18594" spans="3:14" x14ac:dyDescent="0.3">
      <c r="C18594" s="54"/>
      <c r="N18594" s="33"/>
    </row>
    <row r="18595" spans="3:14" x14ac:dyDescent="0.3">
      <c r="C18595" s="54"/>
      <c r="N18595" s="33"/>
    </row>
    <row r="18596" spans="3:14" x14ac:dyDescent="0.3">
      <c r="C18596" s="54"/>
      <c r="N18596" s="33"/>
    </row>
    <row r="18597" spans="3:14" x14ac:dyDescent="0.3">
      <c r="C18597" s="54"/>
      <c r="N18597" s="33"/>
    </row>
    <row r="18598" spans="3:14" x14ac:dyDescent="0.3">
      <c r="C18598" s="54"/>
      <c r="N18598" s="33"/>
    </row>
    <row r="18599" spans="3:14" x14ac:dyDescent="0.3">
      <c r="C18599" s="54"/>
      <c r="N18599" s="33"/>
    </row>
    <row r="18600" spans="3:14" x14ac:dyDescent="0.3">
      <c r="C18600" s="54"/>
      <c r="N18600" s="33"/>
    </row>
    <row r="18601" spans="3:14" x14ac:dyDescent="0.3">
      <c r="C18601" s="54"/>
      <c r="N18601" s="33"/>
    </row>
    <row r="18602" spans="3:14" x14ac:dyDescent="0.3">
      <c r="C18602" s="54"/>
      <c r="N18602" s="33"/>
    </row>
    <row r="18603" spans="3:14" x14ac:dyDescent="0.3">
      <c r="C18603" s="54"/>
      <c r="N18603" s="33"/>
    </row>
    <row r="18604" spans="3:14" x14ac:dyDescent="0.3">
      <c r="C18604" s="54"/>
      <c r="N18604" s="33"/>
    </row>
    <row r="18605" spans="3:14" x14ac:dyDescent="0.3">
      <c r="C18605" s="54"/>
      <c r="N18605" s="33"/>
    </row>
    <row r="18606" spans="3:14" x14ac:dyDescent="0.3">
      <c r="C18606" s="54"/>
      <c r="N18606" s="33"/>
    </row>
    <row r="18607" spans="3:14" x14ac:dyDescent="0.3">
      <c r="C18607" s="54"/>
      <c r="N18607" s="33"/>
    </row>
    <row r="18608" spans="3:14" x14ac:dyDescent="0.3">
      <c r="C18608" s="54"/>
      <c r="N18608" s="33"/>
    </row>
    <row r="18609" spans="3:14" x14ac:dyDescent="0.3">
      <c r="C18609" s="54"/>
      <c r="N18609" s="33"/>
    </row>
    <row r="18610" spans="3:14" x14ac:dyDescent="0.3">
      <c r="C18610" s="54"/>
      <c r="N18610" s="33"/>
    </row>
    <row r="18611" spans="3:14" x14ac:dyDescent="0.3">
      <c r="C18611" s="54"/>
      <c r="N18611" s="33"/>
    </row>
    <row r="18612" spans="3:14" x14ac:dyDescent="0.3">
      <c r="C18612" s="54"/>
      <c r="N18612" s="33"/>
    </row>
    <row r="18613" spans="3:14" x14ac:dyDescent="0.3">
      <c r="C18613" s="54"/>
      <c r="N18613" s="33"/>
    </row>
    <row r="18614" spans="3:14" x14ac:dyDescent="0.3">
      <c r="C18614" s="54"/>
      <c r="N18614" s="33"/>
    </row>
    <row r="18615" spans="3:14" x14ac:dyDescent="0.3">
      <c r="C18615" s="54"/>
      <c r="N18615" s="33"/>
    </row>
    <row r="18616" spans="3:14" x14ac:dyDescent="0.3">
      <c r="C18616" s="54"/>
      <c r="N18616" s="33"/>
    </row>
    <row r="18617" spans="3:14" x14ac:dyDescent="0.3">
      <c r="C18617" s="54"/>
      <c r="N18617" s="33"/>
    </row>
    <row r="18618" spans="3:14" x14ac:dyDescent="0.3">
      <c r="C18618" s="54"/>
      <c r="N18618" s="33"/>
    </row>
    <row r="18619" spans="3:14" x14ac:dyDescent="0.3">
      <c r="C18619" s="54"/>
      <c r="N18619" s="33"/>
    </row>
    <row r="18620" spans="3:14" x14ac:dyDescent="0.3">
      <c r="C18620" s="54"/>
      <c r="N18620" s="33"/>
    </row>
    <row r="18621" spans="3:14" x14ac:dyDescent="0.3">
      <c r="C18621" s="54"/>
      <c r="N18621" s="33"/>
    </row>
    <row r="18622" spans="3:14" x14ac:dyDescent="0.3">
      <c r="C18622" s="54"/>
      <c r="N18622" s="33"/>
    </row>
    <row r="18623" spans="3:14" x14ac:dyDescent="0.3">
      <c r="C18623" s="54"/>
      <c r="N18623" s="33"/>
    </row>
    <row r="18624" spans="3:14" x14ac:dyDescent="0.3">
      <c r="C18624" s="54"/>
      <c r="N18624" s="33"/>
    </row>
    <row r="18625" spans="3:14" x14ac:dyDescent="0.3">
      <c r="C18625" s="54"/>
      <c r="N18625" s="33"/>
    </row>
    <row r="18626" spans="3:14" x14ac:dyDescent="0.3">
      <c r="C18626" s="54"/>
      <c r="N18626" s="33"/>
    </row>
    <row r="18627" spans="3:14" x14ac:dyDescent="0.3">
      <c r="C18627" s="54"/>
      <c r="N18627" s="33"/>
    </row>
    <row r="18628" spans="3:14" x14ac:dyDescent="0.3">
      <c r="C18628" s="54"/>
      <c r="N18628" s="33"/>
    </row>
    <row r="18629" spans="3:14" x14ac:dyDescent="0.3">
      <c r="C18629" s="54"/>
      <c r="N18629" s="33"/>
    </row>
    <row r="18630" spans="3:14" x14ac:dyDescent="0.3">
      <c r="C18630" s="54"/>
      <c r="N18630" s="33"/>
    </row>
    <row r="18631" spans="3:14" x14ac:dyDescent="0.3">
      <c r="C18631" s="54"/>
      <c r="N18631" s="33"/>
    </row>
    <row r="18632" spans="3:14" x14ac:dyDescent="0.3">
      <c r="C18632" s="54"/>
      <c r="N18632" s="33"/>
    </row>
    <row r="18633" spans="3:14" x14ac:dyDescent="0.3">
      <c r="C18633" s="54"/>
      <c r="N18633" s="33"/>
    </row>
    <row r="18634" spans="3:14" x14ac:dyDescent="0.3">
      <c r="C18634" s="54"/>
      <c r="N18634" s="33"/>
    </row>
    <row r="18635" spans="3:14" x14ac:dyDescent="0.3">
      <c r="C18635" s="54"/>
      <c r="N18635" s="33"/>
    </row>
    <row r="18636" spans="3:14" x14ac:dyDescent="0.3">
      <c r="C18636" s="54"/>
      <c r="N18636" s="33"/>
    </row>
    <row r="18637" spans="3:14" x14ac:dyDescent="0.3">
      <c r="C18637" s="54"/>
      <c r="N18637" s="33"/>
    </row>
    <row r="18638" spans="3:14" x14ac:dyDescent="0.3">
      <c r="C18638" s="54"/>
      <c r="N18638" s="33"/>
    </row>
    <row r="18639" spans="3:14" x14ac:dyDescent="0.3">
      <c r="C18639" s="54"/>
      <c r="N18639" s="33"/>
    </row>
    <row r="18640" spans="3:14" x14ac:dyDescent="0.3">
      <c r="C18640" s="54"/>
      <c r="N18640" s="33"/>
    </row>
    <row r="18641" spans="3:14" x14ac:dyDescent="0.3">
      <c r="C18641" s="54"/>
      <c r="N18641" s="33"/>
    </row>
    <row r="18642" spans="3:14" x14ac:dyDescent="0.3">
      <c r="C18642" s="54"/>
      <c r="N18642" s="33"/>
    </row>
    <row r="18643" spans="3:14" x14ac:dyDescent="0.3">
      <c r="C18643" s="54"/>
      <c r="N18643" s="33"/>
    </row>
    <row r="18644" spans="3:14" x14ac:dyDescent="0.3">
      <c r="C18644" s="54"/>
      <c r="N18644" s="33"/>
    </row>
    <row r="18645" spans="3:14" x14ac:dyDescent="0.3">
      <c r="C18645" s="54"/>
      <c r="N18645" s="33"/>
    </row>
    <row r="18646" spans="3:14" x14ac:dyDescent="0.3">
      <c r="C18646" s="54"/>
      <c r="N18646" s="33"/>
    </row>
    <row r="18647" spans="3:14" x14ac:dyDescent="0.3">
      <c r="C18647" s="54"/>
      <c r="N18647" s="33"/>
    </row>
    <row r="18648" spans="3:14" x14ac:dyDescent="0.3">
      <c r="C18648" s="54"/>
      <c r="N18648" s="33"/>
    </row>
    <row r="18649" spans="3:14" x14ac:dyDescent="0.3">
      <c r="C18649" s="54"/>
      <c r="N18649" s="33"/>
    </row>
    <row r="18650" spans="3:14" x14ac:dyDescent="0.3">
      <c r="C18650" s="54"/>
      <c r="N18650" s="33"/>
    </row>
    <row r="18651" spans="3:14" x14ac:dyDescent="0.3">
      <c r="C18651" s="54"/>
      <c r="N18651" s="33"/>
    </row>
    <row r="18652" spans="3:14" x14ac:dyDescent="0.3">
      <c r="C18652" s="54"/>
      <c r="N18652" s="33"/>
    </row>
    <row r="18653" spans="3:14" x14ac:dyDescent="0.3">
      <c r="C18653" s="54"/>
      <c r="N18653" s="33"/>
    </row>
    <row r="18654" spans="3:14" x14ac:dyDescent="0.3">
      <c r="C18654" s="54"/>
      <c r="N18654" s="33"/>
    </row>
    <row r="18655" spans="3:14" x14ac:dyDescent="0.3">
      <c r="C18655" s="54"/>
      <c r="N18655" s="33"/>
    </row>
    <row r="18656" spans="3:14" x14ac:dyDescent="0.3">
      <c r="C18656" s="54"/>
      <c r="N18656" s="33"/>
    </row>
    <row r="18657" spans="3:14" x14ac:dyDescent="0.3">
      <c r="C18657" s="54"/>
      <c r="N18657" s="33"/>
    </row>
    <row r="18658" spans="3:14" x14ac:dyDescent="0.3">
      <c r="C18658" s="54"/>
      <c r="N18658" s="33"/>
    </row>
    <row r="18659" spans="3:14" x14ac:dyDescent="0.3">
      <c r="C18659" s="54"/>
      <c r="N18659" s="33"/>
    </row>
    <row r="18660" spans="3:14" x14ac:dyDescent="0.3">
      <c r="C18660" s="54"/>
      <c r="N18660" s="33"/>
    </row>
    <row r="18661" spans="3:14" x14ac:dyDescent="0.3">
      <c r="C18661" s="54"/>
      <c r="N18661" s="33"/>
    </row>
    <row r="18662" spans="3:14" x14ac:dyDescent="0.3">
      <c r="C18662" s="54"/>
      <c r="N18662" s="33"/>
    </row>
    <row r="18663" spans="3:14" x14ac:dyDescent="0.3">
      <c r="C18663" s="54"/>
      <c r="N18663" s="33"/>
    </row>
    <row r="18664" spans="3:14" x14ac:dyDescent="0.3">
      <c r="C18664" s="54"/>
      <c r="N18664" s="33"/>
    </row>
    <row r="18665" spans="3:14" x14ac:dyDescent="0.3">
      <c r="C18665" s="54"/>
      <c r="N18665" s="33"/>
    </row>
    <row r="18666" spans="3:14" x14ac:dyDescent="0.3">
      <c r="C18666" s="54"/>
      <c r="N18666" s="33"/>
    </row>
    <row r="18667" spans="3:14" x14ac:dyDescent="0.3">
      <c r="C18667" s="54"/>
      <c r="N18667" s="33"/>
    </row>
    <row r="18668" spans="3:14" x14ac:dyDescent="0.3">
      <c r="C18668" s="54"/>
      <c r="N18668" s="33"/>
    </row>
    <row r="18669" spans="3:14" x14ac:dyDescent="0.3">
      <c r="C18669" s="54"/>
      <c r="N18669" s="33"/>
    </row>
    <row r="18670" spans="3:14" x14ac:dyDescent="0.3">
      <c r="C18670" s="54"/>
      <c r="N18670" s="33"/>
    </row>
    <row r="18671" spans="3:14" x14ac:dyDescent="0.3">
      <c r="C18671" s="54"/>
      <c r="N18671" s="33"/>
    </row>
    <row r="18672" spans="3:14" x14ac:dyDescent="0.3">
      <c r="C18672" s="54"/>
      <c r="N18672" s="33"/>
    </row>
    <row r="18673" spans="3:14" x14ac:dyDescent="0.3">
      <c r="C18673" s="54"/>
      <c r="N18673" s="33"/>
    </row>
    <row r="18674" spans="3:14" x14ac:dyDescent="0.3">
      <c r="C18674" s="54"/>
      <c r="N18674" s="33"/>
    </row>
    <row r="18675" spans="3:14" x14ac:dyDescent="0.3">
      <c r="C18675" s="54"/>
      <c r="N18675" s="33"/>
    </row>
    <row r="18676" spans="3:14" x14ac:dyDescent="0.3">
      <c r="C18676" s="54"/>
      <c r="N18676" s="33"/>
    </row>
    <row r="18677" spans="3:14" x14ac:dyDescent="0.3">
      <c r="C18677" s="54"/>
      <c r="N18677" s="33"/>
    </row>
    <row r="18678" spans="3:14" x14ac:dyDescent="0.3">
      <c r="C18678" s="54"/>
      <c r="N18678" s="33"/>
    </row>
    <row r="18679" spans="3:14" x14ac:dyDescent="0.3">
      <c r="C18679" s="54"/>
      <c r="N18679" s="33"/>
    </row>
    <row r="18680" spans="3:14" x14ac:dyDescent="0.3">
      <c r="C18680" s="54"/>
      <c r="N18680" s="33"/>
    </row>
    <row r="18681" spans="3:14" x14ac:dyDescent="0.3">
      <c r="C18681" s="54"/>
      <c r="N18681" s="33"/>
    </row>
    <row r="18682" spans="3:14" x14ac:dyDescent="0.3">
      <c r="C18682" s="54"/>
      <c r="N18682" s="33"/>
    </row>
    <row r="18683" spans="3:14" x14ac:dyDescent="0.3">
      <c r="C18683" s="54"/>
      <c r="N18683" s="33"/>
    </row>
    <row r="18684" spans="3:14" x14ac:dyDescent="0.3">
      <c r="C18684" s="54"/>
      <c r="N18684" s="33"/>
    </row>
    <row r="18685" spans="3:14" x14ac:dyDescent="0.3">
      <c r="C18685" s="54"/>
      <c r="N18685" s="33"/>
    </row>
    <row r="18686" spans="3:14" x14ac:dyDescent="0.3">
      <c r="C18686" s="54"/>
      <c r="N18686" s="33"/>
    </row>
    <row r="18687" spans="3:14" x14ac:dyDescent="0.3">
      <c r="C18687" s="54"/>
      <c r="N18687" s="33"/>
    </row>
    <row r="18688" spans="3:14" x14ac:dyDescent="0.3">
      <c r="C18688" s="54"/>
      <c r="N18688" s="33"/>
    </row>
    <row r="18689" spans="3:14" x14ac:dyDescent="0.3">
      <c r="C18689" s="54"/>
      <c r="N18689" s="33"/>
    </row>
    <row r="18690" spans="3:14" x14ac:dyDescent="0.3">
      <c r="C18690" s="54"/>
      <c r="N18690" s="33"/>
    </row>
    <row r="18691" spans="3:14" x14ac:dyDescent="0.3">
      <c r="C18691" s="54"/>
      <c r="N18691" s="33"/>
    </row>
    <row r="18692" spans="3:14" x14ac:dyDescent="0.3">
      <c r="C18692" s="54"/>
      <c r="N18692" s="33"/>
    </row>
    <row r="18693" spans="3:14" x14ac:dyDescent="0.3">
      <c r="C18693" s="54"/>
      <c r="N18693" s="33"/>
    </row>
    <row r="18694" spans="3:14" x14ac:dyDescent="0.3">
      <c r="C18694" s="54"/>
      <c r="N18694" s="33"/>
    </row>
    <row r="18695" spans="3:14" x14ac:dyDescent="0.3">
      <c r="C18695" s="54"/>
      <c r="N18695" s="33"/>
    </row>
    <row r="18696" spans="3:14" x14ac:dyDescent="0.3">
      <c r="C18696" s="54"/>
      <c r="N18696" s="33"/>
    </row>
    <row r="18697" spans="3:14" x14ac:dyDescent="0.3">
      <c r="C18697" s="54"/>
      <c r="N18697" s="33"/>
    </row>
    <row r="18698" spans="3:14" x14ac:dyDescent="0.3">
      <c r="C18698" s="54"/>
      <c r="N18698" s="33"/>
    </row>
    <row r="18699" spans="3:14" x14ac:dyDescent="0.3">
      <c r="C18699" s="54"/>
      <c r="N18699" s="33"/>
    </row>
    <row r="18700" spans="3:14" x14ac:dyDescent="0.3">
      <c r="C18700" s="54"/>
      <c r="N18700" s="33"/>
    </row>
    <row r="18701" spans="3:14" x14ac:dyDescent="0.3">
      <c r="C18701" s="54"/>
      <c r="N18701" s="33"/>
    </row>
    <row r="18702" spans="3:14" x14ac:dyDescent="0.3">
      <c r="C18702" s="54"/>
      <c r="N18702" s="33"/>
    </row>
    <row r="18703" spans="3:14" x14ac:dyDescent="0.3">
      <c r="C18703" s="54"/>
      <c r="N18703" s="33"/>
    </row>
    <row r="18704" spans="3:14" x14ac:dyDescent="0.3">
      <c r="C18704" s="54"/>
      <c r="N18704" s="33"/>
    </row>
    <row r="18705" spans="3:14" x14ac:dyDescent="0.3">
      <c r="C18705" s="54"/>
      <c r="N18705" s="33"/>
    </row>
    <row r="18706" spans="3:14" x14ac:dyDescent="0.3">
      <c r="C18706" s="54"/>
      <c r="N18706" s="33"/>
    </row>
    <row r="18707" spans="3:14" x14ac:dyDescent="0.3">
      <c r="C18707" s="54"/>
      <c r="N18707" s="33"/>
    </row>
    <row r="18708" spans="3:14" x14ac:dyDescent="0.3">
      <c r="C18708" s="54"/>
      <c r="N18708" s="33"/>
    </row>
    <row r="18709" spans="3:14" x14ac:dyDescent="0.3">
      <c r="C18709" s="54"/>
      <c r="N18709" s="33"/>
    </row>
    <row r="18710" spans="3:14" x14ac:dyDescent="0.3">
      <c r="C18710" s="54"/>
      <c r="N18710" s="33"/>
    </row>
    <row r="18711" spans="3:14" x14ac:dyDescent="0.3">
      <c r="C18711" s="54"/>
      <c r="N18711" s="33"/>
    </row>
    <row r="18712" spans="3:14" x14ac:dyDescent="0.3">
      <c r="C18712" s="54"/>
      <c r="N18712" s="33"/>
    </row>
    <row r="18713" spans="3:14" x14ac:dyDescent="0.3">
      <c r="C18713" s="54"/>
      <c r="N18713" s="33"/>
    </row>
    <row r="18714" spans="3:14" x14ac:dyDescent="0.3">
      <c r="C18714" s="54"/>
      <c r="N18714" s="33"/>
    </row>
    <row r="18715" spans="3:14" x14ac:dyDescent="0.3">
      <c r="C18715" s="54"/>
      <c r="N18715" s="33"/>
    </row>
    <row r="18716" spans="3:14" x14ac:dyDescent="0.3">
      <c r="C18716" s="54"/>
      <c r="N18716" s="33"/>
    </row>
    <row r="18717" spans="3:14" x14ac:dyDescent="0.3">
      <c r="C18717" s="54"/>
      <c r="N18717" s="33"/>
    </row>
    <row r="18718" spans="3:14" x14ac:dyDescent="0.3">
      <c r="C18718" s="54"/>
      <c r="N18718" s="33"/>
    </row>
    <row r="18719" spans="3:14" x14ac:dyDescent="0.3">
      <c r="C18719" s="54"/>
      <c r="N18719" s="33"/>
    </row>
    <row r="18720" spans="3:14" x14ac:dyDescent="0.3">
      <c r="C18720" s="54"/>
      <c r="N18720" s="33"/>
    </row>
    <row r="18721" spans="3:14" x14ac:dyDescent="0.3">
      <c r="C18721" s="54"/>
      <c r="N18721" s="33"/>
    </row>
    <row r="18722" spans="3:14" x14ac:dyDescent="0.3">
      <c r="C18722" s="54"/>
      <c r="N18722" s="33"/>
    </row>
    <row r="18723" spans="3:14" x14ac:dyDescent="0.3">
      <c r="C18723" s="54"/>
      <c r="N18723" s="33"/>
    </row>
    <row r="18724" spans="3:14" x14ac:dyDescent="0.3">
      <c r="C18724" s="54"/>
      <c r="N18724" s="33"/>
    </row>
    <row r="18725" spans="3:14" x14ac:dyDescent="0.3">
      <c r="C18725" s="54"/>
      <c r="N18725" s="33"/>
    </row>
    <row r="18726" spans="3:14" x14ac:dyDescent="0.3">
      <c r="C18726" s="54"/>
      <c r="N18726" s="33"/>
    </row>
    <row r="18727" spans="3:14" x14ac:dyDescent="0.3">
      <c r="C18727" s="54"/>
      <c r="N18727" s="33"/>
    </row>
    <row r="18728" spans="3:14" x14ac:dyDescent="0.3">
      <c r="C18728" s="54"/>
      <c r="N18728" s="33"/>
    </row>
    <row r="18729" spans="3:14" x14ac:dyDescent="0.3">
      <c r="C18729" s="54"/>
      <c r="N18729" s="33"/>
    </row>
    <row r="18730" spans="3:14" x14ac:dyDescent="0.3">
      <c r="C18730" s="54"/>
      <c r="N18730" s="33"/>
    </row>
    <row r="18731" spans="3:14" x14ac:dyDescent="0.3">
      <c r="C18731" s="54"/>
      <c r="N18731" s="33"/>
    </row>
    <row r="18732" spans="3:14" x14ac:dyDescent="0.3">
      <c r="C18732" s="54"/>
      <c r="N18732" s="33"/>
    </row>
    <row r="18733" spans="3:14" x14ac:dyDescent="0.3">
      <c r="C18733" s="54"/>
      <c r="N18733" s="33"/>
    </row>
    <row r="18734" spans="3:14" x14ac:dyDescent="0.3">
      <c r="C18734" s="54"/>
      <c r="N18734" s="33"/>
    </row>
    <row r="18735" spans="3:14" x14ac:dyDescent="0.3">
      <c r="C18735" s="54"/>
      <c r="N18735" s="33"/>
    </row>
    <row r="18736" spans="3:14" x14ac:dyDescent="0.3">
      <c r="C18736" s="54"/>
      <c r="N18736" s="33"/>
    </row>
    <row r="18737" spans="3:14" x14ac:dyDescent="0.3">
      <c r="C18737" s="54"/>
      <c r="N18737" s="33"/>
    </row>
    <row r="18738" spans="3:14" x14ac:dyDescent="0.3">
      <c r="C18738" s="54"/>
      <c r="N18738" s="33"/>
    </row>
    <row r="18739" spans="3:14" x14ac:dyDescent="0.3">
      <c r="C18739" s="54"/>
      <c r="N18739" s="33"/>
    </row>
    <row r="18740" spans="3:14" x14ac:dyDescent="0.3">
      <c r="C18740" s="54"/>
      <c r="N18740" s="33"/>
    </row>
    <row r="18741" spans="3:14" x14ac:dyDescent="0.3">
      <c r="C18741" s="54"/>
      <c r="N18741" s="33"/>
    </row>
    <row r="18742" spans="3:14" x14ac:dyDescent="0.3">
      <c r="C18742" s="54"/>
      <c r="N18742" s="33"/>
    </row>
    <row r="18743" spans="3:14" x14ac:dyDescent="0.3">
      <c r="C18743" s="54"/>
      <c r="N18743" s="33"/>
    </row>
    <row r="18744" spans="3:14" x14ac:dyDescent="0.3">
      <c r="C18744" s="54"/>
      <c r="N18744" s="33"/>
    </row>
    <row r="18745" spans="3:14" x14ac:dyDescent="0.3">
      <c r="C18745" s="54"/>
      <c r="N18745" s="33"/>
    </row>
    <row r="18746" spans="3:14" x14ac:dyDescent="0.3">
      <c r="C18746" s="54"/>
      <c r="N18746" s="33"/>
    </row>
    <row r="18747" spans="3:14" x14ac:dyDescent="0.3">
      <c r="C18747" s="54"/>
      <c r="N18747" s="33"/>
    </row>
    <row r="18748" spans="3:14" x14ac:dyDescent="0.3">
      <c r="C18748" s="54"/>
      <c r="N18748" s="33"/>
    </row>
    <row r="18749" spans="3:14" x14ac:dyDescent="0.3">
      <c r="C18749" s="54"/>
      <c r="N18749" s="33"/>
    </row>
    <row r="18750" spans="3:14" x14ac:dyDescent="0.3">
      <c r="C18750" s="54"/>
      <c r="N18750" s="33"/>
    </row>
    <row r="18751" spans="3:14" x14ac:dyDescent="0.3">
      <c r="C18751" s="54"/>
      <c r="N18751" s="33"/>
    </row>
    <row r="18752" spans="3:14" x14ac:dyDescent="0.3">
      <c r="C18752" s="54"/>
      <c r="N18752" s="33"/>
    </row>
    <row r="18753" spans="3:14" x14ac:dyDescent="0.3">
      <c r="C18753" s="54"/>
      <c r="N18753" s="33"/>
    </row>
    <row r="18754" spans="3:14" x14ac:dyDescent="0.3">
      <c r="C18754" s="54"/>
      <c r="N18754" s="33"/>
    </row>
    <row r="18755" spans="3:14" x14ac:dyDescent="0.3">
      <c r="C18755" s="54"/>
      <c r="N18755" s="33"/>
    </row>
    <row r="18756" spans="3:14" x14ac:dyDescent="0.3">
      <c r="C18756" s="54"/>
      <c r="N18756" s="33"/>
    </row>
    <row r="18757" spans="3:14" x14ac:dyDescent="0.3">
      <c r="C18757" s="54"/>
      <c r="N18757" s="33"/>
    </row>
    <row r="18758" spans="3:14" x14ac:dyDescent="0.3">
      <c r="C18758" s="54"/>
      <c r="N18758" s="33"/>
    </row>
    <row r="18759" spans="3:14" x14ac:dyDescent="0.3">
      <c r="C18759" s="54"/>
      <c r="N18759" s="33"/>
    </row>
    <row r="18760" spans="3:14" x14ac:dyDescent="0.3">
      <c r="C18760" s="54"/>
      <c r="N18760" s="33"/>
    </row>
    <row r="18761" spans="3:14" x14ac:dyDescent="0.3">
      <c r="C18761" s="54"/>
      <c r="N18761" s="33"/>
    </row>
    <row r="18762" spans="3:14" x14ac:dyDescent="0.3">
      <c r="C18762" s="54"/>
      <c r="N18762" s="33"/>
    </row>
    <row r="18763" spans="3:14" x14ac:dyDescent="0.3">
      <c r="C18763" s="54"/>
      <c r="N18763" s="33"/>
    </row>
    <row r="18764" spans="3:14" x14ac:dyDescent="0.3">
      <c r="C18764" s="54"/>
      <c r="N18764" s="33"/>
    </row>
    <row r="18765" spans="3:14" x14ac:dyDescent="0.3">
      <c r="C18765" s="54"/>
      <c r="N18765" s="33"/>
    </row>
    <row r="18766" spans="3:14" x14ac:dyDescent="0.3">
      <c r="C18766" s="54"/>
      <c r="N18766" s="33"/>
    </row>
    <row r="18767" spans="3:14" x14ac:dyDescent="0.3">
      <c r="C18767" s="54"/>
      <c r="N18767" s="33"/>
    </row>
    <row r="18768" spans="3:14" x14ac:dyDescent="0.3">
      <c r="C18768" s="54"/>
      <c r="N18768" s="33"/>
    </row>
    <row r="18769" spans="3:14" x14ac:dyDescent="0.3">
      <c r="C18769" s="54"/>
      <c r="N18769" s="33"/>
    </row>
    <row r="18770" spans="3:14" x14ac:dyDescent="0.3">
      <c r="C18770" s="54"/>
      <c r="N18770" s="33"/>
    </row>
    <row r="18771" spans="3:14" x14ac:dyDescent="0.3">
      <c r="C18771" s="54"/>
      <c r="N18771" s="33"/>
    </row>
    <row r="18772" spans="3:14" x14ac:dyDescent="0.3">
      <c r="C18772" s="54"/>
      <c r="N18772" s="33"/>
    </row>
    <row r="18773" spans="3:14" x14ac:dyDescent="0.3">
      <c r="C18773" s="54"/>
      <c r="N18773" s="33"/>
    </row>
    <row r="18774" spans="3:14" x14ac:dyDescent="0.3">
      <c r="C18774" s="54"/>
      <c r="N18774" s="33"/>
    </row>
    <row r="18775" spans="3:14" x14ac:dyDescent="0.3">
      <c r="C18775" s="54"/>
      <c r="N18775" s="33"/>
    </row>
    <row r="18776" spans="3:14" x14ac:dyDescent="0.3">
      <c r="C18776" s="54"/>
      <c r="N18776" s="33"/>
    </row>
    <row r="18777" spans="3:14" x14ac:dyDescent="0.3">
      <c r="C18777" s="54"/>
      <c r="N18777" s="33"/>
    </row>
    <row r="18778" spans="3:14" x14ac:dyDescent="0.3">
      <c r="C18778" s="54"/>
      <c r="N18778" s="33"/>
    </row>
    <row r="18779" spans="3:14" x14ac:dyDescent="0.3">
      <c r="C18779" s="54"/>
      <c r="N18779" s="33"/>
    </row>
    <row r="18780" spans="3:14" x14ac:dyDescent="0.3">
      <c r="C18780" s="54"/>
      <c r="N18780" s="33"/>
    </row>
    <row r="18781" spans="3:14" x14ac:dyDescent="0.3">
      <c r="C18781" s="54"/>
      <c r="N18781" s="33"/>
    </row>
    <row r="18782" spans="3:14" x14ac:dyDescent="0.3">
      <c r="C18782" s="54"/>
      <c r="N18782" s="33"/>
    </row>
    <row r="18783" spans="3:14" x14ac:dyDescent="0.3">
      <c r="C18783" s="54"/>
      <c r="N18783" s="33"/>
    </row>
    <row r="18784" spans="3:14" x14ac:dyDescent="0.3">
      <c r="C18784" s="54"/>
      <c r="N18784" s="33"/>
    </row>
    <row r="18785" spans="3:14" x14ac:dyDescent="0.3">
      <c r="C18785" s="54"/>
      <c r="N18785" s="33"/>
    </row>
    <row r="18786" spans="3:14" x14ac:dyDescent="0.3">
      <c r="C18786" s="54"/>
      <c r="N18786" s="33"/>
    </row>
    <row r="18787" spans="3:14" x14ac:dyDescent="0.3">
      <c r="C18787" s="54"/>
      <c r="N18787" s="33"/>
    </row>
    <row r="18788" spans="3:14" x14ac:dyDescent="0.3">
      <c r="C18788" s="54"/>
      <c r="N18788" s="33"/>
    </row>
    <row r="18789" spans="3:14" x14ac:dyDescent="0.3">
      <c r="C18789" s="54"/>
      <c r="N18789" s="33"/>
    </row>
    <row r="18790" spans="3:14" x14ac:dyDescent="0.3">
      <c r="C18790" s="54"/>
      <c r="N18790" s="33"/>
    </row>
    <row r="18791" spans="3:14" x14ac:dyDescent="0.3">
      <c r="C18791" s="54"/>
      <c r="N18791" s="33"/>
    </row>
    <row r="18792" spans="3:14" x14ac:dyDescent="0.3">
      <c r="C18792" s="54"/>
      <c r="N18792" s="33"/>
    </row>
    <row r="18793" spans="3:14" x14ac:dyDescent="0.3">
      <c r="C18793" s="54"/>
      <c r="N18793" s="33"/>
    </row>
    <row r="18794" spans="3:14" x14ac:dyDescent="0.3">
      <c r="C18794" s="54"/>
      <c r="N18794" s="33"/>
    </row>
    <row r="18795" spans="3:14" x14ac:dyDescent="0.3">
      <c r="C18795" s="54"/>
      <c r="N18795" s="33"/>
    </row>
    <row r="18796" spans="3:14" x14ac:dyDescent="0.3">
      <c r="C18796" s="54"/>
      <c r="N18796" s="33"/>
    </row>
    <row r="18797" spans="3:14" x14ac:dyDescent="0.3">
      <c r="C18797" s="54"/>
      <c r="N18797" s="33"/>
    </row>
    <row r="18798" spans="3:14" x14ac:dyDescent="0.3">
      <c r="C18798" s="54"/>
      <c r="N18798" s="33"/>
    </row>
    <row r="18799" spans="3:14" x14ac:dyDescent="0.3">
      <c r="C18799" s="54"/>
      <c r="N18799" s="33"/>
    </row>
    <row r="18800" spans="3:14" x14ac:dyDescent="0.3">
      <c r="C18800" s="54"/>
      <c r="N18800" s="33"/>
    </row>
    <row r="18801" spans="3:14" x14ac:dyDescent="0.3">
      <c r="C18801" s="54"/>
      <c r="N18801" s="33"/>
    </row>
    <row r="18802" spans="3:14" x14ac:dyDescent="0.3">
      <c r="C18802" s="54"/>
      <c r="N18802" s="33"/>
    </row>
    <row r="18803" spans="3:14" x14ac:dyDescent="0.3">
      <c r="C18803" s="54"/>
      <c r="N18803" s="33"/>
    </row>
    <row r="18804" spans="3:14" x14ac:dyDescent="0.3">
      <c r="C18804" s="54"/>
      <c r="N18804" s="33"/>
    </row>
    <row r="18805" spans="3:14" x14ac:dyDescent="0.3">
      <c r="C18805" s="54"/>
      <c r="N18805" s="33"/>
    </row>
    <row r="18806" spans="3:14" x14ac:dyDescent="0.3">
      <c r="C18806" s="54"/>
      <c r="N18806" s="33"/>
    </row>
    <row r="18807" spans="3:14" x14ac:dyDescent="0.3">
      <c r="C18807" s="54"/>
      <c r="N18807" s="33"/>
    </row>
    <row r="18808" spans="3:14" x14ac:dyDescent="0.3">
      <c r="C18808" s="54"/>
      <c r="N18808" s="33"/>
    </row>
    <row r="18809" spans="3:14" x14ac:dyDescent="0.3">
      <c r="C18809" s="54"/>
      <c r="N18809" s="33"/>
    </row>
    <row r="18810" spans="3:14" x14ac:dyDescent="0.3">
      <c r="C18810" s="54"/>
      <c r="N18810" s="33"/>
    </row>
    <row r="18811" spans="3:14" x14ac:dyDescent="0.3">
      <c r="C18811" s="54"/>
      <c r="N18811" s="33"/>
    </row>
    <row r="18812" spans="3:14" x14ac:dyDescent="0.3">
      <c r="C18812" s="54"/>
      <c r="N18812" s="33"/>
    </row>
    <row r="18813" spans="3:14" x14ac:dyDescent="0.3">
      <c r="C18813" s="54"/>
      <c r="N18813" s="33"/>
    </row>
    <row r="18814" spans="3:14" x14ac:dyDescent="0.3">
      <c r="C18814" s="54"/>
      <c r="N18814" s="33"/>
    </row>
    <row r="18815" spans="3:14" x14ac:dyDescent="0.3">
      <c r="C18815" s="54"/>
      <c r="N18815" s="33"/>
    </row>
    <row r="18816" spans="3:14" x14ac:dyDescent="0.3">
      <c r="C18816" s="54"/>
      <c r="N18816" s="33"/>
    </row>
    <row r="18817" spans="3:14" x14ac:dyDescent="0.3">
      <c r="C18817" s="54"/>
      <c r="N18817" s="33"/>
    </row>
    <row r="18818" spans="3:14" x14ac:dyDescent="0.3">
      <c r="C18818" s="54"/>
      <c r="N18818" s="33"/>
    </row>
    <row r="18819" spans="3:14" x14ac:dyDescent="0.3">
      <c r="C18819" s="54"/>
      <c r="N18819" s="33"/>
    </row>
    <row r="18820" spans="3:14" x14ac:dyDescent="0.3">
      <c r="C18820" s="54"/>
      <c r="N18820" s="33"/>
    </row>
    <row r="18821" spans="3:14" x14ac:dyDescent="0.3">
      <c r="C18821" s="54"/>
      <c r="N18821" s="33"/>
    </row>
    <row r="18822" spans="3:14" x14ac:dyDescent="0.3">
      <c r="C18822" s="54"/>
      <c r="N18822" s="33"/>
    </row>
    <row r="18823" spans="3:14" x14ac:dyDescent="0.3">
      <c r="C18823" s="54"/>
      <c r="N18823" s="33"/>
    </row>
    <row r="18824" spans="3:14" x14ac:dyDescent="0.3">
      <c r="C18824" s="54"/>
      <c r="N18824" s="33"/>
    </row>
    <row r="18825" spans="3:14" x14ac:dyDescent="0.3">
      <c r="C18825" s="54"/>
      <c r="N18825" s="33"/>
    </row>
    <row r="18826" spans="3:14" x14ac:dyDescent="0.3">
      <c r="C18826" s="54"/>
      <c r="N18826" s="33"/>
    </row>
    <row r="18827" spans="3:14" x14ac:dyDescent="0.3">
      <c r="C18827" s="54"/>
      <c r="N18827" s="33"/>
    </row>
    <row r="18828" spans="3:14" x14ac:dyDescent="0.3">
      <c r="C18828" s="54"/>
      <c r="N18828" s="33"/>
    </row>
    <row r="18829" spans="3:14" x14ac:dyDescent="0.3">
      <c r="C18829" s="54"/>
      <c r="N18829" s="33"/>
    </row>
    <row r="18830" spans="3:14" x14ac:dyDescent="0.3">
      <c r="C18830" s="54"/>
      <c r="N18830" s="33"/>
    </row>
    <row r="18831" spans="3:14" x14ac:dyDescent="0.3">
      <c r="C18831" s="54"/>
      <c r="N18831" s="33"/>
    </row>
    <row r="18832" spans="3:14" x14ac:dyDescent="0.3">
      <c r="C18832" s="54"/>
      <c r="N18832" s="33"/>
    </row>
    <row r="18833" spans="3:14" x14ac:dyDescent="0.3">
      <c r="C18833" s="54"/>
      <c r="N18833" s="33"/>
    </row>
    <row r="18834" spans="3:14" x14ac:dyDescent="0.3">
      <c r="C18834" s="54"/>
      <c r="N18834" s="33"/>
    </row>
    <row r="18835" spans="3:14" x14ac:dyDescent="0.3">
      <c r="C18835" s="54"/>
      <c r="N18835" s="33"/>
    </row>
    <row r="18836" spans="3:14" x14ac:dyDescent="0.3">
      <c r="C18836" s="54"/>
      <c r="N18836" s="33"/>
    </row>
    <row r="18837" spans="3:14" x14ac:dyDescent="0.3">
      <c r="C18837" s="54"/>
      <c r="N18837" s="33"/>
    </row>
    <row r="18838" spans="3:14" x14ac:dyDescent="0.3">
      <c r="C18838" s="54"/>
      <c r="N18838" s="33"/>
    </row>
    <row r="18839" spans="3:14" x14ac:dyDescent="0.3">
      <c r="C18839" s="54"/>
      <c r="N18839" s="33"/>
    </row>
    <row r="18840" spans="3:14" x14ac:dyDescent="0.3">
      <c r="C18840" s="54"/>
      <c r="N18840" s="33"/>
    </row>
    <row r="18841" spans="3:14" x14ac:dyDescent="0.3">
      <c r="C18841" s="54"/>
      <c r="N18841" s="33"/>
    </row>
    <row r="18842" spans="3:14" x14ac:dyDescent="0.3">
      <c r="C18842" s="54"/>
      <c r="N18842" s="33"/>
    </row>
    <row r="18843" spans="3:14" x14ac:dyDescent="0.3">
      <c r="C18843" s="54"/>
      <c r="N18843" s="33"/>
    </row>
    <row r="18844" spans="3:14" x14ac:dyDescent="0.3">
      <c r="C18844" s="54"/>
      <c r="N18844" s="33"/>
    </row>
    <row r="18845" spans="3:14" x14ac:dyDescent="0.3">
      <c r="C18845" s="54"/>
      <c r="N18845" s="33"/>
    </row>
    <row r="18846" spans="3:14" x14ac:dyDescent="0.3">
      <c r="C18846" s="54"/>
      <c r="N18846" s="33"/>
    </row>
    <row r="18847" spans="3:14" x14ac:dyDescent="0.3">
      <c r="C18847" s="54"/>
      <c r="N18847" s="33"/>
    </row>
    <row r="18848" spans="3:14" x14ac:dyDescent="0.3">
      <c r="C18848" s="54"/>
      <c r="N18848" s="33"/>
    </row>
    <row r="18849" spans="3:14" x14ac:dyDescent="0.3">
      <c r="C18849" s="54"/>
      <c r="N18849" s="33"/>
    </row>
    <row r="18850" spans="3:14" x14ac:dyDescent="0.3">
      <c r="C18850" s="54"/>
      <c r="N18850" s="33"/>
    </row>
    <row r="18851" spans="3:14" x14ac:dyDescent="0.3">
      <c r="C18851" s="54"/>
      <c r="N18851" s="33"/>
    </row>
    <row r="18852" spans="3:14" x14ac:dyDescent="0.3">
      <c r="C18852" s="54"/>
      <c r="N18852" s="33"/>
    </row>
    <row r="18853" spans="3:14" x14ac:dyDescent="0.3">
      <c r="C18853" s="54"/>
      <c r="N18853" s="33"/>
    </row>
    <row r="18854" spans="3:14" x14ac:dyDescent="0.3">
      <c r="C18854" s="54"/>
      <c r="N18854" s="33"/>
    </row>
    <row r="18855" spans="3:14" x14ac:dyDescent="0.3">
      <c r="C18855" s="54"/>
      <c r="N18855" s="33"/>
    </row>
    <row r="18856" spans="3:14" x14ac:dyDescent="0.3">
      <c r="C18856" s="54"/>
      <c r="N18856" s="33"/>
    </row>
    <row r="18857" spans="3:14" x14ac:dyDescent="0.3">
      <c r="C18857" s="54"/>
      <c r="N18857" s="33"/>
    </row>
    <row r="18858" spans="3:14" x14ac:dyDescent="0.3">
      <c r="C18858" s="54"/>
      <c r="N18858" s="33"/>
    </row>
    <row r="18859" spans="3:14" x14ac:dyDescent="0.3">
      <c r="C18859" s="54"/>
      <c r="N18859" s="33"/>
    </row>
    <row r="18860" spans="3:14" x14ac:dyDescent="0.3">
      <c r="C18860" s="54"/>
      <c r="N18860" s="33"/>
    </row>
    <row r="18861" spans="3:14" x14ac:dyDescent="0.3">
      <c r="C18861" s="54"/>
      <c r="N18861" s="33"/>
    </row>
    <row r="18862" spans="3:14" x14ac:dyDescent="0.3">
      <c r="C18862" s="54"/>
      <c r="N18862" s="33"/>
    </row>
    <row r="18863" spans="3:14" x14ac:dyDescent="0.3">
      <c r="C18863" s="54"/>
      <c r="N18863" s="33"/>
    </row>
    <row r="18864" spans="3:14" x14ac:dyDescent="0.3">
      <c r="C18864" s="54"/>
      <c r="N18864" s="33"/>
    </row>
    <row r="18865" spans="3:14" x14ac:dyDescent="0.3">
      <c r="C18865" s="54"/>
      <c r="N18865" s="33"/>
    </row>
    <row r="18866" spans="3:14" x14ac:dyDescent="0.3">
      <c r="C18866" s="54"/>
      <c r="N18866" s="33"/>
    </row>
    <row r="18867" spans="3:14" x14ac:dyDescent="0.3">
      <c r="C18867" s="54"/>
      <c r="N18867" s="33"/>
    </row>
    <row r="18868" spans="3:14" x14ac:dyDescent="0.3">
      <c r="C18868" s="54"/>
      <c r="N18868" s="33"/>
    </row>
    <row r="18869" spans="3:14" x14ac:dyDescent="0.3">
      <c r="C18869" s="54"/>
      <c r="N18869" s="33"/>
    </row>
    <row r="18870" spans="3:14" x14ac:dyDescent="0.3">
      <c r="C18870" s="54"/>
      <c r="N18870" s="33"/>
    </row>
    <row r="18871" spans="3:14" x14ac:dyDescent="0.3">
      <c r="C18871" s="54"/>
      <c r="N18871" s="33"/>
    </row>
    <row r="18872" spans="3:14" x14ac:dyDescent="0.3">
      <c r="C18872" s="54"/>
      <c r="N18872" s="33"/>
    </row>
    <row r="18873" spans="3:14" x14ac:dyDescent="0.3">
      <c r="C18873" s="54"/>
      <c r="N18873" s="33"/>
    </row>
    <row r="18874" spans="3:14" x14ac:dyDescent="0.3">
      <c r="C18874" s="54"/>
      <c r="N18874" s="33"/>
    </row>
    <row r="18875" spans="3:14" x14ac:dyDescent="0.3">
      <c r="C18875" s="54"/>
      <c r="N18875" s="33"/>
    </row>
    <row r="18876" spans="3:14" x14ac:dyDescent="0.3">
      <c r="C18876" s="54"/>
      <c r="N18876" s="33"/>
    </row>
    <row r="18877" spans="3:14" x14ac:dyDescent="0.3">
      <c r="C18877" s="54"/>
      <c r="N18877" s="33"/>
    </row>
    <row r="18878" spans="3:14" x14ac:dyDescent="0.3">
      <c r="C18878" s="54"/>
      <c r="N18878" s="33"/>
    </row>
    <row r="18879" spans="3:14" x14ac:dyDescent="0.3">
      <c r="C18879" s="54"/>
      <c r="N18879" s="33"/>
    </row>
    <row r="18880" spans="3:14" x14ac:dyDescent="0.3">
      <c r="C18880" s="54"/>
      <c r="N18880" s="33"/>
    </row>
    <row r="18881" spans="3:14" x14ac:dyDescent="0.3">
      <c r="C18881" s="54"/>
      <c r="N18881" s="33"/>
    </row>
    <row r="18882" spans="3:14" x14ac:dyDescent="0.3">
      <c r="C18882" s="54"/>
      <c r="N18882" s="33"/>
    </row>
    <row r="18883" spans="3:14" x14ac:dyDescent="0.3">
      <c r="C18883" s="54"/>
      <c r="N18883" s="33"/>
    </row>
    <row r="18884" spans="3:14" x14ac:dyDescent="0.3">
      <c r="C18884" s="54"/>
      <c r="N18884" s="33"/>
    </row>
    <row r="18885" spans="3:14" x14ac:dyDescent="0.3">
      <c r="C18885" s="54"/>
      <c r="N18885" s="33"/>
    </row>
    <row r="18886" spans="3:14" x14ac:dyDescent="0.3">
      <c r="C18886" s="54"/>
      <c r="N18886" s="33"/>
    </row>
    <row r="18887" spans="3:14" x14ac:dyDescent="0.3">
      <c r="C18887" s="54"/>
      <c r="N18887" s="33"/>
    </row>
    <row r="18888" spans="3:14" x14ac:dyDescent="0.3">
      <c r="C18888" s="54"/>
      <c r="N18888" s="33"/>
    </row>
    <row r="18889" spans="3:14" x14ac:dyDescent="0.3">
      <c r="C18889" s="54"/>
      <c r="N18889" s="33"/>
    </row>
    <row r="18890" spans="3:14" x14ac:dyDescent="0.3">
      <c r="C18890" s="54"/>
      <c r="N18890" s="33"/>
    </row>
    <row r="18891" spans="3:14" x14ac:dyDescent="0.3">
      <c r="C18891" s="54"/>
      <c r="N18891" s="33"/>
    </row>
    <row r="18892" spans="3:14" x14ac:dyDescent="0.3">
      <c r="C18892" s="54"/>
      <c r="N18892" s="33"/>
    </row>
    <row r="18893" spans="3:14" x14ac:dyDescent="0.3">
      <c r="C18893" s="54"/>
      <c r="N18893" s="33"/>
    </row>
    <row r="18894" spans="3:14" x14ac:dyDescent="0.3">
      <c r="C18894" s="54"/>
      <c r="N18894" s="33"/>
    </row>
    <row r="18895" spans="3:14" x14ac:dyDescent="0.3">
      <c r="C18895" s="54"/>
      <c r="N18895" s="33"/>
    </row>
    <row r="18896" spans="3:14" x14ac:dyDescent="0.3">
      <c r="C18896" s="54"/>
      <c r="N18896" s="33"/>
    </row>
    <row r="18897" spans="3:14" x14ac:dyDescent="0.3">
      <c r="C18897" s="54"/>
      <c r="N18897" s="33"/>
    </row>
    <row r="18898" spans="3:14" x14ac:dyDescent="0.3">
      <c r="C18898" s="54"/>
      <c r="N18898" s="33"/>
    </row>
    <row r="18899" spans="3:14" x14ac:dyDescent="0.3">
      <c r="C18899" s="54"/>
      <c r="N18899" s="33"/>
    </row>
    <row r="18900" spans="3:14" x14ac:dyDescent="0.3">
      <c r="C18900" s="54"/>
      <c r="N18900" s="33"/>
    </row>
    <row r="18901" spans="3:14" x14ac:dyDescent="0.3">
      <c r="C18901" s="54"/>
      <c r="N18901" s="33"/>
    </row>
    <row r="18902" spans="3:14" x14ac:dyDescent="0.3">
      <c r="C18902" s="54"/>
      <c r="N18902" s="33"/>
    </row>
    <row r="18903" spans="3:14" x14ac:dyDescent="0.3">
      <c r="C18903" s="54"/>
      <c r="N18903" s="33"/>
    </row>
    <row r="18904" spans="3:14" x14ac:dyDescent="0.3">
      <c r="C18904" s="54"/>
      <c r="N18904" s="33"/>
    </row>
    <row r="18905" spans="3:14" x14ac:dyDescent="0.3">
      <c r="C18905" s="54"/>
      <c r="N18905" s="33"/>
    </row>
    <row r="18906" spans="3:14" x14ac:dyDescent="0.3">
      <c r="C18906" s="54"/>
      <c r="N18906" s="33"/>
    </row>
    <row r="18907" spans="3:14" x14ac:dyDescent="0.3">
      <c r="C18907" s="54"/>
      <c r="N18907" s="33"/>
    </row>
    <row r="18908" spans="3:14" x14ac:dyDescent="0.3">
      <c r="C18908" s="54"/>
      <c r="N18908" s="33"/>
    </row>
    <row r="18909" spans="3:14" x14ac:dyDescent="0.3">
      <c r="C18909" s="54"/>
      <c r="N18909" s="33"/>
    </row>
    <row r="18910" spans="3:14" x14ac:dyDescent="0.3">
      <c r="C18910" s="54"/>
      <c r="N18910" s="33"/>
    </row>
    <row r="18911" spans="3:14" x14ac:dyDescent="0.3">
      <c r="C18911" s="54"/>
      <c r="N18911" s="33"/>
    </row>
    <row r="18912" spans="3:14" x14ac:dyDescent="0.3">
      <c r="C18912" s="54"/>
      <c r="N18912" s="33"/>
    </row>
    <row r="18913" spans="3:14" x14ac:dyDescent="0.3">
      <c r="C18913" s="54"/>
      <c r="N18913" s="33"/>
    </row>
    <row r="18914" spans="3:14" x14ac:dyDescent="0.3">
      <c r="C18914" s="54"/>
      <c r="N18914" s="33"/>
    </row>
    <row r="18915" spans="3:14" x14ac:dyDescent="0.3">
      <c r="C18915" s="54"/>
      <c r="N18915" s="33"/>
    </row>
    <row r="18916" spans="3:14" x14ac:dyDescent="0.3">
      <c r="C18916" s="54"/>
      <c r="N18916" s="33"/>
    </row>
    <row r="18917" spans="3:14" x14ac:dyDescent="0.3">
      <c r="C18917" s="54"/>
      <c r="N18917" s="33"/>
    </row>
    <row r="18918" spans="3:14" x14ac:dyDescent="0.3">
      <c r="C18918" s="54"/>
      <c r="N18918" s="33"/>
    </row>
    <row r="18919" spans="3:14" x14ac:dyDescent="0.3">
      <c r="C18919" s="54"/>
      <c r="N18919" s="33"/>
    </row>
    <row r="18920" spans="3:14" x14ac:dyDescent="0.3">
      <c r="C18920" s="54"/>
      <c r="N18920" s="33"/>
    </row>
    <row r="18921" spans="3:14" x14ac:dyDescent="0.3">
      <c r="C18921" s="54"/>
      <c r="N18921" s="33"/>
    </row>
    <row r="18922" spans="3:14" x14ac:dyDescent="0.3">
      <c r="C18922" s="54"/>
      <c r="N18922" s="33"/>
    </row>
    <row r="18923" spans="3:14" x14ac:dyDescent="0.3">
      <c r="C18923" s="54"/>
      <c r="N18923" s="33"/>
    </row>
    <row r="18924" spans="3:14" x14ac:dyDescent="0.3">
      <c r="C18924" s="54"/>
      <c r="N18924" s="33"/>
    </row>
    <row r="18925" spans="3:14" x14ac:dyDescent="0.3">
      <c r="C18925" s="54"/>
      <c r="N18925" s="33"/>
    </row>
    <row r="18926" spans="3:14" x14ac:dyDescent="0.3">
      <c r="C18926" s="54"/>
      <c r="N18926" s="33"/>
    </row>
    <row r="18927" spans="3:14" x14ac:dyDescent="0.3">
      <c r="C18927" s="54"/>
      <c r="N18927" s="33"/>
    </row>
    <row r="18928" spans="3:14" x14ac:dyDescent="0.3">
      <c r="C18928" s="54"/>
      <c r="N18928" s="33"/>
    </row>
    <row r="18929" spans="3:14" x14ac:dyDescent="0.3">
      <c r="C18929" s="54"/>
      <c r="N18929" s="33"/>
    </row>
    <row r="18930" spans="3:14" x14ac:dyDescent="0.3">
      <c r="C18930" s="54"/>
      <c r="N18930" s="33"/>
    </row>
    <row r="18931" spans="3:14" x14ac:dyDescent="0.3">
      <c r="C18931" s="54"/>
      <c r="N18931" s="33"/>
    </row>
    <row r="18932" spans="3:14" x14ac:dyDescent="0.3">
      <c r="C18932" s="54"/>
      <c r="N18932" s="33"/>
    </row>
    <row r="18933" spans="3:14" x14ac:dyDescent="0.3">
      <c r="C18933" s="54"/>
      <c r="N18933" s="33"/>
    </row>
    <row r="18934" spans="3:14" x14ac:dyDescent="0.3">
      <c r="C18934" s="54"/>
      <c r="N18934" s="33"/>
    </row>
    <row r="18935" spans="3:14" x14ac:dyDescent="0.3">
      <c r="C18935" s="54"/>
      <c r="N18935" s="33"/>
    </row>
    <row r="18936" spans="3:14" x14ac:dyDescent="0.3">
      <c r="C18936" s="54"/>
      <c r="N18936" s="33"/>
    </row>
    <row r="18937" spans="3:14" x14ac:dyDescent="0.3">
      <c r="C18937" s="54"/>
      <c r="N18937" s="33"/>
    </row>
    <row r="18938" spans="3:14" x14ac:dyDescent="0.3">
      <c r="C18938" s="54"/>
      <c r="N18938" s="33"/>
    </row>
    <row r="18939" spans="3:14" x14ac:dyDescent="0.3">
      <c r="C18939" s="54"/>
      <c r="N18939" s="33"/>
    </row>
    <row r="18940" spans="3:14" x14ac:dyDescent="0.3">
      <c r="C18940" s="54"/>
      <c r="N18940" s="33"/>
    </row>
    <row r="18941" spans="3:14" x14ac:dyDescent="0.3">
      <c r="C18941" s="54"/>
      <c r="N18941" s="33"/>
    </row>
    <row r="18942" spans="3:14" x14ac:dyDescent="0.3">
      <c r="C18942" s="54"/>
      <c r="N18942" s="33"/>
    </row>
    <row r="18943" spans="3:14" x14ac:dyDescent="0.3">
      <c r="C18943" s="54"/>
      <c r="N18943" s="33"/>
    </row>
    <row r="18944" spans="3:14" x14ac:dyDescent="0.3">
      <c r="C18944" s="54"/>
      <c r="N18944" s="33"/>
    </row>
    <row r="18945" spans="3:14" x14ac:dyDescent="0.3">
      <c r="C18945" s="54"/>
      <c r="N18945" s="33"/>
    </row>
    <row r="18946" spans="3:14" x14ac:dyDescent="0.3">
      <c r="C18946" s="54"/>
      <c r="N18946" s="33"/>
    </row>
    <row r="18947" spans="3:14" x14ac:dyDescent="0.3">
      <c r="C18947" s="54"/>
      <c r="N18947" s="33"/>
    </row>
    <row r="18948" spans="3:14" x14ac:dyDescent="0.3">
      <c r="C18948" s="54"/>
      <c r="N18948" s="33"/>
    </row>
    <row r="18949" spans="3:14" x14ac:dyDescent="0.3">
      <c r="C18949" s="54"/>
      <c r="N18949" s="33"/>
    </row>
    <row r="18950" spans="3:14" x14ac:dyDescent="0.3">
      <c r="C18950" s="54"/>
      <c r="N18950" s="33"/>
    </row>
    <row r="18951" spans="3:14" x14ac:dyDescent="0.3">
      <c r="C18951" s="54"/>
      <c r="N18951" s="33"/>
    </row>
    <row r="18952" spans="3:14" x14ac:dyDescent="0.3">
      <c r="C18952" s="54"/>
      <c r="N18952" s="33"/>
    </row>
    <row r="18953" spans="3:14" x14ac:dyDescent="0.3">
      <c r="C18953" s="54"/>
      <c r="N18953" s="33"/>
    </row>
    <row r="18954" spans="3:14" x14ac:dyDescent="0.3">
      <c r="C18954" s="54"/>
      <c r="N18954" s="33"/>
    </row>
    <row r="18955" spans="3:14" x14ac:dyDescent="0.3">
      <c r="C18955" s="54"/>
      <c r="N18955" s="33"/>
    </row>
    <row r="18956" spans="3:14" x14ac:dyDescent="0.3">
      <c r="C18956" s="54"/>
      <c r="N18956" s="33"/>
    </row>
    <row r="18957" spans="3:14" x14ac:dyDescent="0.3">
      <c r="C18957" s="54"/>
      <c r="N18957" s="33"/>
    </row>
    <row r="18958" spans="3:14" x14ac:dyDescent="0.3">
      <c r="C18958" s="54"/>
      <c r="N18958" s="33"/>
    </row>
    <row r="18959" spans="3:14" x14ac:dyDescent="0.3">
      <c r="C18959" s="54"/>
      <c r="N18959" s="33"/>
    </row>
    <row r="18960" spans="3:14" x14ac:dyDescent="0.3">
      <c r="C18960" s="54"/>
      <c r="N18960" s="33"/>
    </row>
    <row r="18961" spans="3:14" x14ac:dyDescent="0.3">
      <c r="C18961" s="54"/>
      <c r="N18961" s="33"/>
    </row>
    <row r="18962" spans="3:14" x14ac:dyDescent="0.3">
      <c r="C18962" s="54"/>
      <c r="N18962" s="33"/>
    </row>
    <row r="18963" spans="3:14" x14ac:dyDescent="0.3">
      <c r="C18963" s="54"/>
      <c r="N18963" s="33"/>
    </row>
    <row r="18964" spans="3:14" x14ac:dyDescent="0.3">
      <c r="C18964" s="54"/>
      <c r="N18964" s="33"/>
    </row>
    <row r="18965" spans="3:14" x14ac:dyDescent="0.3">
      <c r="C18965" s="54"/>
      <c r="N18965" s="33"/>
    </row>
    <row r="18966" spans="3:14" x14ac:dyDescent="0.3">
      <c r="C18966" s="54"/>
      <c r="N18966" s="33"/>
    </row>
    <row r="18967" spans="3:14" x14ac:dyDescent="0.3">
      <c r="C18967" s="54"/>
      <c r="N18967" s="33"/>
    </row>
    <row r="18968" spans="3:14" x14ac:dyDescent="0.3">
      <c r="C18968" s="54"/>
      <c r="N18968" s="33"/>
    </row>
    <row r="18969" spans="3:14" x14ac:dyDescent="0.3">
      <c r="C18969" s="54"/>
      <c r="N18969" s="33"/>
    </row>
    <row r="18970" spans="3:14" x14ac:dyDescent="0.3">
      <c r="C18970" s="54"/>
      <c r="N18970" s="33"/>
    </row>
    <row r="18971" spans="3:14" x14ac:dyDescent="0.3">
      <c r="C18971" s="54"/>
      <c r="N18971" s="33"/>
    </row>
    <row r="18972" spans="3:14" x14ac:dyDescent="0.3">
      <c r="C18972" s="54"/>
      <c r="N18972" s="33"/>
    </row>
    <row r="18973" spans="3:14" x14ac:dyDescent="0.3">
      <c r="C18973" s="54"/>
      <c r="N18973" s="33"/>
    </row>
    <row r="18974" spans="3:14" x14ac:dyDescent="0.3">
      <c r="C18974" s="54"/>
      <c r="N18974" s="33"/>
    </row>
    <row r="18975" spans="3:14" x14ac:dyDescent="0.3">
      <c r="C18975" s="54"/>
      <c r="N18975" s="33"/>
    </row>
    <row r="18976" spans="3:14" x14ac:dyDescent="0.3">
      <c r="C18976" s="54"/>
      <c r="N18976" s="33"/>
    </row>
    <row r="18977" spans="3:14" x14ac:dyDescent="0.3">
      <c r="C18977" s="54"/>
      <c r="N18977" s="33"/>
    </row>
    <row r="18978" spans="3:14" x14ac:dyDescent="0.3">
      <c r="C18978" s="54"/>
      <c r="N18978" s="33"/>
    </row>
    <row r="18979" spans="3:14" x14ac:dyDescent="0.3">
      <c r="C18979" s="54"/>
      <c r="N18979" s="33"/>
    </row>
    <row r="18980" spans="3:14" x14ac:dyDescent="0.3">
      <c r="C18980" s="54"/>
      <c r="N18980" s="33"/>
    </row>
    <row r="18981" spans="3:14" x14ac:dyDescent="0.3">
      <c r="C18981" s="54"/>
      <c r="N18981" s="33"/>
    </row>
    <row r="18982" spans="3:14" x14ac:dyDescent="0.3">
      <c r="C18982" s="54"/>
      <c r="N18982" s="33"/>
    </row>
    <row r="18983" spans="3:14" x14ac:dyDescent="0.3">
      <c r="C18983" s="54"/>
      <c r="N18983" s="33"/>
    </row>
    <row r="18984" spans="3:14" x14ac:dyDescent="0.3">
      <c r="C18984" s="54"/>
      <c r="N18984" s="33"/>
    </row>
    <row r="18985" spans="3:14" x14ac:dyDescent="0.3">
      <c r="C18985" s="54"/>
      <c r="N18985" s="33"/>
    </row>
    <row r="18986" spans="3:14" x14ac:dyDescent="0.3">
      <c r="C18986" s="54"/>
      <c r="N18986" s="33"/>
    </row>
    <row r="18987" spans="3:14" x14ac:dyDescent="0.3">
      <c r="C18987" s="54"/>
      <c r="N18987" s="33"/>
    </row>
    <row r="18988" spans="3:14" x14ac:dyDescent="0.3">
      <c r="C18988" s="54"/>
      <c r="N18988" s="33"/>
    </row>
    <row r="18989" spans="3:14" x14ac:dyDescent="0.3">
      <c r="C18989" s="54"/>
      <c r="N18989" s="33"/>
    </row>
    <row r="18990" spans="3:14" x14ac:dyDescent="0.3">
      <c r="C18990" s="54"/>
      <c r="N18990" s="33"/>
    </row>
    <row r="18991" spans="3:14" x14ac:dyDescent="0.3">
      <c r="C18991" s="54"/>
      <c r="N18991" s="33"/>
    </row>
    <row r="18992" spans="3:14" x14ac:dyDescent="0.3">
      <c r="C18992" s="54"/>
      <c r="N18992" s="33"/>
    </row>
    <row r="18993" spans="3:14" x14ac:dyDescent="0.3">
      <c r="C18993" s="54"/>
      <c r="N18993" s="33"/>
    </row>
    <row r="18994" spans="3:14" x14ac:dyDescent="0.3">
      <c r="C18994" s="54"/>
      <c r="N18994" s="33"/>
    </row>
    <row r="18995" spans="3:14" x14ac:dyDescent="0.3">
      <c r="C18995" s="54"/>
      <c r="N18995" s="33"/>
    </row>
    <row r="18996" spans="3:14" x14ac:dyDescent="0.3">
      <c r="C18996" s="54"/>
      <c r="N18996" s="33"/>
    </row>
    <row r="18997" spans="3:14" x14ac:dyDescent="0.3">
      <c r="C18997" s="54"/>
      <c r="N18997" s="33"/>
    </row>
    <row r="18998" spans="3:14" x14ac:dyDescent="0.3">
      <c r="C18998" s="54"/>
      <c r="N18998" s="33"/>
    </row>
    <row r="18999" spans="3:14" x14ac:dyDescent="0.3">
      <c r="C18999" s="54"/>
      <c r="N18999" s="33"/>
    </row>
    <row r="19000" spans="3:14" x14ac:dyDescent="0.3">
      <c r="C19000" s="54"/>
      <c r="N19000" s="33"/>
    </row>
    <row r="19001" spans="3:14" x14ac:dyDescent="0.3">
      <c r="C19001" s="54"/>
      <c r="N19001" s="33"/>
    </row>
    <row r="19002" spans="3:14" x14ac:dyDescent="0.3">
      <c r="C19002" s="54"/>
      <c r="N19002" s="33"/>
    </row>
    <row r="19003" spans="3:14" x14ac:dyDescent="0.3">
      <c r="C19003" s="54"/>
      <c r="N19003" s="33"/>
    </row>
    <row r="19004" spans="3:14" x14ac:dyDescent="0.3">
      <c r="C19004" s="54"/>
      <c r="N19004" s="33"/>
    </row>
    <row r="19005" spans="3:14" x14ac:dyDescent="0.3">
      <c r="C19005" s="54"/>
      <c r="N19005" s="33"/>
    </row>
    <row r="19006" spans="3:14" x14ac:dyDescent="0.3">
      <c r="C19006" s="54"/>
      <c r="N19006" s="33"/>
    </row>
    <row r="19007" spans="3:14" x14ac:dyDescent="0.3">
      <c r="C19007" s="54"/>
      <c r="N19007" s="33"/>
    </row>
    <row r="19008" spans="3:14" x14ac:dyDescent="0.3">
      <c r="C19008" s="54"/>
      <c r="N19008" s="33"/>
    </row>
    <row r="19009" spans="3:14" x14ac:dyDescent="0.3">
      <c r="C19009" s="54"/>
      <c r="N19009" s="33"/>
    </row>
    <row r="19010" spans="3:14" x14ac:dyDescent="0.3">
      <c r="C19010" s="54"/>
      <c r="N19010" s="33"/>
    </row>
    <row r="19011" spans="3:14" x14ac:dyDescent="0.3">
      <c r="C19011" s="54"/>
      <c r="N19011" s="33"/>
    </row>
    <row r="19012" spans="3:14" x14ac:dyDescent="0.3">
      <c r="C19012" s="54"/>
      <c r="N19012" s="33"/>
    </row>
    <row r="19013" spans="3:14" x14ac:dyDescent="0.3">
      <c r="C19013" s="54"/>
      <c r="N19013" s="33"/>
    </row>
    <row r="19014" spans="3:14" x14ac:dyDescent="0.3">
      <c r="C19014" s="54"/>
      <c r="N19014" s="33"/>
    </row>
    <row r="19015" spans="3:14" x14ac:dyDescent="0.3">
      <c r="C19015" s="54"/>
      <c r="N19015" s="33"/>
    </row>
    <row r="19016" spans="3:14" x14ac:dyDescent="0.3">
      <c r="C19016" s="54"/>
      <c r="N19016" s="33"/>
    </row>
    <row r="19017" spans="3:14" x14ac:dyDescent="0.3">
      <c r="C19017" s="54"/>
      <c r="N19017" s="33"/>
    </row>
    <row r="19018" spans="3:14" x14ac:dyDescent="0.3">
      <c r="C19018" s="54"/>
      <c r="N19018" s="33"/>
    </row>
    <row r="19019" spans="3:14" x14ac:dyDescent="0.3">
      <c r="C19019" s="54"/>
      <c r="N19019" s="33"/>
    </row>
    <row r="19020" spans="3:14" x14ac:dyDescent="0.3">
      <c r="C19020" s="54"/>
      <c r="N19020" s="33"/>
    </row>
    <row r="19021" spans="3:14" x14ac:dyDescent="0.3">
      <c r="C19021" s="54"/>
      <c r="N19021" s="33"/>
    </row>
    <row r="19022" spans="3:14" x14ac:dyDescent="0.3">
      <c r="C19022" s="54"/>
      <c r="N19022" s="33"/>
    </row>
    <row r="19023" spans="3:14" x14ac:dyDescent="0.3">
      <c r="C19023" s="54"/>
      <c r="N19023" s="33"/>
    </row>
    <row r="19024" spans="3:14" x14ac:dyDescent="0.3">
      <c r="C19024" s="54"/>
      <c r="N19024" s="33"/>
    </row>
    <row r="19025" spans="3:14" x14ac:dyDescent="0.3">
      <c r="C19025" s="54"/>
      <c r="N19025" s="33"/>
    </row>
    <row r="19026" spans="3:14" x14ac:dyDescent="0.3">
      <c r="C19026" s="54"/>
      <c r="N19026" s="33"/>
    </row>
    <row r="19027" spans="3:14" x14ac:dyDescent="0.3">
      <c r="C19027" s="54"/>
      <c r="N19027" s="33"/>
    </row>
    <row r="19028" spans="3:14" x14ac:dyDescent="0.3">
      <c r="C19028" s="54"/>
      <c r="N19028" s="33"/>
    </row>
    <row r="19029" spans="3:14" x14ac:dyDescent="0.3">
      <c r="C19029" s="54"/>
      <c r="N19029" s="33"/>
    </row>
    <row r="19030" spans="3:14" x14ac:dyDescent="0.3">
      <c r="C19030" s="54"/>
      <c r="N19030" s="33"/>
    </row>
    <row r="19031" spans="3:14" x14ac:dyDescent="0.3">
      <c r="C19031" s="54"/>
      <c r="N19031" s="33"/>
    </row>
    <row r="19032" spans="3:14" x14ac:dyDescent="0.3">
      <c r="C19032" s="54"/>
      <c r="N19032" s="33"/>
    </row>
    <row r="19033" spans="3:14" x14ac:dyDescent="0.3">
      <c r="C19033" s="54"/>
      <c r="N19033" s="33"/>
    </row>
    <row r="19034" spans="3:14" x14ac:dyDescent="0.3">
      <c r="C19034" s="54"/>
      <c r="N19034" s="33"/>
    </row>
    <row r="19035" spans="3:14" x14ac:dyDescent="0.3">
      <c r="C19035" s="54"/>
      <c r="N19035" s="33"/>
    </row>
    <row r="19036" spans="3:14" x14ac:dyDescent="0.3">
      <c r="C19036" s="54"/>
      <c r="N19036" s="33"/>
    </row>
    <row r="19037" spans="3:14" x14ac:dyDescent="0.3">
      <c r="C19037" s="54"/>
      <c r="N19037" s="33"/>
    </row>
    <row r="19038" spans="3:14" x14ac:dyDescent="0.3">
      <c r="C19038" s="54"/>
      <c r="N19038" s="33"/>
    </row>
    <row r="19039" spans="3:14" x14ac:dyDescent="0.3">
      <c r="C19039" s="54"/>
      <c r="N19039" s="33"/>
    </row>
    <row r="19040" spans="3:14" x14ac:dyDescent="0.3">
      <c r="C19040" s="54"/>
      <c r="N19040" s="33"/>
    </row>
    <row r="19041" spans="3:14" x14ac:dyDescent="0.3">
      <c r="C19041" s="54"/>
      <c r="N19041" s="33"/>
    </row>
    <row r="19042" spans="3:14" x14ac:dyDescent="0.3">
      <c r="C19042" s="54"/>
      <c r="N19042" s="33"/>
    </row>
    <row r="19043" spans="3:14" x14ac:dyDescent="0.3">
      <c r="C19043" s="54"/>
      <c r="N19043" s="33"/>
    </row>
    <row r="19044" spans="3:14" x14ac:dyDescent="0.3">
      <c r="C19044" s="54"/>
      <c r="N19044" s="33"/>
    </row>
    <row r="19045" spans="3:14" x14ac:dyDescent="0.3">
      <c r="C19045" s="54"/>
      <c r="N19045" s="33"/>
    </row>
    <row r="19046" spans="3:14" x14ac:dyDescent="0.3">
      <c r="C19046" s="54"/>
      <c r="N19046" s="33"/>
    </row>
    <row r="19047" spans="3:14" x14ac:dyDescent="0.3">
      <c r="C19047" s="54"/>
      <c r="N19047" s="33"/>
    </row>
    <row r="19048" spans="3:14" x14ac:dyDescent="0.3">
      <c r="C19048" s="54"/>
      <c r="N19048" s="33"/>
    </row>
    <row r="19049" spans="3:14" x14ac:dyDescent="0.3">
      <c r="C19049" s="54"/>
      <c r="N19049" s="33"/>
    </row>
    <row r="19050" spans="3:14" x14ac:dyDescent="0.3">
      <c r="C19050" s="54"/>
      <c r="N19050" s="33"/>
    </row>
    <row r="19051" spans="3:14" x14ac:dyDescent="0.3">
      <c r="C19051" s="54"/>
      <c r="N19051" s="33"/>
    </row>
    <row r="19052" spans="3:14" x14ac:dyDescent="0.3">
      <c r="C19052" s="54"/>
      <c r="N19052" s="33"/>
    </row>
    <row r="19053" spans="3:14" x14ac:dyDescent="0.3">
      <c r="C19053" s="54"/>
      <c r="N19053" s="33"/>
    </row>
    <row r="19054" spans="3:14" x14ac:dyDescent="0.3">
      <c r="C19054" s="54"/>
      <c r="N19054" s="33"/>
    </row>
    <row r="19055" spans="3:14" x14ac:dyDescent="0.3">
      <c r="C19055" s="54"/>
      <c r="N19055" s="33"/>
    </row>
    <row r="19056" spans="3:14" x14ac:dyDescent="0.3">
      <c r="C19056" s="54"/>
      <c r="N19056" s="33"/>
    </row>
    <row r="19057" spans="3:14" x14ac:dyDescent="0.3">
      <c r="C19057" s="54"/>
      <c r="N19057" s="33"/>
    </row>
    <row r="19058" spans="3:14" x14ac:dyDescent="0.3">
      <c r="C19058" s="54"/>
      <c r="N19058" s="33"/>
    </row>
    <row r="19059" spans="3:14" x14ac:dyDescent="0.3">
      <c r="C19059" s="54"/>
      <c r="N19059" s="33"/>
    </row>
    <row r="19060" spans="3:14" x14ac:dyDescent="0.3">
      <c r="C19060" s="54"/>
      <c r="N19060" s="33"/>
    </row>
    <row r="19061" spans="3:14" x14ac:dyDescent="0.3">
      <c r="C19061" s="54"/>
      <c r="N19061" s="33"/>
    </row>
    <row r="19062" spans="3:14" x14ac:dyDescent="0.3">
      <c r="C19062" s="54"/>
      <c r="N19062" s="33"/>
    </row>
    <row r="19063" spans="3:14" x14ac:dyDescent="0.3">
      <c r="C19063" s="54"/>
      <c r="N19063" s="33"/>
    </row>
    <row r="19064" spans="3:14" x14ac:dyDescent="0.3">
      <c r="C19064" s="54"/>
      <c r="N19064" s="33"/>
    </row>
    <row r="19065" spans="3:14" x14ac:dyDescent="0.3">
      <c r="C19065" s="54"/>
      <c r="N19065" s="33"/>
    </row>
    <row r="19066" spans="3:14" x14ac:dyDescent="0.3">
      <c r="C19066" s="54"/>
      <c r="N19066" s="33"/>
    </row>
    <row r="19067" spans="3:14" x14ac:dyDescent="0.3">
      <c r="C19067" s="54"/>
      <c r="N19067" s="33"/>
    </row>
    <row r="19068" spans="3:14" x14ac:dyDescent="0.3">
      <c r="C19068" s="54"/>
      <c r="N19068" s="33"/>
    </row>
    <row r="19069" spans="3:14" x14ac:dyDescent="0.3">
      <c r="C19069" s="54"/>
      <c r="N19069" s="33"/>
    </row>
    <row r="19070" spans="3:14" x14ac:dyDescent="0.3">
      <c r="C19070" s="54"/>
      <c r="N19070" s="33"/>
    </row>
    <row r="19071" spans="3:14" x14ac:dyDescent="0.3">
      <c r="C19071" s="54"/>
      <c r="N19071" s="33"/>
    </row>
    <row r="19072" spans="3:14" x14ac:dyDescent="0.3">
      <c r="C19072" s="54"/>
      <c r="N19072" s="33"/>
    </row>
    <row r="19073" spans="3:14" x14ac:dyDescent="0.3">
      <c r="C19073" s="54"/>
      <c r="N19073" s="33"/>
    </row>
    <row r="19074" spans="3:14" x14ac:dyDescent="0.3">
      <c r="C19074" s="54"/>
      <c r="N19074" s="33"/>
    </row>
    <row r="19075" spans="3:14" x14ac:dyDescent="0.3">
      <c r="C19075" s="54"/>
      <c r="N19075" s="33"/>
    </row>
    <row r="19076" spans="3:14" x14ac:dyDescent="0.3">
      <c r="C19076" s="54"/>
      <c r="N19076" s="33"/>
    </row>
    <row r="19077" spans="3:14" x14ac:dyDescent="0.3">
      <c r="C19077" s="54"/>
      <c r="N19077" s="33"/>
    </row>
    <row r="19078" spans="3:14" x14ac:dyDescent="0.3">
      <c r="C19078" s="54"/>
      <c r="N19078" s="33"/>
    </row>
    <row r="19079" spans="3:14" x14ac:dyDescent="0.3">
      <c r="C19079" s="54"/>
      <c r="N19079" s="33"/>
    </row>
    <row r="19080" spans="3:14" x14ac:dyDescent="0.3">
      <c r="C19080" s="54"/>
      <c r="N19080" s="33"/>
    </row>
    <row r="19081" spans="3:14" x14ac:dyDescent="0.3">
      <c r="C19081" s="54"/>
      <c r="N19081" s="33"/>
    </row>
    <row r="19082" spans="3:14" x14ac:dyDescent="0.3">
      <c r="C19082" s="54"/>
      <c r="N19082" s="33"/>
    </row>
    <row r="19083" spans="3:14" x14ac:dyDescent="0.3">
      <c r="C19083" s="54"/>
      <c r="N19083" s="33"/>
    </row>
    <row r="19084" spans="3:14" x14ac:dyDescent="0.3">
      <c r="C19084" s="54"/>
      <c r="N19084" s="33"/>
    </row>
    <row r="19085" spans="3:14" x14ac:dyDescent="0.3">
      <c r="C19085" s="54"/>
      <c r="N19085" s="33"/>
    </row>
    <row r="19086" spans="3:14" x14ac:dyDescent="0.3">
      <c r="C19086" s="54"/>
      <c r="N19086" s="33"/>
    </row>
    <row r="19087" spans="3:14" x14ac:dyDescent="0.3">
      <c r="C19087" s="54"/>
      <c r="N19087" s="33"/>
    </row>
    <row r="19088" spans="3:14" x14ac:dyDescent="0.3">
      <c r="C19088" s="54"/>
      <c r="N19088" s="33"/>
    </row>
    <row r="19089" spans="3:14" x14ac:dyDescent="0.3">
      <c r="C19089" s="54"/>
      <c r="N19089" s="33"/>
    </row>
    <row r="19090" spans="3:14" x14ac:dyDescent="0.3">
      <c r="C19090" s="54"/>
      <c r="N19090" s="33"/>
    </row>
    <row r="19091" spans="3:14" x14ac:dyDescent="0.3">
      <c r="C19091" s="54"/>
      <c r="N19091" s="33"/>
    </row>
    <row r="19092" spans="3:14" x14ac:dyDescent="0.3">
      <c r="C19092" s="54"/>
      <c r="N19092" s="33"/>
    </row>
    <row r="19093" spans="3:14" x14ac:dyDescent="0.3">
      <c r="C19093" s="54"/>
      <c r="N19093" s="33"/>
    </row>
    <row r="19094" spans="3:14" x14ac:dyDescent="0.3">
      <c r="C19094" s="54"/>
      <c r="N19094" s="33"/>
    </row>
    <row r="19095" spans="3:14" x14ac:dyDescent="0.3">
      <c r="C19095" s="54"/>
      <c r="N19095" s="33"/>
    </row>
    <row r="19096" spans="3:14" x14ac:dyDescent="0.3">
      <c r="C19096" s="54"/>
      <c r="N19096" s="33"/>
    </row>
    <row r="19097" spans="3:14" x14ac:dyDescent="0.3">
      <c r="C19097" s="54"/>
      <c r="N19097" s="33"/>
    </row>
    <row r="19098" spans="3:14" x14ac:dyDescent="0.3">
      <c r="C19098" s="54"/>
      <c r="N19098" s="33"/>
    </row>
    <row r="19099" spans="3:14" x14ac:dyDescent="0.3">
      <c r="C19099" s="54"/>
      <c r="N19099" s="33"/>
    </row>
    <row r="19100" spans="3:14" x14ac:dyDescent="0.3">
      <c r="C19100" s="54"/>
      <c r="N19100" s="33"/>
    </row>
    <row r="19101" spans="3:14" x14ac:dyDescent="0.3">
      <c r="C19101" s="54"/>
      <c r="N19101" s="33"/>
    </row>
    <row r="19102" spans="3:14" x14ac:dyDescent="0.3">
      <c r="C19102" s="54"/>
      <c r="N19102" s="33"/>
    </row>
    <row r="19103" spans="3:14" x14ac:dyDescent="0.3">
      <c r="C19103" s="54"/>
      <c r="N19103" s="33"/>
    </row>
    <row r="19104" spans="3:14" x14ac:dyDescent="0.3">
      <c r="C19104" s="54"/>
      <c r="N19104" s="33"/>
    </row>
    <row r="19105" spans="3:14" x14ac:dyDescent="0.3">
      <c r="C19105" s="54"/>
      <c r="N19105" s="33"/>
    </row>
    <row r="19106" spans="3:14" x14ac:dyDescent="0.3">
      <c r="C19106" s="54"/>
      <c r="N19106" s="33"/>
    </row>
    <row r="19107" spans="3:14" x14ac:dyDescent="0.3">
      <c r="C19107" s="54"/>
      <c r="N19107" s="33"/>
    </row>
    <row r="19108" spans="3:14" x14ac:dyDescent="0.3">
      <c r="C19108" s="54"/>
      <c r="N19108" s="33"/>
    </row>
    <row r="19109" spans="3:14" x14ac:dyDescent="0.3">
      <c r="C19109" s="54"/>
      <c r="N19109" s="33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E6F91-F8BA-44C2-BB42-B6DE2151F487}">
  <sheetPr codeName="Hoja6"/>
  <dimension ref="A1:L210"/>
  <sheetViews>
    <sheetView zoomScale="80" zoomScaleNormal="80" workbookViewId="0">
      <selection activeCell="K25" sqref="K25"/>
    </sheetView>
  </sheetViews>
  <sheetFormatPr baseColWidth="10" defaultRowHeight="14.4" x14ac:dyDescent="0.3"/>
  <cols>
    <col min="1" max="1" width="14" style="33" customWidth="1"/>
    <col min="2" max="2" width="18.88671875" bestFit="1" customWidth="1"/>
    <col min="3" max="3" width="20" customWidth="1"/>
    <col min="4" max="4" width="18.88671875" style="51" customWidth="1"/>
    <col min="6" max="6" width="15.44140625" customWidth="1"/>
    <col min="7" max="7" width="17.44140625" customWidth="1"/>
    <col min="8" max="8" width="17.109375" customWidth="1"/>
    <col min="9" max="9" width="12.6640625" customWidth="1"/>
    <col min="10" max="10" width="11.88671875" bestFit="1" customWidth="1"/>
  </cols>
  <sheetData>
    <row r="1" spans="1:12" x14ac:dyDescent="0.3">
      <c r="A1" s="36"/>
      <c r="B1" s="37"/>
      <c r="C1" s="37"/>
      <c r="D1" s="60"/>
      <c r="E1" s="37"/>
    </row>
    <row r="2" spans="1:12" x14ac:dyDescent="0.3">
      <c r="A2" s="40" t="s">
        <v>657</v>
      </c>
      <c r="B2" s="41" t="s">
        <v>658</v>
      </c>
      <c r="C2" s="41" t="s">
        <v>659</v>
      </c>
      <c r="D2" s="11" t="s">
        <v>660</v>
      </c>
      <c r="F2" s="44" t="s">
        <v>660</v>
      </c>
      <c r="G2" s="13">
        <v>2</v>
      </c>
      <c r="H2" s="33"/>
    </row>
    <row r="3" spans="1:12" x14ac:dyDescent="0.3">
      <c r="A3" s="39">
        <v>41640</v>
      </c>
      <c r="B3" s="3" t="s">
        <v>731</v>
      </c>
      <c r="C3" s="3" t="s">
        <v>662</v>
      </c>
      <c r="D3" s="14">
        <v>4</v>
      </c>
      <c r="F3" s="44" t="s">
        <v>730</v>
      </c>
      <c r="G3" s="46">
        <v>41640</v>
      </c>
      <c r="H3" s="33"/>
      <c r="I3" s="45" t="s">
        <v>656</v>
      </c>
    </row>
    <row r="4" spans="1:12" x14ac:dyDescent="0.3">
      <c r="A4" s="39">
        <v>41641</v>
      </c>
      <c r="B4" s="3" t="s">
        <v>663</v>
      </c>
      <c r="C4" s="3" t="s">
        <v>664</v>
      </c>
      <c r="D4" s="14">
        <v>2</v>
      </c>
      <c r="F4" s="44" t="s">
        <v>655</v>
      </c>
      <c r="G4" s="46">
        <v>41645</v>
      </c>
      <c r="I4" s="61" t="s">
        <v>734</v>
      </c>
    </row>
    <row r="5" spans="1:12" x14ac:dyDescent="0.3">
      <c r="A5" s="39">
        <v>41641</v>
      </c>
      <c r="B5" s="3" t="s">
        <v>661</v>
      </c>
      <c r="C5" s="3" t="s">
        <v>665</v>
      </c>
      <c r="D5" s="14">
        <v>1</v>
      </c>
    </row>
    <row r="6" spans="1:12" x14ac:dyDescent="0.3">
      <c r="A6" s="39">
        <v>41641</v>
      </c>
      <c r="B6" s="3" t="s">
        <v>666</v>
      </c>
      <c r="C6" s="3" t="s">
        <v>665</v>
      </c>
      <c r="D6" s="14">
        <v>2</v>
      </c>
      <c r="G6" s="36"/>
      <c r="H6" s="37"/>
      <c r="I6" s="37"/>
      <c r="J6" s="37"/>
      <c r="K6" s="37"/>
    </row>
    <row r="7" spans="1:12" x14ac:dyDescent="0.3">
      <c r="A7" s="39">
        <v>41641</v>
      </c>
      <c r="B7" s="3" t="s">
        <v>667</v>
      </c>
      <c r="C7" s="3" t="s">
        <v>668</v>
      </c>
      <c r="D7" s="14">
        <v>4</v>
      </c>
      <c r="F7" s="37"/>
      <c r="G7" s="36"/>
      <c r="H7" s="37"/>
      <c r="I7" s="37"/>
      <c r="L7" s="38"/>
    </row>
    <row r="8" spans="1:12" x14ac:dyDescent="0.3">
      <c r="A8" s="39">
        <v>41642</v>
      </c>
      <c r="B8" s="3" t="s">
        <v>667</v>
      </c>
      <c r="C8" s="3" t="s">
        <v>669</v>
      </c>
      <c r="D8" s="14">
        <v>2</v>
      </c>
      <c r="F8" s="33"/>
      <c r="L8" s="38"/>
    </row>
    <row r="9" spans="1:12" x14ac:dyDescent="0.3">
      <c r="A9" s="39">
        <v>41642</v>
      </c>
      <c r="B9" s="3" t="s">
        <v>667</v>
      </c>
      <c r="C9" s="3" t="s">
        <v>670</v>
      </c>
      <c r="D9" s="14">
        <v>3</v>
      </c>
      <c r="F9" s="33"/>
      <c r="L9" s="38"/>
    </row>
    <row r="10" spans="1:12" x14ac:dyDescent="0.3">
      <c r="A10" s="39">
        <v>41643</v>
      </c>
      <c r="B10" s="3" t="s">
        <v>671</v>
      </c>
      <c r="C10" s="3" t="s">
        <v>672</v>
      </c>
      <c r="D10" s="14">
        <v>15</v>
      </c>
      <c r="F10" s="33"/>
      <c r="L10" s="38"/>
    </row>
    <row r="11" spans="1:12" x14ac:dyDescent="0.3">
      <c r="A11" s="39">
        <v>41643</v>
      </c>
      <c r="B11" s="3" t="s">
        <v>673</v>
      </c>
      <c r="C11" s="3" t="s">
        <v>674</v>
      </c>
      <c r="D11" s="14">
        <v>2</v>
      </c>
      <c r="F11" s="91" t="s">
        <v>660</v>
      </c>
      <c r="G11" s="71">
        <v>2</v>
      </c>
      <c r="L11" s="38"/>
    </row>
    <row r="12" spans="1:12" x14ac:dyDescent="0.3">
      <c r="A12" s="39">
        <v>41643</v>
      </c>
      <c r="B12" s="3" t="s">
        <v>675</v>
      </c>
      <c r="C12" s="3" t="s">
        <v>674</v>
      </c>
      <c r="D12" s="14">
        <v>2</v>
      </c>
      <c r="F12" s="91" t="s">
        <v>730</v>
      </c>
      <c r="G12" s="47">
        <v>41640</v>
      </c>
      <c r="I12" s="86" t="s">
        <v>656</v>
      </c>
      <c r="L12" s="38"/>
    </row>
    <row r="13" spans="1:12" x14ac:dyDescent="0.3">
      <c r="A13" s="39">
        <v>41643</v>
      </c>
      <c r="B13" s="3" t="s">
        <v>676</v>
      </c>
      <c r="C13" s="3" t="s">
        <v>677</v>
      </c>
      <c r="D13" s="14">
        <v>2</v>
      </c>
      <c r="F13" s="91" t="s">
        <v>655</v>
      </c>
      <c r="G13" s="47">
        <v>41645</v>
      </c>
      <c r="I13" t="b">
        <f>AND($A3&gt;=$G$12,$A3&lt;=$G$13,$D3&gt;$G$11)</f>
        <v>1</v>
      </c>
      <c r="L13" s="38"/>
    </row>
    <row r="14" spans="1:12" x14ac:dyDescent="0.3">
      <c r="A14" s="39">
        <v>41643</v>
      </c>
      <c r="B14" s="3" t="s">
        <v>678</v>
      </c>
      <c r="C14" s="3" t="s">
        <v>670</v>
      </c>
      <c r="D14" s="14">
        <v>2</v>
      </c>
      <c r="F14" s="33"/>
      <c r="L14" s="38"/>
    </row>
    <row r="15" spans="1:12" x14ac:dyDescent="0.3">
      <c r="A15" s="39">
        <v>41643</v>
      </c>
      <c r="B15" s="3" t="s">
        <v>679</v>
      </c>
      <c r="C15" s="3" t="s">
        <v>662</v>
      </c>
      <c r="D15" s="14">
        <v>6</v>
      </c>
      <c r="F15" s="33"/>
      <c r="L15" s="38"/>
    </row>
    <row r="16" spans="1:12" x14ac:dyDescent="0.3">
      <c r="A16" s="39">
        <v>41644</v>
      </c>
      <c r="B16" s="3" t="s">
        <v>680</v>
      </c>
      <c r="C16" s="3" t="s">
        <v>669</v>
      </c>
      <c r="D16" s="14">
        <v>4</v>
      </c>
      <c r="F16" s="33"/>
      <c r="L16" s="38"/>
    </row>
    <row r="17" spans="1:12" x14ac:dyDescent="0.3">
      <c r="A17" s="39">
        <v>41644</v>
      </c>
      <c r="B17" s="3" t="s">
        <v>681</v>
      </c>
      <c r="C17" s="3" t="s">
        <v>670</v>
      </c>
      <c r="D17" s="14">
        <v>3</v>
      </c>
      <c r="F17" s="33"/>
      <c r="L17" s="38"/>
    </row>
    <row r="18" spans="1:12" x14ac:dyDescent="0.3">
      <c r="A18" s="39">
        <v>41644</v>
      </c>
      <c r="B18" s="3" t="s">
        <v>666</v>
      </c>
      <c r="C18" s="3" t="s">
        <v>674</v>
      </c>
      <c r="D18" s="14">
        <v>2</v>
      </c>
      <c r="F18" s="92" t="s">
        <v>657</v>
      </c>
      <c r="G18" s="93" t="s">
        <v>658</v>
      </c>
      <c r="H18" s="93" t="s">
        <v>659</v>
      </c>
      <c r="I18" s="94" t="s">
        <v>660</v>
      </c>
      <c r="L18" s="38"/>
    </row>
    <row r="19" spans="1:12" x14ac:dyDescent="0.3">
      <c r="A19" s="39">
        <v>41644</v>
      </c>
      <c r="B19" s="3" t="s">
        <v>682</v>
      </c>
      <c r="C19" s="3" t="s">
        <v>670</v>
      </c>
      <c r="D19" s="14">
        <v>1</v>
      </c>
      <c r="F19" s="39">
        <v>41640</v>
      </c>
      <c r="G19" s="3" t="s">
        <v>731</v>
      </c>
      <c r="H19" s="3" t="s">
        <v>662</v>
      </c>
      <c r="I19" s="14">
        <v>4</v>
      </c>
      <c r="L19" s="38"/>
    </row>
    <row r="20" spans="1:12" x14ac:dyDescent="0.3">
      <c r="A20" s="39">
        <v>41644</v>
      </c>
      <c r="B20" s="3" t="s">
        <v>683</v>
      </c>
      <c r="C20" s="3" t="s">
        <v>664</v>
      </c>
      <c r="D20" s="14">
        <v>19</v>
      </c>
      <c r="F20" s="39">
        <v>41641</v>
      </c>
      <c r="G20" s="3" t="s">
        <v>667</v>
      </c>
      <c r="H20" s="3" t="s">
        <v>668</v>
      </c>
      <c r="I20" s="14">
        <v>4</v>
      </c>
    </row>
    <row r="21" spans="1:12" x14ac:dyDescent="0.3">
      <c r="A21" s="39">
        <v>41644</v>
      </c>
      <c r="B21" s="3" t="s">
        <v>684</v>
      </c>
      <c r="C21" s="3" t="s">
        <v>674</v>
      </c>
      <c r="D21" s="14">
        <v>3</v>
      </c>
      <c r="F21" s="39">
        <v>41642</v>
      </c>
      <c r="G21" s="3" t="s">
        <v>667</v>
      </c>
      <c r="H21" s="3" t="s">
        <v>670</v>
      </c>
      <c r="I21" s="14">
        <v>3</v>
      </c>
    </row>
    <row r="22" spans="1:12" x14ac:dyDescent="0.3">
      <c r="A22" s="39">
        <v>41644</v>
      </c>
      <c r="B22" s="3" t="s">
        <v>685</v>
      </c>
      <c r="C22" s="3" t="s">
        <v>669</v>
      </c>
      <c r="D22" s="14">
        <v>2</v>
      </c>
      <c r="F22" s="39">
        <v>41643</v>
      </c>
      <c r="G22" s="3" t="s">
        <v>671</v>
      </c>
      <c r="H22" s="3" t="s">
        <v>672</v>
      </c>
      <c r="I22" s="14">
        <v>15</v>
      </c>
    </row>
    <row r="23" spans="1:12" x14ac:dyDescent="0.3">
      <c r="A23" s="39">
        <v>41644</v>
      </c>
      <c r="B23" s="3" t="s">
        <v>686</v>
      </c>
      <c r="C23" s="3" t="s">
        <v>664</v>
      </c>
      <c r="D23" s="14">
        <v>1</v>
      </c>
      <c r="F23" s="39">
        <v>41643</v>
      </c>
      <c r="G23" s="3" t="s">
        <v>679</v>
      </c>
      <c r="H23" s="3" t="s">
        <v>662</v>
      </c>
      <c r="I23" s="14">
        <v>6</v>
      </c>
    </row>
    <row r="24" spans="1:12" x14ac:dyDescent="0.3">
      <c r="A24" s="39">
        <v>41644</v>
      </c>
      <c r="B24" s="3" t="s">
        <v>687</v>
      </c>
      <c r="C24" s="3" t="s">
        <v>664</v>
      </c>
      <c r="D24" s="14">
        <v>2</v>
      </c>
      <c r="F24" s="39">
        <v>41644</v>
      </c>
      <c r="G24" s="3" t="s">
        <v>680</v>
      </c>
      <c r="H24" s="3" t="s">
        <v>669</v>
      </c>
      <c r="I24" s="14">
        <v>4</v>
      </c>
    </row>
    <row r="25" spans="1:12" x14ac:dyDescent="0.3">
      <c r="A25" s="39">
        <v>41644</v>
      </c>
      <c r="B25" s="3" t="s">
        <v>688</v>
      </c>
      <c r="C25" s="3" t="s">
        <v>689</v>
      </c>
      <c r="D25" s="14">
        <v>3</v>
      </c>
      <c r="F25" s="39">
        <v>41644</v>
      </c>
      <c r="G25" s="3" t="s">
        <v>681</v>
      </c>
      <c r="H25" s="3" t="s">
        <v>670</v>
      </c>
      <c r="I25" s="14">
        <v>3</v>
      </c>
    </row>
    <row r="26" spans="1:12" x14ac:dyDescent="0.3">
      <c r="A26" s="39">
        <v>41645</v>
      </c>
      <c r="B26" s="3" t="s">
        <v>676</v>
      </c>
      <c r="C26" s="3" t="s">
        <v>689</v>
      </c>
      <c r="D26" s="14">
        <v>2</v>
      </c>
      <c r="F26" s="39">
        <v>41644</v>
      </c>
      <c r="G26" s="3" t="s">
        <v>683</v>
      </c>
      <c r="H26" s="3" t="s">
        <v>664</v>
      </c>
      <c r="I26" s="14">
        <v>19</v>
      </c>
    </row>
    <row r="27" spans="1:12" x14ac:dyDescent="0.3">
      <c r="A27" s="39">
        <v>41645</v>
      </c>
      <c r="B27" s="3" t="s">
        <v>690</v>
      </c>
      <c r="C27" s="3" t="s">
        <v>664</v>
      </c>
      <c r="D27" s="14">
        <v>1</v>
      </c>
      <c r="F27" s="39">
        <v>41644</v>
      </c>
      <c r="G27" s="3" t="s">
        <v>684</v>
      </c>
      <c r="H27" s="3" t="s">
        <v>674</v>
      </c>
      <c r="I27" s="14">
        <v>3</v>
      </c>
    </row>
    <row r="28" spans="1:12" x14ac:dyDescent="0.3">
      <c r="A28" s="39">
        <v>41646</v>
      </c>
      <c r="B28" s="3" t="s">
        <v>691</v>
      </c>
      <c r="C28" s="3" t="s">
        <v>674</v>
      </c>
      <c r="D28" s="14">
        <v>2</v>
      </c>
      <c r="F28" s="39">
        <v>41644</v>
      </c>
      <c r="G28" s="3" t="s">
        <v>688</v>
      </c>
      <c r="H28" s="3" t="s">
        <v>689</v>
      </c>
      <c r="I28" s="14">
        <v>3</v>
      </c>
    </row>
    <row r="29" spans="1:12" x14ac:dyDescent="0.3">
      <c r="A29" s="39">
        <v>41646</v>
      </c>
      <c r="B29" s="3" t="s">
        <v>675</v>
      </c>
      <c r="C29" s="3" t="s">
        <v>677</v>
      </c>
      <c r="D29" s="14">
        <v>1</v>
      </c>
      <c r="F29" s="33"/>
    </row>
    <row r="30" spans="1:12" x14ac:dyDescent="0.3">
      <c r="A30" s="39">
        <v>41646</v>
      </c>
      <c r="B30" s="3" t="s">
        <v>667</v>
      </c>
      <c r="C30" s="3" t="s">
        <v>674</v>
      </c>
      <c r="D30" s="14">
        <v>2</v>
      </c>
      <c r="F30" s="33"/>
    </row>
    <row r="31" spans="1:12" x14ac:dyDescent="0.3">
      <c r="A31" s="39">
        <v>41646</v>
      </c>
      <c r="B31" s="3" t="s">
        <v>687</v>
      </c>
      <c r="C31" s="3" t="s">
        <v>689</v>
      </c>
      <c r="D31" s="14">
        <v>2</v>
      </c>
      <c r="F31" s="33"/>
    </row>
    <row r="32" spans="1:12" x14ac:dyDescent="0.3">
      <c r="A32" s="39">
        <v>41646</v>
      </c>
      <c r="B32" s="3" t="s">
        <v>685</v>
      </c>
      <c r="C32" s="3" t="s">
        <v>672</v>
      </c>
      <c r="D32" s="14">
        <v>1</v>
      </c>
      <c r="F32" s="33"/>
    </row>
    <row r="33" spans="1:7" x14ac:dyDescent="0.3">
      <c r="A33" s="39">
        <v>41646</v>
      </c>
      <c r="B33" s="3" t="s">
        <v>692</v>
      </c>
      <c r="C33" s="3" t="s">
        <v>665</v>
      </c>
      <c r="D33" s="14">
        <v>3</v>
      </c>
      <c r="G33" s="33"/>
    </row>
    <row r="34" spans="1:7" x14ac:dyDescent="0.3">
      <c r="A34" s="39">
        <v>41646</v>
      </c>
      <c r="B34" s="3" t="s">
        <v>667</v>
      </c>
      <c r="C34" s="3" t="s">
        <v>668</v>
      </c>
      <c r="D34" s="14">
        <v>1</v>
      </c>
      <c r="G34" s="33"/>
    </row>
    <row r="35" spans="1:7" x14ac:dyDescent="0.3">
      <c r="A35" s="39">
        <v>41647</v>
      </c>
      <c r="B35" s="3" t="s">
        <v>693</v>
      </c>
      <c r="C35" s="3" t="s">
        <v>664</v>
      </c>
      <c r="D35" s="14">
        <v>3</v>
      </c>
      <c r="G35" s="33"/>
    </row>
    <row r="36" spans="1:7" x14ac:dyDescent="0.3">
      <c r="A36" s="39">
        <v>41647</v>
      </c>
      <c r="B36" s="3" t="s">
        <v>694</v>
      </c>
      <c r="C36" s="3" t="s">
        <v>664</v>
      </c>
      <c r="D36" s="14">
        <v>2</v>
      </c>
      <c r="G36" s="33"/>
    </row>
    <row r="37" spans="1:7" x14ac:dyDescent="0.3">
      <c r="A37" s="39">
        <v>41647</v>
      </c>
      <c r="B37" s="3" t="s">
        <v>661</v>
      </c>
      <c r="C37" s="3" t="s">
        <v>662</v>
      </c>
      <c r="D37" s="14">
        <v>3</v>
      </c>
      <c r="G37" s="33"/>
    </row>
    <row r="38" spans="1:7" x14ac:dyDescent="0.3">
      <c r="A38" s="39">
        <v>41647</v>
      </c>
      <c r="B38" s="3" t="s">
        <v>676</v>
      </c>
      <c r="C38" s="3" t="s">
        <v>670</v>
      </c>
      <c r="D38" s="14">
        <v>21</v>
      </c>
      <c r="G38" s="33"/>
    </row>
    <row r="39" spans="1:7" x14ac:dyDescent="0.3">
      <c r="A39" s="39">
        <v>41648</v>
      </c>
      <c r="B39" s="3" t="s">
        <v>695</v>
      </c>
      <c r="C39" s="3" t="s">
        <v>674</v>
      </c>
      <c r="D39" s="14">
        <v>3</v>
      </c>
      <c r="G39" s="33"/>
    </row>
    <row r="40" spans="1:7" x14ac:dyDescent="0.3">
      <c r="A40" s="39">
        <v>41648</v>
      </c>
      <c r="B40" s="3" t="s">
        <v>666</v>
      </c>
      <c r="C40" s="3" t="s">
        <v>662</v>
      </c>
      <c r="D40" s="14">
        <v>2</v>
      </c>
      <c r="G40" s="33"/>
    </row>
    <row r="41" spans="1:7" x14ac:dyDescent="0.3">
      <c r="A41" s="39">
        <v>41648</v>
      </c>
      <c r="B41" s="3" t="s">
        <v>671</v>
      </c>
      <c r="C41" s="3" t="s">
        <v>662</v>
      </c>
      <c r="D41" s="14">
        <v>3</v>
      </c>
      <c r="G41" s="33"/>
    </row>
    <row r="42" spans="1:7" x14ac:dyDescent="0.3">
      <c r="A42" s="39">
        <v>41648</v>
      </c>
      <c r="B42" s="3" t="s">
        <v>681</v>
      </c>
      <c r="C42" s="3" t="s">
        <v>665</v>
      </c>
      <c r="D42" s="14">
        <v>2</v>
      </c>
      <c r="G42" s="33"/>
    </row>
    <row r="43" spans="1:7" x14ac:dyDescent="0.3">
      <c r="A43" s="39">
        <v>41649</v>
      </c>
      <c r="B43" s="3" t="s">
        <v>696</v>
      </c>
      <c r="C43" s="3" t="s">
        <v>669</v>
      </c>
      <c r="D43" s="14">
        <v>1</v>
      </c>
      <c r="G43" s="33"/>
    </row>
    <row r="44" spans="1:7" x14ac:dyDescent="0.3">
      <c r="A44" s="39">
        <v>41649</v>
      </c>
      <c r="B44" s="3" t="s">
        <v>697</v>
      </c>
      <c r="C44" s="3" t="s">
        <v>669</v>
      </c>
      <c r="D44" s="14">
        <v>2</v>
      </c>
      <c r="G44" s="33"/>
    </row>
    <row r="45" spans="1:7" x14ac:dyDescent="0.3">
      <c r="A45" s="39">
        <v>41649</v>
      </c>
      <c r="B45" s="3" t="s">
        <v>698</v>
      </c>
      <c r="C45" s="3" t="s">
        <v>699</v>
      </c>
      <c r="D45" s="14">
        <v>3</v>
      </c>
      <c r="G45" s="33"/>
    </row>
    <row r="46" spans="1:7" x14ac:dyDescent="0.3">
      <c r="A46" s="39">
        <v>41649</v>
      </c>
      <c r="B46" s="3" t="s">
        <v>685</v>
      </c>
      <c r="C46" s="3" t="s">
        <v>664</v>
      </c>
      <c r="D46" s="14">
        <v>1</v>
      </c>
      <c r="G46" s="33"/>
    </row>
    <row r="47" spans="1:7" x14ac:dyDescent="0.3">
      <c r="A47" s="39">
        <v>41650</v>
      </c>
      <c r="B47" s="3" t="s">
        <v>683</v>
      </c>
      <c r="C47" s="3" t="s">
        <v>670</v>
      </c>
      <c r="D47" s="14">
        <v>1</v>
      </c>
      <c r="G47" s="33"/>
    </row>
    <row r="48" spans="1:7" x14ac:dyDescent="0.3">
      <c r="A48" s="39">
        <v>41650</v>
      </c>
      <c r="B48" s="3" t="s">
        <v>700</v>
      </c>
      <c r="C48" s="3" t="s">
        <v>699</v>
      </c>
      <c r="D48" s="14">
        <v>19</v>
      </c>
      <c r="G48" s="33"/>
    </row>
    <row r="49" spans="1:7" x14ac:dyDescent="0.3">
      <c r="A49" s="39">
        <v>41650</v>
      </c>
      <c r="B49" s="3" t="s">
        <v>678</v>
      </c>
      <c r="C49" s="3" t="s">
        <v>665</v>
      </c>
      <c r="D49" s="14">
        <v>2</v>
      </c>
      <c r="G49" s="33"/>
    </row>
    <row r="50" spans="1:7" x14ac:dyDescent="0.3">
      <c r="A50" s="39">
        <v>41650</v>
      </c>
      <c r="B50" s="3" t="s">
        <v>701</v>
      </c>
      <c r="C50" s="3" t="s">
        <v>670</v>
      </c>
      <c r="D50" s="14">
        <v>1</v>
      </c>
      <c r="G50" s="33"/>
    </row>
    <row r="51" spans="1:7" x14ac:dyDescent="0.3">
      <c r="A51" s="39">
        <v>41650</v>
      </c>
      <c r="B51" s="3" t="s">
        <v>702</v>
      </c>
      <c r="C51" s="3" t="s">
        <v>662</v>
      </c>
      <c r="D51" s="14">
        <v>2</v>
      </c>
      <c r="G51" s="33"/>
    </row>
    <row r="52" spans="1:7" x14ac:dyDescent="0.3">
      <c r="A52" s="39">
        <v>41650</v>
      </c>
      <c r="B52" s="3" t="s">
        <v>703</v>
      </c>
      <c r="C52" s="3" t="s">
        <v>668</v>
      </c>
      <c r="D52" s="14">
        <v>2</v>
      </c>
      <c r="G52" s="33"/>
    </row>
    <row r="53" spans="1:7" x14ac:dyDescent="0.3">
      <c r="A53" s="39">
        <v>41650</v>
      </c>
      <c r="B53" s="3" t="s">
        <v>704</v>
      </c>
      <c r="C53" s="3" t="s">
        <v>699</v>
      </c>
      <c r="D53" s="14">
        <v>2</v>
      </c>
      <c r="G53" s="33"/>
    </row>
    <row r="54" spans="1:7" x14ac:dyDescent="0.3">
      <c r="A54" s="39">
        <v>41650</v>
      </c>
      <c r="B54" s="3" t="s">
        <v>705</v>
      </c>
      <c r="C54" s="3" t="s">
        <v>699</v>
      </c>
      <c r="D54" s="14">
        <v>3</v>
      </c>
      <c r="G54" s="33"/>
    </row>
    <row r="55" spans="1:7" x14ac:dyDescent="0.3">
      <c r="A55" s="39">
        <v>41650</v>
      </c>
      <c r="B55" s="3" t="s">
        <v>706</v>
      </c>
      <c r="C55" s="3" t="s">
        <v>669</v>
      </c>
      <c r="D55" s="14">
        <v>1</v>
      </c>
      <c r="G55" s="33"/>
    </row>
    <row r="56" spans="1:7" x14ac:dyDescent="0.3">
      <c r="A56" s="39">
        <v>41651</v>
      </c>
      <c r="B56" s="3" t="s">
        <v>663</v>
      </c>
      <c r="C56" s="3" t="s">
        <v>689</v>
      </c>
      <c r="D56" s="14">
        <v>2</v>
      </c>
      <c r="G56" s="33"/>
    </row>
    <row r="57" spans="1:7" x14ac:dyDescent="0.3">
      <c r="A57" s="39">
        <v>41651</v>
      </c>
      <c r="B57" s="3" t="s">
        <v>663</v>
      </c>
      <c r="C57" s="3" t="s">
        <v>672</v>
      </c>
      <c r="D57" s="14">
        <v>1</v>
      </c>
      <c r="G57" s="33"/>
    </row>
    <row r="58" spans="1:7" x14ac:dyDescent="0.3">
      <c r="A58" s="39">
        <v>41651</v>
      </c>
      <c r="B58" s="3" t="s">
        <v>707</v>
      </c>
      <c r="C58" s="3" t="s">
        <v>677</v>
      </c>
      <c r="D58" s="14">
        <v>1</v>
      </c>
      <c r="G58" s="33"/>
    </row>
    <row r="59" spans="1:7" x14ac:dyDescent="0.3">
      <c r="A59" s="39">
        <v>41651</v>
      </c>
      <c r="B59" s="3" t="s">
        <v>708</v>
      </c>
      <c r="C59" s="3" t="s">
        <v>674</v>
      </c>
      <c r="D59" s="14">
        <v>3</v>
      </c>
      <c r="G59" s="33"/>
    </row>
    <row r="60" spans="1:7" x14ac:dyDescent="0.3">
      <c r="A60" s="39">
        <v>41651</v>
      </c>
      <c r="B60" s="3" t="s">
        <v>673</v>
      </c>
      <c r="C60" s="3" t="s">
        <v>709</v>
      </c>
      <c r="D60" s="14">
        <v>1</v>
      </c>
      <c r="G60" s="33"/>
    </row>
    <row r="61" spans="1:7" x14ac:dyDescent="0.3">
      <c r="A61" s="39">
        <v>41651</v>
      </c>
      <c r="B61" s="3" t="s">
        <v>706</v>
      </c>
      <c r="C61" s="3" t="s">
        <v>664</v>
      </c>
      <c r="D61" s="14">
        <v>2</v>
      </c>
      <c r="G61" s="33"/>
    </row>
    <row r="62" spans="1:7" x14ac:dyDescent="0.3">
      <c r="A62" s="39">
        <v>41652</v>
      </c>
      <c r="B62" s="3" t="s">
        <v>710</v>
      </c>
      <c r="C62" s="3" t="s">
        <v>670</v>
      </c>
      <c r="D62" s="14">
        <v>2</v>
      </c>
      <c r="G62" s="33"/>
    </row>
    <row r="63" spans="1:7" x14ac:dyDescent="0.3">
      <c r="A63" s="39">
        <v>41652</v>
      </c>
      <c r="B63" s="3" t="s">
        <v>676</v>
      </c>
      <c r="C63" s="3" t="s">
        <v>674</v>
      </c>
      <c r="D63" s="14">
        <v>4</v>
      </c>
      <c r="G63" s="33"/>
    </row>
    <row r="64" spans="1:7" x14ac:dyDescent="0.3">
      <c r="A64" s="39">
        <v>41652</v>
      </c>
      <c r="B64" s="3" t="s">
        <v>711</v>
      </c>
      <c r="C64" s="3" t="s">
        <v>662</v>
      </c>
      <c r="D64" s="14">
        <v>3</v>
      </c>
      <c r="G64" s="33"/>
    </row>
    <row r="65" spans="1:7" x14ac:dyDescent="0.3">
      <c r="A65" s="39">
        <v>41652</v>
      </c>
      <c r="B65" s="3" t="s">
        <v>673</v>
      </c>
      <c r="C65" s="3" t="s">
        <v>665</v>
      </c>
      <c r="D65" s="14">
        <v>2</v>
      </c>
      <c r="G65" s="33"/>
    </row>
    <row r="66" spans="1:7" x14ac:dyDescent="0.3">
      <c r="A66" s="39">
        <v>41653</v>
      </c>
      <c r="B66" s="3" t="s">
        <v>704</v>
      </c>
      <c r="C66" s="3" t="s">
        <v>670</v>
      </c>
      <c r="D66" s="14">
        <v>4</v>
      </c>
      <c r="G66" s="33"/>
    </row>
    <row r="67" spans="1:7" x14ac:dyDescent="0.3">
      <c r="A67" s="39">
        <v>41653</v>
      </c>
      <c r="B67" s="3" t="s">
        <v>666</v>
      </c>
      <c r="C67" s="3" t="s">
        <v>677</v>
      </c>
      <c r="D67" s="14">
        <v>2</v>
      </c>
      <c r="G67" s="33"/>
    </row>
    <row r="68" spans="1:7" x14ac:dyDescent="0.3">
      <c r="A68" s="39">
        <v>41653</v>
      </c>
      <c r="B68" s="3" t="s">
        <v>687</v>
      </c>
      <c r="C68" s="3" t="s">
        <v>670</v>
      </c>
      <c r="D68" s="14">
        <v>15</v>
      </c>
      <c r="G68" s="33"/>
    </row>
    <row r="69" spans="1:7" x14ac:dyDescent="0.3">
      <c r="A69" s="39">
        <v>41653</v>
      </c>
      <c r="B69" s="3" t="s">
        <v>712</v>
      </c>
      <c r="C69" s="3" t="s">
        <v>670</v>
      </c>
      <c r="D69" s="14">
        <v>2</v>
      </c>
      <c r="G69" s="33"/>
    </row>
    <row r="70" spans="1:7" x14ac:dyDescent="0.3">
      <c r="A70" s="39">
        <v>41653</v>
      </c>
      <c r="B70" s="3" t="s">
        <v>695</v>
      </c>
      <c r="C70" s="3" t="s">
        <v>672</v>
      </c>
      <c r="D70" s="14">
        <v>1</v>
      </c>
      <c r="G70" s="33"/>
    </row>
    <row r="71" spans="1:7" x14ac:dyDescent="0.3">
      <c r="A71" s="39">
        <v>41654</v>
      </c>
      <c r="B71" s="3" t="s">
        <v>701</v>
      </c>
      <c r="C71" s="3" t="s">
        <v>664</v>
      </c>
      <c r="D71" s="14">
        <v>2</v>
      </c>
      <c r="G71" s="33"/>
    </row>
    <row r="72" spans="1:7" x14ac:dyDescent="0.3">
      <c r="A72" s="39">
        <v>41654</v>
      </c>
      <c r="B72" s="3" t="s">
        <v>698</v>
      </c>
      <c r="C72" s="3" t="s">
        <v>665</v>
      </c>
      <c r="D72" s="14">
        <v>3</v>
      </c>
      <c r="G72" s="33"/>
    </row>
    <row r="73" spans="1:7" x14ac:dyDescent="0.3">
      <c r="A73" s="39">
        <v>41654</v>
      </c>
      <c r="B73" s="3" t="s">
        <v>666</v>
      </c>
      <c r="C73" s="3" t="s">
        <v>664</v>
      </c>
      <c r="D73" s="14">
        <v>1</v>
      </c>
      <c r="G73" s="33"/>
    </row>
    <row r="74" spans="1:7" x14ac:dyDescent="0.3">
      <c r="A74" s="39">
        <v>41654</v>
      </c>
      <c r="B74" s="3" t="s">
        <v>713</v>
      </c>
      <c r="C74" s="3" t="s">
        <v>674</v>
      </c>
      <c r="D74" s="14">
        <v>3</v>
      </c>
      <c r="G74" s="33"/>
    </row>
    <row r="75" spans="1:7" x14ac:dyDescent="0.3">
      <c r="A75" s="39">
        <v>41654</v>
      </c>
      <c r="B75" s="3" t="s">
        <v>698</v>
      </c>
      <c r="C75" s="3" t="s">
        <v>677</v>
      </c>
      <c r="D75" s="14">
        <v>1</v>
      </c>
      <c r="G75" s="33"/>
    </row>
    <row r="76" spans="1:7" x14ac:dyDescent="0.3">
      <c r="A76" s="39">
        <v>41654</v>
      </c>
      <c r="B76" s="3" t="s">
        <v>676</v>
      </c>
      <c r="C76" s="3" t="s">
        <v>670</v>
      </c>
      <c r="D76" s="14">
        <v>2</v>
      </c>
      <c r="G76" s="33"/>
    </row>
    <row r="77" spans="1:7" x14ac:dyDescent="0.3">
      <c r="A77" s="39">
        <v>41655</v>
      </c>
      <c r="B77" s="3" t="s">
        <v>698</v>
      </c>
      <c r="C77" s="3" t="s">
        <v>674</v>
      </c>
      <c r="D77" s="14">
        <v>2</v>
      </c>
      <c r="G77" s="33"/>
    </row>
    <row r="78" spans="1:7" x14ac:dyDescent="0.3">
      <c r="A78" s="39">
        <v>41655</v>
      </c>
      <c r="B78" s="3" t="s">
        <v>714</v>
      </c>
      <c r="C78" s="3" t="s">
        <v>689</v>
      </c>
      <c r="D78" s="14">
        <v>2</v>
      </c>
      <c r="G78" s="33"/>
    </row>
    <row r="79" spans="1:7" x14ac:dyDescent="0.3">
      <c r="A79" s="39">
        <v>41655</v>
      </c>
      <c r="B79" s="3" t="s">
        <v>710</v>
      </c>
      <c r="C79" s="3" t="s">
        <v>672</v>
      </c>
      <c r="D79" s="14">
        <v>3</v>
      </c>
      <c r="G79" s="33"/>
    </row>
    <row r="80" spans="1:7" x14ac:dyDescent="0.3">
      <c r="A80" s="39">
        <v>41655</v>
      </c>
      <c r="B80" s="3" t="s">
        <v>703</v>
      </c>
      <c r="C80" s="3" t="s">
        <v>664</v>
      </c>
      <c r="D80" s="14">
        <v>2</v>
      </c>
      <c r="G80" s="33"/>
    </row>
    <row r="81" spans="1:7" x14ac:dyDescent="0.3">
      <c r="A81" s="39">
        <v>41656</v>
      </c>
      <c r="B81" s="3" t="s">
        <v>667</v>
      </c>
      <c r="C81" s="3" t="s">
        <v>665</v>
      </c>
      <c r="D81" s="14">
        <v>2</v>
      </c>
      <c r="G81" s="33"/>
    </row>
    <row r="82" spans="1:7" x14ac:dyDescent="0.3">
      <c r="A82" s="39">
        <v>41656</v>
      </c>
      <c r="B82" s="3" t="s">
        <v>671</v>
      </c>
      <c r="C82" s="3" t="s">
        <v>674</v>
      </c>
      <c r="D82" s="14">
        <v>3</v>
      </c>
      <c r="G82" s="33"/>
    </row>
    <row r="83" spans="1:7" x14ac:dyDescent="0.3">
      <c r="A83" s="39">
        <v>41656</v>
      </c>
      <c r="B83" s="3" t="s">
        <v>715</v>
      </c>
      <c r="C83" s="3" t="s">
        <v>662</v>
      </c>
      <c r="D83" s="14">
        <v>2</v>
      </c>
      <c r="G83" s="33"/>
    </row>
    <row r="84" spans="1:7" x14ac:dyDescent="0.3">
      <c r="A84" s="39">
        <v>41656</v>
      </c>
      <c r="B84" s="3" t="s">
        <v>703</v>
      </c>
      <c r="C84" s="3" t="s">
        <v>699</v>
      </c>
      <c r="D84" s="14">
        <v>1</v>
      </c>
      <c r="G84" s="33"/>
    </row>
    <row r="85" spans="1:7" x14ac:dyDescent="0.3">
      <c r="A85" s="39">
        <v>41656</v>
      </c>
      <c r="B85" s="3" t="s">
        <v>716</v>
      </c>
      <c r="C85" s="3" t="s">
        <v>662</v>
      </c>
      <c r="D85" s="14">
        <v>1</v>
      </c>
      <c r="G85" s="33"/>
    </row>
    <row r="86" spans="1:7" x14ac:dyDescent="0.3">
      <c r="A86" s="39">
        <v>41656</v>
      </c>
      <c r="B86" s="3" t="s">
        <v>708</v>
      </c>
      <c r="C86" s="3" t="s">
        <v>672</v>
      </c>
      <c r="D86" s="14">
        <v>1</v>
      </c>
      <c r="G86" s="33"/>
    </row>
    <row r="87" spans="1:7" x14ac:dyDescent="0.3">
      <c r="A87" s="39">
        <v>41656</v>
      </c>
      <c r="B87" s="3" t="s">
        <v>675</v>
      </c>
      <c r="C87" s="3" t="s">
        <v>664</v>
      </c>
      <c r="D87" s="14">
        <v>2</v>
      </c>
      <c r="G87" s="33"/>
    </row>
    <row r="88" spans="1:7" x14ac:dyDescent="0.3">
      <c r="A88" s="39">
        <v>41656</v>
      </c>
      <c r="B88" s="3" t="s">
        <v>682</v>
      </c>
      <c r="C88" s="3" t="s">
        <v>709</v>
      </c>
      <c r="D88" s="14">
        <v>3</v>
      </c>
      <c r="G88" s="33"/>
    </row>
    <row r="89" spans="1:7" x14ac:dyDescent="0.3">
      <c r="A89" s="39">
        <v>41657</v>
      </c>
      <c r="B89" s="3" t="s">
        <v>666</v>
      </c>
      <c r="C89" s="3" t="s">
        <v>677</v>
      </c>
      <c r="D89" s="14">
        <v>3</v>
      </c>
      <c r="G89" s="33"/>
    </row>
    <row r="90" spans="1:7" x14ac:dyDescent="0.3">
      <c r="A90" s="39">
        <v>41657</v>
      </c>
      <c r="B90" s="3" t="s">
        <v>717</v>
      </c>
      <c r="C90" s="3" t="s">
        <v>665</v>
      </c>
      <c r="D90" s="14">
        <v>2</v>
      </c>
      <c r="G90" s="33"/>
    </row>
    <row r="91" spans="1:7" x14ac:dyDescent="0.3">
      <c r="A91" s="39">
        <v>41657</v>
      </c>
      <c r="B91" s="3" t="s">
        <v>718</v>
      </c>
      <c r="C91" s="3" t="s">
        <v>670</v>
      </c>
      <c r="D91" s="14">
        <v>3</v>
      </c>
      <c r="G91" s="33"/>
    </row>
    <row r="92" spans="1:7" x14ac:dyDescent="0.3">
      <c r="A92" s="39">
        <v>41657</v>
      </c>
      <c r="B92" s="3" t="s">
        <v>694</v>
      </c>
      <c r="C92" s="3" t="s">
        <v>664</v>
      </c>
      <c r="D92" s="14">
        <v>3</v>
      </c>
      <c r="G92" s="33"/>
    </row>
    <row r="93" spans="1:7" x14ac:dyDescent="0.3">
      <c r="A93" s="39">
        <v>41658</v>
      </c>
      <c r="B93" s="3" t="s">
        <v>681</v>
      </c>
      <c r="C93" s="3" t="s">
        <v>668</v>
      </c>
      <c r="D93" s="14">
        <v>3</v>
      </c>
      <c r="G93" s="33"/>
    </row>
    <row r="94" spans="1:7" x14ac:dyDescent="0.3">
      <c r="A94" s="39">
        <v>41658</v>
      </c>
      <c r="B94" s="3" t="s">
        <v>700</v>
      </c>
      <c r="C94" s="3" t="s">
        <v>672</v>
      </c>
      <c r="D94" s="14">
        <v>3</v>
      </c>
      <c r="G94" s="33"/>
    </row>
    <row r="95" spans="1:7" x14ac:dyDescent="0.3">
      <c r="A95" s="39">
        <v>41659</v>
      </c>
      <c r="B95" s="3" t="s">
        <v>719</v>
      </c>
      <c r="C95" s="3" t="s">
        <v>662</v>
      </c>
      <c r="D95" s="14">
        <v>1</v>
      </c>
      <c r="G95" s="33"/>
    </row>
    <row r="96" spans="1:7" x14ac:dyDescent="0.3">
      <c r="A96" s="39">
        <v>41659</v>
      </c>
      <c r="B96" s="3" t="s">
        <v>678</v>
      </c>
      <c r="C96" s="3" t="s">
        <v>674</v>
      </c>
      <c r="D96" s="14">
        <v>3</v>
      </c>
      <c r="G96" s="33"/>
    </row>
    <row r="97" spans="1:7" x14ac:dyDescent="0.3">
      <c r="A97" s="39">
        <v>41659</v>
      </c>
      <c r="B97" s="3" t="s">
        <v>717</v>
      </c>
      <c r="C97" s="3" t="s">
        <v>668</v>
      </c>
      <c r="D97" s="14">
        <v>21</v>
      </c>
      <c r="G97" s="33"/>
    </row>
    <row r="98" spans="1:7" x14ac:dyDescent="0.3">
      <c r="A98" s="39">
        <v>41659</v>
      </c>
      <c r="B98" s="3" t="s">
        <v>708</v>
      </c>
      <c r="C98" s="3" t="s">
        <v>664</v>
      </c>
      <c r="D98" s="14">
        <v>2</v>
      </c>
      <c r="G98" s="33"/>
    </row>
    <row r="99" spans="1:7" x14ac:dyDescent="0.3">
      <c r="A99" s="39">
        <v>41659</v>
      </c>
      <c r="B99" s="3" t="s">
        <v>704</v>
      </c>
      <c r="C99" s="3" t="s">
        <v>664</v>
      </c>
      <c r="D99" s="14">
        <v>3</v>
      </c>
      <c r="G99" s="33"/>
    </row>
    <row r="100" spans="1:7" x14ac:dyDescent="0.3">
      <c r="A100" s="39">
        <v>41659</v>
      </c>
      <c r="B100" s="3" t="s">
        <v>663</v>
      </c>
      <c r="C100" s="3" t="s">
        <v>677</v>
      </c>
      <c r="D100" s="14">
        <v>12</v>
      </c>
      <c r="G100" s="33"/>
    </row>
    <row r="101" spans="1:7" x14ac:dyDescent="0.3">
      <c r="A101" s="39">
        <v>41660</v>
      </c>
      <c r="B101" s="3" t="s">
        <v>696</v>
      </c>
      <c r="C101" s="3" t="s">
        <v>664</v>
      </c>
      <c r="D101" s="14">
        <v>3</v>
      </c>
      <c r="G101" s="33"/>
    </row>
    <row r="102" spans="1:7" x14ac:dyDescent="0.3">
      <c r="A102" s="39">
        <v>41660</v>
      </c>
      <c r="B102" s="3" t="s">
        <v>707</v>
      </c>
      <c r="C102" s="3" t="s">
        <v>672</v>
      </c>
      <c r="D102" s="14">
        <v>2</v>
      </c>
      <c r="G102" s="33"/>
    </row>
    <row r="103" spans="1:7" x14ac:dyDescent="0.3">
      <c r="A103" s="39">
        <v>41660</v>
      </c>
      <c r="B103" s="3" t="s">
        <v>676</v>
      </c>
      <c r="C103" s="3" t="s">
        <v>672</v>
      </c>
      <c r="D103" s="14">
        <v>2</v>
      </c>
      <c r="G103" s="33"/>
    </row>
    <row r="104" spans="1:7" x14ac:dyDescent="0.3">
      <c r="A104" s="39">
        <v>41660</v>
      </c>
      <c r="B104" s="3" t="s">
        <v>718</v>
      </c>
      <c r="C104" s="3" t="s">
        <v>664</v>
      </c>
      <c r="D104" s="14">
        <v>3</v>
      </c>
      <c r="G104" s="33"/>
    </row>
    <row r="105" spans="1:7" x14ac:dyDescent="0.3">
      <c r="A105" s="39">
        <v>41660</v>
      </c>
      <c r="B105" s="3" t="s">
        <v>666</v>
      </c>
      <c r="C105" s="3" t="s">
        <v>662</v>
      </c>
      <c r="D105" s="14">
        <v>1</v>
      </c>
      <c r="G105" s="33"/>
    </row>
    <row r="106" spans="1:7" x14ac:dyDescent="0.3">
      <c r="A106" s="39">
        <v>41660</v>
      </c>
      <c r="B106" s="3" t="s">
        <v>705</v>
      </c>
      <c r="C106" s="3" t="s">
        <v>662</v>
      </c>
      <c r="D106" s="14">
        <v>3</v>
      </c>
      <c r="G106" s="33"/>
    </row>
    <row r="107" spans="1:7" x14ac:dyDescent="0.3">
      <c r="A107" s="39">
        <v>41660</v>
      </c>
      <c r="B107" s="3" t="s">
        <v>710</v>
      </c>
      <c r="C107" s="3" t="s">
        <v>672</v>
      </c>
      <c r="D107" s="14">
        <v>2</v>
      </c>
      <c r="G107" s="33"/>
    </row>
    <row r="108" spans="1:7" x14ac:dyDescent="0.3">
      <c r="A108" s="39">
        <v>41660</v>
      </c>
      <c r="B108" s="3" t="s">
        <v>675</v>
      </c>
      <c r="C108" s="3" t="s">
        <v>665</v>
      </c>
      <c r="D108" s="14">
        <v>1</v>
      </c>
      <c r="G108" s="33"/>
    </row>
    <row r="109" spans="1:7" x14ac:dyDescent="0.3">
      <c r="A109" s="39">
        <v>41661</v>
      </c>
      <c r="B109" s="3" t="s">
        <v>713</v>
      </c>
      <c r="C109" s="3" t="s">
        <v>662</v>
      </c>
      <c r="D109" s="14">
        <v>22</v>
      </c>
      <c r="G109" s="33"/>
    </row>
    <row r="110" spans="1:7" x14ac:dyDescent="0.3">
      <c r="A110" s="39">
        <v>41661</v>
      </c>
      <c r="B110" s="3" t="s">
        <v>700</v>
      </c>
      <c r="C110" s="3" t="s">
        <v>665</v>
      </c>
      <c r="D110" s="14">
        <v>2</v>
      </c>
      <c r="G110" s="33"/>
    </row>
    <row r="111" spans="1:7" x14ac:dyDescent="0.3">
      <c r="A111" s="39">
        <v>41661</v>
      </c>
      <c r="B111" s="3" t="s">
        <v>679</v>
      </c>
      <c r="C111" s="3" t="s">
        <v>670</v>
      </c>
      <c r="D111" s="14">
        <v>1</v>
      </c>
      <c r="G111" s="33"/>
    </row>
    <row r="112" spans="1:7" x14ac:dyDescent="0.3">
      <c r="A112" s="39">
        <v>41661</v>
      </c>
      <c r="B112" s="3" t="s">
        <v>720</v>
      </c>
      <c r="C112" s="3" t="s">
        <v>668</v>
      </c>
      <c r="D112" s="14">
        <v>19</v>
      </c>
      <c r="G112" s="33"/>
    </row>
    <row r="113" spans="1:7" x14ac:dyDescent="0.3">
      <c r="A113" s="39">
        <v>41661</v>
      </c>
      <c r="B113" s="3" t="s">
        <v>708</v>
      </c>
      <c r="C113" s="3" t="s">
        <v>674</v>
      </c>
      <c r="D113" s="14">
        <v>1</v>
      </c>
      <c r="G113" s="33"/>
    </row>
    <row r="114" spans="1:7" x14ac:dyDescent="0.3">
      <c r="A114" s="39">
        <v>41661</v>
      </c>
      <c r="B114" s="3" t="s">
        <v>711</v>
      </c>
      <c r="C114" s="3" t="s">
        <v>664</v>
      </c>
      <c r="D114" s="14">
        <v>2</v>
      </c>
      <c r="G114" s="33"/>
    </row>
    <row r="115" spans="1:7" x14ac:dyDescent="0.3">
      <c r="A115" s="39">
        <v>41662</v>
      </c>
      <c r="B115" s="3" t="s">
        <v>721</v>
      </c>
      <c r="C115" s="3" t="s">
        <v>674</v>
      </c>
      <c r="D115" s="14">
        <v>2</v>
      </c>
      <c r="G115" s="33"/>
    </row>
    <row r="116" spans="1:7" x14ac:dyDescent="0.3">
      <c r="A116" s="39">
        <v>41662</v>
      </c>
      <c r="B116" s="3" t="s">
        <v>722</v>
      </c>
      <c r="C116" s="3" t="s">
        <v>665</v>
      </c>
      <c r="D116" s="14">
        <v>2</v>
      </c>
      <c r="G116" s="33"/>
    </row>
    <row r="117" spans="1:7" x14ac:dyDescent="0.3">
      <c r="A117" s="39">
        <v>41662</v>
      </c>
      <c r="B117" s="3" t="s">
        <v>700</v>
      </c>
      <c r="C117" s="3" t="s">
        <v>677</v>
      </c>
      <c r="D117" s="14">
        <v>23</v>
      </c>
      <c r="G117" s="33"/>
    </row>
    <row r="118" spans="1:7" x14ac:dyDescent="0.3">
      <c r="A118" s="39">
        <v>41662</v>
      </c>
      <c r="B118" s="3" t="s">
        <v>716</v>
      </c>
      <c r="C118" s="3" t="s">
        <v>662</v>
      </c>
      <c r="D118" s="14">
        <v>3</v>
      </c>
      <c r="G118" s="33"/>
    </row>
    <row r="119" spans="1:7" x14ac:dyDescent="0.3">
      <c r="A119" s="39">
        <v>41662</v>
      </c>
      <c r="B119" s="3" t="s">
        <v>721</v>
      </c>
      <c r="C119" s="3" t="s">
        <v>669</v>
      </c>
      <c r="D119" s="14">
        <v>2</v>
      </c>
      <c r="G119" s="33"/>
    </row>
    <row r="120" spans="1:7" x14ac:dyDescent="0.3">
      <c r="A120" s="39">
        <v>41663</v>
      </c>
      <c r="B120" s="3" t="s">
        <v>717</v>
      </c>
      <c r="C120" s="3" t="s">
        <v>668</v>
      </c>
      <c r="D120" s="14">
        <v>2</v>
      </c>
      <c r="G120" s="33"/>
    </row>
    <row r="121" spans="1:7" x14ac:dyDescent="0.3">
      <c r="A121" s="39">
        <v>41663</v>
      </c>
      <c r="B121" s="3" t="s">
        <v>663</v>
      </c>
      <c r="C121" s="3" t="s">
        <v>689</v>
      </c>
      <c r="D121" s="14">
        <v>11</v>
      </c>
      <c r="G121" s="33"/>
    </row>
    <row r="122" spans="1:7" x14ac:dyDescent="0.3">
      <c r="A122" s="39">
        <v>41663</v>
      </c>
      <c r="B122" s="3" t="s">
        <v>675</v>
      </c>
      <c r="C122" s="3" t="s">
        <v>662</v>
      </c>
      <c r="D122" s="14">
        <v>3</v>
      </c>
      <c r="G122" s="33"/>
    </row>
    <row r="123" spans="1:7" x14ac:dyDescent="0.3">
      <c r="A123" s="39">
        <v>41664</v>
      </c>
      <c r="B123" s="3" t="s">
        <v>704</v>
      </c>
      <c r="C123" s="3" t="s">
        <v>674</v>
      </c>
      <c r="D123" s="14">
        <v>2</v>
      </c>
      <c r="G123" s="33"/>
    </row>
    <row r="124" spans="1:7" x14ac:dyDescent="0.3">
      <c r="A124" s="39">
        <v>41664</v>
      </c>
      <c r="B124" s="3" t="s">
        <v>702</v>
      </c>
      <c r="C124" s="3" t="s">
        <v>670</v>
      </c>
      <c r="D124" s="14">
        <v>1</v>
      </c>
      <c r="G124" s="33"/>
    </row>
    <row r="125" spans="1:7" x14ac:dyDescent="0.3">
      <c r="A125" s="39">
        <v>41664</v>
      </c>
      <c r="B125" s="3" t="s">
        <v>676</v>
      </c>
      <c r="C125" s="3" t="s">
        <v>672</v>
      </c>
      <c r="D125" s="14">
        <v>3</v>
      </c>
      <c r="G125" s="33"/>
    </row>
    <row r="126" spans="1:7" x14ac:dyDescent="0.3">
      <c r="A126" s="39">
        <v>41664</v>
      </c>
      <c r="B126" s="3" t="s">
        <v>666</v>
      </c>
      <c r="C126" s="3" t="s">
        <v>665</v>
      </c>
      <c r="D126" s="14">
        <v>2</v>
      </c>
      <c r="G126" s="33"/>
    </row>
    <row r="127" spans="1:7" x14ac:dyDescent="0.3">
      <c r="A127" s="39">
        <v>41665</v>
      </c>
      <c r="B127" s="3" t="s">
        <v>666</v>
      </c>
      <c r="C127" s="3" t="s">
        <v>674</v>
      </c>
      <c r="D127" s="14">
        <v>2</v>
      </c>
      <c r="G127" s="33"/>
    </row>
    <row r="128" spans="1:7" x14ac:dyDescent="0.3">
      <c r="A128" s="39">
        <v>41665</v>
      </c>
      <c r="B128" s="3" t="s">
        <v>717</v>
      </c>
      <c r="C128" s="3" t="s">
        <v>672</v>
      </c>
      <c r="D128" s="14">
        <v>2</v>
      </c>
      <c r="G128" s="33"/>
    </row>
    <row r="129" spans="1:7" x14ac:dyDescent="0.3">
      <c r="A129" s="39">
        <v>41665</v>
      </c>
      <c r="B129" s="3" t="s">
        <v>716</v>
      </c>
      <c r="C129" s="3" t="s">
        <v>672</v>
      </c>
      <c r="D129" s="14">
        <v>1</v>
      </c>
      <c r="G129" s="33"/>
    </row>
    <row r="130" spans="1:7" x14ac:dyDescent="0.3">
      <c r="A130" s="39">
        <v>41665</v>
      </c>
      <c r="B130" s="3" t="s">
        <v>702</v>
      </c>
      <c r="C130" s="3" t="s">
        <v>664</v>
      </c>
      <c r="D130" s="14">
        <v>7</v>
      </c>
      <c r="G130" s="33"/>
    </row>
    <row r="131" spans="1:7" x14ac:dyDescent="0.3">
      <c r="A131" s="39">
        <v>41665</v>
      </c>
      <c r="B131" s="3" t="s">
        <v>676</v>
      </c>
      <c r="C131" s="3" t="s">
        <v>677</v>
      </c>
      <c r="D131" s="14">
        <v>1</v>
      </c>
      <c r="G131" s="33"/>
    </row>
    <row r="132" spans="1:7" x14ac:dyDescent="0.3">
      <c r="A132" s="39">
        <v>41665</v>
      </c>
      <c r="B132" s="3" t="s">
        <v>679</v>
      </c>
      <c r="C132" s="3" t="s">
        <v>670</v>
      </c>
      <c r="D132" s="14">
        <v>20</v>
      </c>
      <c r="G132" s="33"/>
    </row>
    <row r="133" spans="1:7" x14ac:dyDescent="0.3">
      <c r="A133" s="39">
        <v>41666</v>
      </c>
      <c r="B133" s="3" t="s">
        <v>661</v>
      </c>
      <c r="C133" s="3" t="s">
        <v>664</v>
      </c>
      <c r="D133" s="14">
        <v>20</v>
      </c>
      <c r="G133" s="33"/>
    </row>
    <row r="134" spans="1:7" x14ac:dyDescent="0.3">
      <c r="A134" s="39">
        <v>41666</v>
      </c>
      <c r="B134" s="3" t="s">
        <v>723</v>
      </c>
      <c r="C134" s="3" t="s">
        <v>670</v>
      </c>
      <c r="D134" s="14">
        <v>2</v>
      </c>
      <c r="G134" s="33"/>
    </row>
    <row r="135" spans="1:7" x14ac:dyDescent="0.3">
      <c r="A135" s="39">
        <v>41666</v>
      </c>
      <c r="B135" s="3" t="s">
        <v>724</v>
      </c>
      <c r="C135" s="3" t="s">
        <v>672</v>
      </c>
      <c r="D135" s="14">
        <v>1</v>
      </c>
      <c r="G135" s="33"/>
    </row>
    <row r="136" spans="1:7" x14ac:dyDescent="0.3">
      <c r="A136" s="39">
        <v>41666</v>
      </c>
      <c r="B136" s="3" t="s">
        <v>721</v>
      </c>
      <c r="C136" s="3" t="s">
        <v>662</v>
      </c>
      <c r="D136" s="14">
        <v>1</v>
      </c>
      <c r="G136" s="33"/>
    </row>
    <row r="137" spans="1:7" x14ac:dyDescent="0.3">
      <c r="A137" s="39">
        <v>41667</v>
      </c>
      <c r="B137" s="3" t="s">
        <v>701</v>
      </c>
      <c r="C137" s="3" t="s">
        <v>662</v>
      </c>
      <c r="D137" s="14">
        <v>2</v>
      </c>
      <c r="G137" s="33"/>
    </row>
    <row r="138" spans="1:7" x14ac:dyDescent="0.3">
      <c r="A138" s="39">
        <v>41667</v>
      </c>
      <c r="B138" s="3" t="s">
        <v>676</v>
      </c>
      <c r="C138" s="3" t="s">
        <v>672</v>
      </c>
      <c r="D138" s="14">
        <v>1</v>
      </c>
      <c r="G138" s="33"/>
    </row>
    <row r="139" spans="1:7" x14ac:dyDescent="0.3">
      <c r="A139" s="39">
        <v>41667</v>
      </c>
      <c r="B139" s="3" t="s">
        <v>663</v>
      </c>
      <c r="C139" s="3" t="s">
        <v>662</v>
      </c>
      <c r="D139" s="14">
        <v>3</v>
      </c>
      <c r="G139" s="33"/>
    </row>
    <row r="140" spans="1:7" x14ac:dyDescent="0.3">
      <c r="A140" s="39">
        <v>41668</v>
      </c>
      <c r="B140" s="3" t="s">
        <v>702</v>
      </c>
      <c r="C140" s="3" t="s">
        <v>674</v>
      </c>
      <c r="D140" s="14">
        <v>1</v>
      </c>
      <c r="G140" s="33"/>
    </row>
    <row r="141" spans="1:7" x14ac:dyDescent="0.3">
      <c r="A141" s="39">
        <v>41668</v>
      </c>
      <c r="B141" s="3" t="s">
        <v>717</v>
      </c>
      <c r="C141" s="3" t="s">
        <v>674</v>
      </c>
      <c r="D141" s="14">
        <v>2</v>
      </c>
      <c r="G141" s="33"/>
    </row>
    <row r="142" spans="1:7" x14ac:dyDescent="0.3">
      <c r="A142" s="39">
        <v>41668</v>
      </c>
      <c r="B142" s="3" t="s">
        <v>702</v>
      </c>
      <c r="C142" s="3" t="s">
        <v>674</v>
      </c>
      <c r="D142" s="14">
        <v>22</v>
      </c>
      <c r="G142" s="33"/>
    </row>
    <row r="143" spans="1:7" x14ac:dyDescent="0.3">
      <c r="A143" s="39">
        <v>41669</v>
      </c>
      <c r="B143" s="3" t="s">
        <v>686</v>
      </c>
      <c r="C143" s="3" t="s">
        <v>664</v>
      </c>
      <c r="D143" s="14">
        <v>3</v>
      </c>
      <c r="G143" s="33"/>
    </row>
    <row r="144" spans="1:7" x14ac:dyDescent="0.3">
      <c r="A144" s="39">
        <v>41669</v>
      </c>
      <c r="B144" s="3" t="s">
        <v>725</v>
      </c>
      <c r="C144" s="3" t="s">
        <v>672</v>
      </c>
      <c r="D144" s="14">
        <v>1</v>
      </c>
      <c r="G144" s="33"/>
    </row>
    <row r="145" spans="1:7" x14ac:dyDescent="0.3">
      <c r="A145" s="39">
        <v>41669</v>
      </c>
      <c r="B145" s="3" t="s">
        <v>687</v>
      </c>
      <c r="C145" s="3" t="s">
        <v>664</v>
      </c>
      <c r="D145" s="14">
        <v>3</v>
      </c>
      <c r="G145" s="33"/>
    </row>
    <row r="146" spans="1:7" x14ac:dyDescent="0.3">
      <c r="A146" s="39">
        <v>41670</v>
      </c>
      <c r="B146" s="3" t="s">
        <v>711</v>
      </c>
      <c r="C146" s="3" t="s">
        <v>664</v>
      </c>
      <c r="D146" s="14">
        <v>3</v>
      </c>
      <c r="G146" s="33"/>
    </row>
    <row r="147" spans="1:7" x14ac:dyDescent="0.3">
      <c r="A147" s="39">
        <v>41670</v>
      </c>
      <c r="B147" s="3" t="s">
        <v>708</v>
      </c>
      <c r="C147" s="3" t="s">
        <v>674</v>
      </c>
      <c r="D147" s="14">
        <v>2</v>
      </c>
      <c r="G147" s="33"/>
    </row>
    <row r="148" spans="1:7" x14ac:dyDescent="0.3">
      <c r="A148" s="39">
        <v>41670</v>
      </c>
      <c r="B148" s="3" t="s">
        <v>704</v>
      </c>
      <c r="C148" s="3" t="s">
        <v>672</v>
      </c>
      <c r="D148" s="14">
        <v>2</v>
      </c>
      <c r="G148" s="33"/>
    </row>
    <row r="149" spans="1:7" x14ac:dyDescent="0.3">
      <c r="A149" s="39">
        <v>41670</v>
      </c>
      <c r="B149" s="3" t="s">
        <v>714</v>
      </c>
      <c r="C149" s="3" t="s">
        <v>672</v>
      </c>
      <c r="D149" s="14">
        <v>2</v>
      </c>
      <c r="G149" s="33"/>
    </row>
    <row r="150" spans="1:7" x14ac:dyDescent="0.3">
      <c r="A150" s="39">
        <v>41670</v>
      </c>
      <c r="B150" s="3" t="s">
        <v>711</v>
      </c>
      <c r="C150" s="3" t="s">
        <v>670</v>
      </c>
      <c r="D150" s="14">
        <v>1</v>
      </c>
      <c r="G150" s="33"/>
    </row>
    <row r="151" spans="1:7" x14ac:dyDescent="0.3">
      <c r="A151" s="39">
        <v>41670</v>
      </c>
      <c r="B151" s="3" t="s">
        <v>726</v>
      </c>
      <c r="C151" s="3" t="s">
        <v>664</v>
      </c>
      <c r="D151" s="14">
        <v>3</v>
      </c>
      <c r="G151" s="33"/>
    </row>
    <row r="152" spans="1:7" x14ac:dyDescent="0.3">
      <c r="A152" s="39">
        <v>41671</v>
      </c>
      <c r="B152" s="3" t="s">
        <v>676</v>
      </c>
      <c r="C152" s="3" t="s">
        <v>674</v>
      </c>
      <c r="D152" s="14">
        <v>1</v>
      </c>
      <c r="G152" s="33"/>
    </row>
    <row r="153" spans="1:7" x14ac:dyDescent="0.3">
      <c r="A153" s="39">
        <v>41671</v>
      </c>
      <c r="B153" s="3" t="s">
        <v>726</v>
      </c>
      <c r="C153" s="3" t="s">
        <v>665</v>
      </c>
      <c r="D153" s="14">
        <v>2</v>
      </c>
      <c r="G153" s="33"/>
    </row>
    <row r="154" spans="1:7" x14ac:dyDescent="0.3">
      <c r="A154" s="39">
        <v>41671</v>
      </c>
      <c r="B154" s="3" t="s">
        <v>667</v>
      </c>
      <c r="C154" s="3" t="s">
        <v>662</v>
      </c>
      <c r="D154" s="14">
        <v>3</v>
      </c>
      <c r="G154" s="33"/>
    </row>
    <row r="155" spans="1:7" x14ac:dyDescent="0.3">
      <c r="A155" s="39">
        <v>41671</v>
      </c>
      <c r="B155" s="3" t="s">
        <v>679</v>
      </c>
      <c r="C155" s="3" t="s">
        <v>709</v>
      </c>
      <c r="D155" s="14">
        <v>3</v>
      </c>
      <c r="G155" s="33"/>
    </row>
    <row r="156" spans="1:7" x14ac:dyDescent="0.3">
      <c r="A156" s="39">
        <v>41671</v>
      </c>
      <c r="B156" s="3" t="s">
        <v>698</v>
      </c>
      <c r="C156" s="3" t="s">
        <v>664</v>
      </c>
      <c r="D156" s="14">
        <v>1</v>
      </c>
      <c r="G156" s="33"/>
    </row>
    <row r="157" spans="1:7" x14ac:dyDescent="0.3">
      <c r="A157" s="39">
        <v>41671</v>
      </c>
      <c r="B157" s="3" t="s">
        <v>671</v>
      </c>
      <c r="C157" s="3" t="s">
        <v>674</v>
      </c>
      <c r="D157" s="14">
        <v>1</v>
      </c>
      <c r="G157" s="33"/>
    </row>
    <row r="158" spans="1:7" x14ac:dyDescent="0.3">
      <c r="A158" s="39">
        <v>41671</v>
      </c>
      <c r="B158" s="3" t="s">
        <v>700</v>
      </c>
      <c r="C158" s="3" t="s">
        <v>672</v>
      </c>
      <c r="D158" s="14">
        <v>2</v>
      </c>
      <c r="G158" s="33"/>
    </row>
    <row r="159" spans="1:7" x14ac:dyDescent="0.3">
      <c r="A159" s="39">
        <v>41672</v>
      </c>
      <c r="B159" s="3" t="s">
        <v>727</v>
      </c>
      <c r="C159" s="3" t="s">
        <v>664</v>
      </c>
      <c r="D159" s="14">
        <v>1</v>
      </c>
      <c r="G159" s="33"/>
    </row>
    <row r="160" spans="1:7" x14ac:dyDescent="0.3">
      <c r="A160" s="39">
        <v>41672</v>
      </c>
      <c r="B160" s="3" t="s">
        <v>704</v>
      </c>
      <c r="C160" s="3" t="s">
        <v>672</v>
      </c>
      <c r="D160" s="14">
        <v>3</v>
      </c>
      <c r="G160" s="33"/>
    </row>
    <row r="161" spans="1:7" x14ac:dyDescent="0.3">
      <c r="A161" s="39">
        <v>41673</v>
      </c>
      <c r="B161" s="3" t="s">
        <v>715</v>
      </c>
      <c r="C161" s="3" t="s">
        <v>674</v>
      </c>
      <c r="D161" s="14">
        <v>1</v>
      </c>
      <c r="G161" s="33"/>
    </row>
    <row r="162" spans="1:7" x14ac:dyDescent="0.3">
      <c r="A162" s="39">
        <v>41673</v>
      </c>
      <c r="B162" s="3" t="s">
        <v>726</v>
      </c>
      <c r="C162" s="3" t="s">
        <v>677</v>
      </c>
      <c r="D162" s="14">
        <v>2</v>
      </c>
      <c r="G162" s="33"/>
    </row>
    <row r="163" spans="1:7" x14ac:dyDescent="0.3">
      <c r="A163" s="39">
        <v>41673</v>
      </c>
      <c r="B163" s="3" t="s">
        <v>667</v>
      </c>
      <c r="C163" s="3" t="s">
        <v>668</v>
      </c>
      <c r="D163" s="14">
        <v>1</v>
      </c>
      <c r="G163" s="33"/>
    </row>
    <row r="164" spans="1:7" x14ac:dyDescent="0.3">
      <c r="A164" s="39">
        <v>41673</v>
      </c>
      <c r="B164" s="3" t="s">
        <v>723</v>
      </c>
      <c r="C164" s="3" t="s">
        <v>670</v>
      </c>
      <c r="D164" s="14">
        <v>1</v>
      </c>
      <c r="G164" s="33"/>
    </row>
    <row r="165" spans="1:7" x14ac:dyDescent="0.3">
      <c r="A165" s="39">
        <v>41674</v>
      </c>
      <c r="B165" s="3" t="s">
        <v>667</v>
      </c>
      <c r="C165" s="3" t="s">
        <v>662</v>
      </c>
      <c r="D165" s="14">
        <v>3</v>
      </c>
      <c r="G165" s="33"/>
    </row>
    <row r="166" spans="1:7" x14ac:dyDescent="0.3">
      <c r="A166" s="39">
        <v>41674</v>
      </c>
      <c r="B166" s="3" t="s">
        <v>717</v>
      </c>
      <c r="C166" s="3" t="s">
        <v>689</v>
      </c>
      <c r="D166" s="14">
        <v>2</v>
      </c>
      <c r="G166" s="33"/>
    </row>
    <row r="167" spans="1:7" x14ac:dyDescent="0.3">
      <c r="A167" s="39">
        <v>41674</v>
      </c>
      <c r="B167" s="3" t="s">
        <v>671</v>
      </c>
      <c r="C167" s="3" t="s">
        <v>709</v>
      </c>
      <c r="D167" s="14">
        <v>1</v>
      </c>
      <c r="G167" s="33"/>
    </row>
    <row r="168" spans="1:7" x14ac:dyDescent="0.3">
      <c r="A168" s="39">
        <v>41675</v>
      </c>
      <c r="B168" s="3" t="s">
        <v>694</v>
      </c>
      <c r="C168" s="3" t="s">
        <v>662</v>
      </c>
      <c r="D168" s="14">
        <v>3</v>
      </c>
      <c r="G168" s="33"/>
    </row>
    <row r="169" spans="1:7" x14ac:dyDescent="0.3">
      <c r="A169" s="39">
        <v>41675</v>
      </c>
      <c r="B169" s="3" t="s">
        <v>684</v>
      </c>
      <c r="C169" s="3" t="s">
        <v>677</v>
      </c>
      <c r="D169" s="14">
        <v>2</v>
      </c>
      <c r="G169" s="33"/>
    </row>
    <row r="170" spans="1:7" x14ac:dyDescent="0.3">
      <c r="A170" s="39">
        <v>41675</v>
      </c>
      <c r="B170" s="3" t="s">
        <v>717</v>
      </c>
      <c r="C170" s="3" t="s">
        <v>699</v>
      </c>
      <c r="D170" s="14">
        <v>2</v>
      </c>
      <c r="G170" s="33"/>
    </row>
    <row r="171" spans="1:7" x14ac:dyDescent="0.3">
      <c r="A171" s="39">
        <v>41676</v>
      </c>
      <c r="B171" s="3" t="s">
        <v>713</v>
      </c>
      <c r="C171" s="3" t="s">
        <v>664</v>
      </c>
      <c r="D171" s="14">
        <v>3</v>
      </c>
      <c r="G171" s="33"/>
    </row>
    <row r="172" spans="1:7" x14ac:dyDescent="0.3">
      <c r="A172" s="39">
        <v>41676</v>
      </c>
      <c r="B172" s="3" t="s">
        <v>687</v>
      </c>
      <c r="C172" s="3" t="s">
        <v>669</v>
      </c>
      <c r="D172" s="14">
        <v>2</v>
      </c>
      <c r="G172" s="33"/>
    </row>
    <row r="173" spans="1:7" x14ac:dyDescent="0.3">
      <c r="A173" s="39">
        <v>41676</v>
      </c>
      <c r="B173" s="3" t="s">
        <v>675</v>
      </c>
      <c r="C173" s="3" t="s">
        <v>664</v>
      </c>
      <c r="D173" s="14">
        <v>1</v>
      </c>
      <c r="G173" s="33"/>
    </row>
    <row r="174" spans="1:7" x14ac:dyDescent="0.3">
      <c r="A174" s="39">
        <v>41676</v>
      </c>
      <c r="B174" s="3" t="s">
        <v>728</v>
      </c>
      <c r="C174" s="3" t="s">
        <v>689</v>
      </c>
      <c r="D174" s="14">
        <v>3</v>
      </c>
      <c r="G174" s="33"/>
    </row>
    <row r="175" spans="1:7" x14ac:dyDescent="0.3">
      <c r="A175" s="39">
        <v>41676</v>
      </c>
      <c r="B175" s="3" t="s">
        <v>724</v>
      </c>
      <c r="C175" s="3" t="s">
        <v>689</v>
      </c>
      <c r="D175" s="14">
        <v>1</v>
      </c>
      <c r="G175" s="33"/>
    </row>
    <row r="176" spans="1:7" x14ac:dyDescent="0.3">
      <c r="A176" s="39">
        <v>41676</v>
      </c>
      <c r="B176" s="3" t="s">
        <v>711</v>
      </c>
      <c r="C176" s="3" t="s">
        <v>677</v>
      </c>
      <c r="D176" s="14">
        <v>1</v>
      </c>
      <c r="G176" s="33"/>
    </row>
    <row r="177" spans="1:7" x14ac:dyDescent="0.3">
      <c r="A177" s="39">
        <v>41676</v>
      </c>
      <c r="B177" s="3" t="s">
        <v>725</v>
      </c>
      <c r="C177" s="3" t="s">
        <v>677</v>
      </c>
      <c r="D177" s="14">
        <v>3</v>
      </c>
      <c r="G177" s="33"/>
    </row>
    <row r="178" spans="1:7" x14ac:dyDescent="0.3">
      <c r="A178" s="39">
        <v>41676</v>
      </c>
      <c r="B178" s="3" t="s">
        <v>675</v>
      </c>
      <c r="C178" s="3" t="s">
        <v>670</v>
      </c>
      <c r="D178" s="14">
        <v>1</v>
      </c>
      <c r="G178" s="33"/>
    </row>
    <row r="179" spans="1:7" x14ac:dyDescent="0.3">
      <c r="A179" s="39">
        <v>41677</v>
      </c>
      <c r="B179" s="3" t="s">
        <v>707</v>
      </c>
      <c r="C179" s="3" t="s">
        <v>672</v>
      </c>
      <c r="D179" s="14">
        <v>1</v>
      </c>
      <c r="G179" s="33"/>
    </row>
    <row r="180" spans="1:7" x14ac:dyDescent="0.3">
      <c r="A180" s="39">
        <v>41677</v>
      </c>
      <c r="B180" s="3" t="s">
        <v>693</v>
      </c>
      <c r="C180" s="3" t="s">
        <v>664</v>
      </c>
      <c r="D180" s="14">
        <v>1</v>
      </c>
      <c r="G180" s="33"/>
    </row>
    <row r="181" spans="1:7" x14ac:dyDescent="0.3">
      <c r="A181" s="39">
        <v>41677</v>
      </c>
      <c r="B181" s="3" t="s">
        <v>666</v>
      </c>
      <c r="C181" s="3" t="s">
        <v>670</v>
      </c>
      <c r="D181" s="14">
        <v>3</v>
      </c>
      <c r="G181" s="33"/>
    </row>
    <row r="182" spans="1:7" x14ac:dyDescent="0.3">
      <c r="A182" s="39">
        <v>41677</v>
      </c>
      <c r="B182" s="3" t="s">
        <v>682</v>
      </c>
      <c r="C182" s="3" t="s">
        <v>668</v>
      </c>
      <c r="D182" s="14">
        <v>1</v>
      </c>
      <c r="G182" s="33"/>
    </row>
    <row r="183" spans="1:7" x14ac:dyDescent="0.3">
      <c r="A183" s="39">
        <v>41678</v>
      </c>
      <c r="B183" s="3" t="s">
        <v>667</v>
      </c>
      <c r="C183" s="3" t="s">
        <v>664</v>
      </c>
      <c r="D183" s="14">
        <v>1</v>
      </c>
      <c r="G183" s="33"/>
    </row>
    <row r="184" spans="1:7" x14ac:dyDescent="0.3">
      <c r="A184" s="39">
        <v>41678</v>
      </c>
      <c r="B184" s="3" t="s">
        <v>705</v>
      </c>
      <c r="C184" s="3" t="s">
        <v>670</v>
      </c>
      <c r="D184" s="14">
        <v>2</v>
      </c>
      <c r="G184" s="33"/>
    </row>
    <row r="185" spans="1:7" x14ac:dyDescent="0.3">
      <c r="A185" s="39">
        <v>41678</v>
      </c>
      <c r="B185" s="3" t="s">
        <v>710</v>
      </c>
      <c r="C185" s="3" t="s">
        <v>669</v>
      </c>
      <c r="D185" s="14">
        <v>12</v>
      </c>
      <c r="G185" s="33"/>
    </row>
    <row r="186" spans="1:7" x14ac:dyDescent="0.3">
      <c r="A186" s="42">
        <v>41678</v>
      </c>
      <c r="B186" s="43" t="s">
        <v>729</v>
      </c>
      <c r="C186" s="43" t="s">
        <v>674</v>
      </c>
      <c r="D186" s="17">
        <v>1</v>
      </c>
      <c r="G186" s="33"/>
    </row>
    <row r="187" spans="1:7" x14ac:dyDescent="0.3">
      <c r="G187" s="33"/>
    </row>
    <row r="188" spans="1:7" x14ac:dyDescent="0.3">
      <c r="G188" s="33"/>
    </row>
    <row r="189" spans="1:7" x14ac:dyDescent="0.3">
      <c r="G189" s="33"/>
    </row>
    <row r="190" spans="1:7" x14ac:dyDescent="0.3">
      <c r="G190" s="33"/>
    </row>
    <row r="191" spans="1:7" x14ac:dyDescent="0.3">
      <c r="G191" s="33"/>
    </row>
    <row r="192" spans="1:7" x14ac:dyDescent="0.3">
      <c r="G192" s="33"/>
    </row>
    <row r="193" spans="7:11" x14ac:dyDescent="0.3">
      <c r="G193" s="33"/>
    </row>
    <row r="194" spans="7:11" x14ac:dyDescent="0.3">
      <c r="G194" s="33"/>
    </row>
    <row r="195" spans="7:11" x14ac:dyDescent="0.3">
      <c r="G195" s="33"/>
    </row>
    <row r="196" spans="7:11" x14ac:dyDescent="0.3">
      <c r="G196" s="33"/>
    </row>
    <row r="197" spans="7:11" x14ac:dyDescent="0.3">
      <c r="G197" s="33"/>
    </row>
    <row r="198" spans="7:11" x14ac:dyDescent="0.3">
      <c r="G198" s="33"/>
    </row>
    <row r="199" spans="7:11" x14ac:dyDescent="0.3">
      <c r="G199" s="33"/>
    </row>
    <row r="200" spans="7:11" x14ac:dyDescent="0.3">
      <c r="G200" s="33"/>
    </row>
    <row r="201" spans="7:11" x14ac:dyDescent="0.3">
      <c r="G201" s="33"/>
    </row>
    <row r="202" spans="7:11" x14ac:dyDescent="0.3">
      <c r="G202" s="33"/>
    </row>
    <row r="203" spans="7:11" x14ac:dyDescent="0.3">
      <c r="G203" s="33"/>
    </row>
    <row r="204" spans="7:11" x14ac:dyDescent="0.3">
      <c r="G204" s="33"/>
    </row>
    <row r="205" spans="7:11" x14ac:dyDescent="0.3">
      <c r="G205" s="33"/>
    </row>
    <row r="206" spans="7:11" x14ac:dyDescent="0.3">
      <c r="G206" s="34"/>
      <c r="J206" t="s">
        <v>144</v>
      </c>
      <c r="K206" s="35">
        <v>196</v>
      </c>
    </row>
    <row r="207" spans="7:11" x14ac:dyDescent="0.3">
      <c r="G207" s="30"/>
      <c r="H207" s="26"/>
      <c r="I207" s="26"/>
      <c r="J207" s="26" t="s">
        <v>134</v>
      </c>
      <c r="K207" s="27">
        <v>108</v>
      </c>
    </row>
    <row r="208" spans="7:11" x14ac:dyDescent="0.3">
      <c r="G208" s="31"/>
      <c r="H208" s="28"/>
      <c r="I208" s="28"/>
      <c r="J208" s="28" t="s">
        <v>64</v>
      </c>
      <c r="K208" s="29">
        <v>193</v>
      </c>
    </row>
    <row r="209" spans="7:11" x14ac:dyDescent="0.3">
      <c r="G209" s="30"/>
      <c r="H209" s="26"/>
      <c r="I209" s="26"/>
      <c r="J209" s="26" t="s">
        <v>72</v>
      </c>
      <c r="K209" s="27">
        <v>180</v>
      </c>
    </row>
    <row r="210" spans="7:11" x14ac:dyDescent="0.3">
      <c r="G210" s="32"/>
      <c r="H210" s="1"/>
      <c r="I210" s="1"/>
      <c r="J210" s="1" t="s">
        <v>25</v>
      </c>
      <c r="K210" s="2">
        <v>387.5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A8DF0-89D6-4609-B1CF-B488596BE5A3}">
  <sheetPr codeName="Hoja7"/>
  <dimension ref="A1:Q34"/>
  <sheetViews>
    <sheetView topLeftCell="A6" zoomScale="110" zoomScaleNormal="110" workbookViewId="0">
      <selection activeCell="K18" sqref="K18"/>
    </sheetView>
  </sheetViews>
  <sheetFormatPr baseColWidth="10" defaultRowHeight="14.4" x14ac:dyDescent="0.3"/>
  <cols>
    <col min="2" max="2" width="14" style="5" customWidth="1"/>
    <col min="3" max="3" width="18.88671875" customWidth="1"/>
    <col min="4" max="4" width="15.5546875" customWidth="1"/>
    <col min="7" max="7" width="16.109375" customWidth="1"/>
    <col min="9" max="9" width="18" customWidth="1"/>
    <col min="11" max="11" width="13.109375" customWidth="1"/>
    <col min="12" max="12" width="17.33203125" customWidth="1"/>
    <col min="13" max="13" width="24" customWidth="1"/>
    <col min="14" max="14" width="18.44140625" customWidth="1"/>
    <col min="15" max="15" width="19.33203125" customWidth="1"/>
    <col min="16" max="16" width="12.33203125" customWidth="1"/>
    <col min="17" max="17" width="17.109375" customWidth="1"/>
  </cols>
  <sheetData>
    <row r="1" spans="1:15" x14ac:dyDescent="0.3">
      <c r="A1" t="s">
        <v>0</v>
      </c>
      <c r="B1" s="5" t="s">
        <v>1</v>
      </c>
      <c r="C1" t="s">
        <v>5</v>
      </c>
      <c r="D1" t="s">
        <v>6</v>
      </c>
      <c r="E1" t="s">
        <v>7</v>
      </c>
      <c r="F1" t="s">
        <v>8</v>
      </c>
      <c r="G1" t="s">
        <v>9</v>
      </c>
    </row>
    <row r="2" spans="1:15" x14ac:dyDescent="0.3">
      <c r="A2" t="s">
        <v>10</v>
      </c>
      <c r="B2" s="5">
        <v>42011</v>
      </c>
      <c r="C2" t="s">
        <v>736</v>
      </c>
      <c r="D2">
        <v>7</v>
      </c>
      <c r="E2">
        <v>20</v>
      </c>
      <c r="F2">
        <v>140</v>
      </c>
      <c r="G2" t="s">
        <v>15</v>
      </c>
    </row>
    <row r="3" spans="1:15" x14ac:dyDescent="0.3">
      <c r="A3" t="s">
        <v>16</v>
      </c>
      <c r="B3" s="5">
        <v>42015</v>
      </c>
      <c r="C3" t="s">
        <v>18</v>
      </c>
      <c r="D3">
        <v>19</v>
      </c>
      <c r="E3">
        <v>12</v>
      </c>
      <c r="F3">
        <v>228</v>
      </c>
      <c r="G3" t="s">
        <v>15</v>
      </c>
    </row>
    <row r="4" spans="1:15" x14ac:dyDescent="0.3">
      <c r="A4" t="s">
        <v>19</v>
      </c>
      <c r="B4" s="5">
        <v>42015</v>
      </c>
      <c r="C4" t="s">
        <v>22</v>
      </c>
      <c r="D4">
        <v>12</v>
      </c>
      <c r="E4">
        <v>35</v>
      </c>
      <c r="F4">
        <v>420</v>
      </c>
      <c r="G4" t="s">
        <v>15</v>
      </c>
    </row>
    <row r="5" spans="1:15" x14ac:dyDescent="0.3">
      <c r="A5" t="s">
        <v>23</v>
      </c>
      <c r="B5" s="5">
        <v>42017</v>
      </c>
      <c r="C5" t="s">
        <v>736</v>
      </c>
      <c r="D5">
        <v>7.75</v>
      </c>
      <c r="E5">
        <v>20</v>
      </c>
      <c r="F5">
        <v>155</v>
      </c>
      <c r="G5" t="s">
        <v>26</v>
      </c>
      <c r="L5" s="81" t="s">
        <v>5</v>
      </c>
      <c r="N5" s="83" t="s">
        <v>0</v>
      </c>
      <c r="O5" s="81" t="s">
        <v>5</v>
      </c>
    </row>
    <row r="6" spans="1:15" x14ac:dyDescent="0.3">
      <c r="A6" t="s">
        <v>27</v>
      </c>
      <c r="B6" s="5">
        <v>42017</v>
      </c>
      <c r="C6" t="s">
        <v>29</v>
      </c>
      <c r="D6">
        <v>46</v>
      </c>
      <c r="E6">
        <v>7</v>
      </c>
      <c r="F6">
        <v>322</v>
      </c>
      <c r="G6" t="s">
        <v>26</v>
      </c>
      <c r="L6" s="95" t="s">
        <v>757</v>
      </c>
      <c r="N6" t="s">
        <v>33</v>
      </c>
      <c r="O6" t="s">
        <v>735</v>
      </c>
    </row>
    <row r="7" spans="1:15" x14ac:dyDescent="0.3">
      <c r="A7" t="s">
        <v>30</v>
      </c>
      <c r="B7" s="5">
        <v>42023</v>
      </c>
      <c r="C7" t="s">
        <v>32</v>
      </c>
      <c r="D7">
        <v>263.5</v>
      </c>
      <c r="E7">
        <v>2</v>
      </c>
      <c r="F7">
        <v>527</v>
      </c>
      <c r="G7" t="s">
        <v>15</v>
      </c>
      <c r="N7" t="s">
        <v>58</v>
      </c>
      <c r="O7" t="s">
        <v>735</v>
      </c>
    </row>
    <row r="8" spans="1:15" x14ac:dyDescent="0.3">
      <c r="A8" t="s">
        <v>33</v>
      </c>
      <c r="B8" s="5">
        <v>42023</v>
      </c>
      <c r="C8" t="s">
        <v>735</v>
      </c>
      <c r="D8">
        <v>81</v>
      </c>
      <c r="E8">
        <v>5</v>
      </c>
      <c r="F8">
        <v>405</v>
      </c>
      <c r="G8" t="s">
        <v>15</v>
      </c>
      <c r="N8" t="s">
        <v>67</v>
      </c>
      <c r="O8" t="s">
        <v>735</v>
      </c>
    </row>
    <row r="9" spans="1:15" x14ac:dyDescent="0.3">
      <c r="A9" t="s">
        <v>36</v>
      </c>
      <c r="B9" s="5">
        <v>42023</v>
      </c>
      <c r="C9" t="s">
        <v>37</v>
      </c>
      <c r="D9">
        <v>18</v>
      </c>
      <c r="E9">
        <v>28</v>
      </c>
      <c r="F9">
        <v>504</v>
      </c>
      <c r="G9" t="s">
        <v>26</v>
      </c>
    </row>
    <row r="10" spans="1:15" x14ac:dyDescent="0.3">
      <c r="A10" t="s">
        <v>38</v>
      </c>
      <c r="B10" s="5">
        <v>42023</v>
      </c>
      <c r="C10" t="s">
        <v>39</v>
      </c>
      <c r="D10">
        <v>25</v>
      </c>
      <c r="E10">
        <v>6</v>
      </c>
      <c r="F10">
        <v>150</v>
      </c>
      <c r="G10" t="s">
        <v>26</v>
      </c>
    </row>
    <row r="11" spans="1:15" x14ac:dyDescent="0.3">
      <c r="A11" t="s">
        <v>40</v>
      </c>
      <c r="B11" s="5">
        <v>42023</v>
      </c>
      <c r="C11" t="s">
        <v>652</v>
      </c>
      <c r="D11">
        <v>34</v>
      </c>
      <c r="E11">
        <v>30</v>
      </c>
      <c r="F11">
        <v>1020</v>
      </c>
      <c r="G11" t="s">
        <v>26</v>
      </c>
    </row>
    <row r="12" spans="1:15" x14ac:dyDescent="0.3">
      <c r="A12" t="s">
        <v>42</v>
      </c>
      <c r="B12" s="5">
        <v>42023</v>
      </c>
      <c r="C12" t="s">
        <v>43</v>
      </c>
      <c r="D12">
        <v>12.5</v>
      </c>
      <c r="E12">
        <v>24</v>
      </c>
      <c r="F12">
        <v>300</v>
      </c>
      <c r="G12" t="s">
        <v>26</v>
      </c>
    </row>
    <row r="13" spans="1:15" x14ac:dyDescent="0.3">
      <c r="A13" t="s">
        <v>44</v>
      </c>
      <c r="B13" s="5">
        <v>42023</v>
      </c>
      <c r="C13" t="s">
        <v>736</v>
      </c>
      <c r="D13">
        <v>19</v>
      </c>
      <c r="E13">
        <v>10</v>
      </c>
      <c r="F13">
        <v>190</v>
      </c>
      <c r="G13" t="s">
        <v>15</v>
      </c>
    </row>
    <row r="14" spans="1:15" x14ac:dyDescent="0.3">
      <c r="A14" t="s">
        <v>46</v>
      </c>
      <c r="B14" s="5">
        <v>42023</v>
      </c>
      <c r="C14" t="s">
        <v>654</v>
      </c>
      <c r="D14">
        <v>40</v>
      </c>
      <c r="E14">
        <v>20</v>
      </c>
      <c r="F14">
        <v>800</v>
      </c>
      <c r="G14" t="s">
        <v>15</v>
      </c>
    </row>
    <row r="15" spans="1:15" x14ac:dyDescent="0.3">
      <c r="A15" t="s">
        <v>48</v>
      </c>
      <c r="B15" s="5">
        <v>42023</v>
      </c>
      <c r="C15" t="s">
        <v>41</v>
      </c>
      <c r="D15">
        <v>34</v>
      </c>
      <c r="E15">
        <v>21</v>
      </c>
      <c r="F15">
        <v>714</v>
      </c>
      <c r="G15" t="s">
        <v>15</v>
      </c>
    </row>
    <row r="16" spans="1:15" x14ac:dyDescent="0.3">
      <c r="A16" t="s">
        <v>49</v>
      </c>
      <c r="B16" s="5">
        <v>42023</v>
      </c>
      <c r="C16" t="s">
        <v>14</v>
      </c>
      <c r="D16">
        <v>6</v>
      </c>
      <c r="E16">
        <v>10</v>
      </c>
      <c r="F16">
        <v>60</v>
      </c>
      <c r="G16" t="s">
        <v>15</v>
      </c>
    </row>
    <row r="17" spans="1:17" x14ac:dyDescent="0.3">
      <c r="A17" t="s">
        <v>50</v>
      </c>
      <c r="B17" s="5">
        <v>42025</v>
      </c>
      <c r="C17" t="s">
        <v>737</v>
      </c>
      <c r="D17">
        <v>123.79</v>
      </c>
      <c r="E17">
        <v>8</v>
      </c>
      <c r="F17">
        <v>990.32</v>
      </c>
      <c r="G17" t="s">
        <v>26</v>
      </c>
    </row>
    <row r="18" spans="1:17" x14ac:dyDescent="0.3">
      <c r="A18" t="s">
        <v>53</v>
      </c>
      <c r="B18" s="5">
        <v>42025</v>
      </c>
      <c r="C18" t="s">
        <v>54</v>
      </c>
      <c r="D18">
        <v>25.89</v>
      </c>
      <c r="E18">
        <v>20</v>
      </c>
      <c r="F18">
        <v>517.79999999999995</v>
      </c>
      <c r="G18" t="s">
        <v>26</v>
      </c>
      <c r="Q18" s="5"/>
    </row>
    <row r="19" spans="1:17" x14ac:dyDescent="0.3">
      <c r="A19" t="s">
        <v>55</v>
      </c>
      <c r="B19" s="5">
        <v>42029</v>
      </c>
      <c r="C19" t="s">
        <v>56</v>
      </c>
      <c r="D19">
        <v>34.799999999999997</v>
      </c>
      <c r="E19">
        <v>15</v>
      </c>
      <c r="F19">
        <v>522</v>
      </c>
      <c r="G19" t="s">
        <v>26</v>
      </c>
      <c r="K19" s="37"/>
      <c r="L19" s="62"/>
      <c r="M19" s="37"/>
      <c r="N19" s="37"/>
      <c r="O19" s="37"/>
      <c r="P19" s="37"/>
      <c r="Q19" s="37"/>
    </row>
    <row r="20" spans="1:17" x14ac:dyDescent="0.3">
      <c r="A20" t="s">
        <v>57</v>
      </c>
      <c r="B20" s="5">
        <v>42029</v>
      </c>
      <c r="C20" t="s">
        <v>54</v>
      </c>
      <c r="D20">
        <v>13.25</v>
      </c>
      <c r="E20">
        <v>30</v>
      </c>
      <c r="F20">
        <v>397.5</v>
      </c>
      <c r="G20" t="s">
        <v>26</v>
      </c>
      <c r="L20" s="5"/>
      <c r="M20" s="72"/>
    </row>
    <row r="21" spans="1:17" x14ac:dyDescent="0.3">
      <c r="A21" t="s">
        <v>58</v>
      </c>
      <c r="B21" s="5">
        <v>42033</v>
      </c>
      <c r="C21" t="s">
        <v>735</v>
      </c>
      <c r="D21">
        <v>97</v>
      </c>
      <c r="E21">
        <v>3</v>
      </c>
      <c r="F21">
        <v>291</v>
      </c>
      <c r="G21" t="s">
        <v>26</v>
      </c>
      <c r="L21" s="5"/>
      <c r="M21" s="72"/>
    </row>
    <row r="22" spans="1:17" x14ac:dyDescent="0.3">
      <c r="A22" t="s">
        <v>60</v>
      </c>
      <c r="B22" s="5">
        <v>42033</v>
      </c>
      <c r="C22" t="s">
        <v>61</v>
      </c>
      <c r="D22">
        <v>21.35</v>
      </c>
      <c r="E22">
        <v>30</v>
      </c>
      <c r="F22">
        <v>640.5</v>
      </c>
      <c r="G22" t="s">
        <v>26</v>
      </c>
      <c r="L22" s="5"/>
      <c r="M22" s="72"/>
    </row>
    <row r="23" spans="1:17" x14ac:dyDescent="0.3">
      <c r="A23" t="s">
        <v>62</v>
      </c>
      <c r="B23" s="5">
        <v>42036</v>
      </c>
      <c r="C23" t="s">
        <v>18</v>
      </c>
      <c r="D23">
        <v>19</v>
      </c>
      <c r="E23">
        <v>5</v>
      </c>
      <c r="F23">
        <v>95</v>
      </c>
      <c r="G23" t="s">
        <v>15</v>
      </c>
    </row>
    <row r="24" spans="1:17" x14ac:dyDescent="0.3">
      <c r="A24" t="s">
        <v>63</v>
      </c>
      <c r="B24" s="5">
        <v>42036</v>
      </c>
      <c r="C24" t="s">
        <v>737</v>
      </c>
      <c r="D24">
        <v>19.5</v>
      </c>
      <c r="E24">
        <v>10</v>
      </c>
      <c r="F24">
        <v>195</v>
      </c>
      <c r="G24" t="s">
        <v>15</v>
      </c>
    </row>
    <row r="25" spans="1:17" x14ac:dyDescent="0.3">
      <c r="A25" t="s">
        <v>65</v>
      </c>
      <c r="B25" s="5">
        <v>42036</v>
      </c>
      <c r="C25" t="s">
        <v>66</v>
      </c>
      <c r="D25">
        <v>55</v>
      </c>
      <c r="E25">
        <v>42</v>
      </c>
      <c r="F25">
        <v>2310</v>
      </c>
      <c r="G25" t="s">
        <v>15</v>
      </c>
    </row>
    <row r="26" spans="1:17" x14ac:dyDescent="0.3">
      <c r="A26" t="s">
        <v>67</v>
      </c>
      <c r="B26" s="5">
        <v>42036</v>
      </c>
      <c r="C26" t="s">
        <v>735</v>
      </c>
      <c r="D26">
        <v>14</v>
      </c>
      <c r="E26">
        <v>10</v>
      </c>
      <c r="F26">
        <v>140</v>
      </c>
      <c r="G26" t="s">
        <v>15</v>
      </c>
      <c r="I26" s="81" t="s">
        <v>5</v>
      </c>
    </row>
    <row r="27" spans="1:17" x14ac:dyDescent="0.3">
      <c r="A27" t="s">
        <v>69</v>
      </c>
      <c r="B27" s="5">
        <v>42043</v>
      </c>
      <c r="C27" t="s">
        <v>70</v>
      </c>
      <c r="D27">
        <v>14</v>
      </c>
      <c r="E27">
        <v>15</v>
      </c>
      <c r="F27">
        <v>210</v>
      </c>
      <c r="G27" t="s">
        <v>26</v>
      </c>
      <c r="I27" t="s">
        <v>758</v>
      </c>
    </row>
    <row r="28" spans="1:17" x14ac:dyDescent="0.3">
      <c r="A28" t="s">
        <v>71</v>
      </c>
      <c r="B28" s="5">
        <v>42043</v>
      </c>
      <c r="C28" t="s">
        <v>653</v>
      </c>
      <c r="D28">
        <v>18</v>
      </c>
      <c r="E28">
        <v>4</v>
      </c>
      <c r="F28">
        <v>72</v>
      </c>
      <c r="G28" t="s">
        <v>26</v>
      </c>
    </row>
    <row r="29" spans="1:17" x14ac:dyDescent="0.3">
      <c r="Q29" s="5"/>
    </row>
    <row r="31" spans="1:17" x14ac:dyDescent="0.3">
      <c r="K31" s="83" t="s">
        <v>0</v>
      </c>
      <c r="L31" s="96" t="s">
        <v>1</v>
      </c>
      <c r="M31" s="81" t="s">
        <v>5</v>
      </c>
      <c r="N31" s="81" t="s">
        <v>6</v>
      </c>
      <c r="O31" s="81" t="s">
        <v>7</v>
      </c>
      <c r="P31" s="81" t="s">
        <v>8</v>
      </c>
      <c r="Q31" s="82" t="s">
        <v>9</v>
      </c>
    </row>
    <row r="32" spans="1:17" x14ac:dyDescent="0.3">
      <c r="K32" t="s">
        <v>10</v>
      </c>
      <c r="L32" s="5">
        <v>42011</v>
      </c>
      <c r="M32" t="s">
        <v>736</v>
      </c>
      <c r="N32">
        <v>7</v>
      </c>
      <c r="O32">
        <v>20</v>
      </c>
      <c r="P32">
        <v>140</v>
      </c>
      <c r="Q32" t="s">
        <v>15</v>
      </c>
    </row>
    <row r="33" spans="11:17" x14ac:dyDescent="0.3">
      <c r="K33" t="s">
        <v>23</v>
      </c>
      <c r="L33" s="5">
        <v>42017</v>
      </c>
      <c r="M33" t="s">
        <v>736</v>
      </c>
      <c r="N33">
        <v>7.75</v>
      </c>
      <c r="O33">
        <v>20</v>
      </c>
      <c r="P33">
        <v>155</v>
      </c>
      <c r="Q33" t="s">
        <v>26</v>
      </c>
    </row>
    <row r="34" spans="11:17" x14ac:dyDescent="0.3">
      <c r="K34" t="s">
        <v>44</v>
      </c>
      <c r="L34" s="5">
        <v>42023</v>
      </c>
      <c r="M34" t="s">
        <v>736</v>
      </c>
      <c r="N34">
        <v>19</v>
      </c>
      <c r="O34">
        <v>10</v>
      </c>
      <c r="P34">
        <v>190</v>
      </c>
      <c r="Q34" t="s">
        <v>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1F51-D0EA-429E-B613-94F90AC2E50E}">
  <sheetPr codeName="Hoja8">
    <tabColor theme="8" tint="-0.249977111117893"/>
  </sheetPr>
  <dimension ref="A1:W610"/>
  <sheetViews>
    <sheetView topLeftCell="A555" zoomScale="70" zoomScaleNormal="70" workbookViewId="0">
      <selection sqref="A1:J1"/>
    </sheetView>
  </sheetViews>
  <sheetFormatPr baseColWidth="10" defaultRowHeight="14.4" x14ac:dyDescent="0.3"/>
  <cols>
    <col min="2" max="2" width="14" customWidth="1"/>
    <col min="4" max="4" width="18" customWidth="1"/>
    <col min="5" max="5" width="20" customWidth="1"/>
    <col min="6" max="6" width="18.88671875" customWidth="1"/>
    <col min="7" max="7" width="15.5546875" customWidth="1"/>
    <col min="10" max="10" width="16.109375" customWidth="1"/>
    <col min="12" max="12" width="14.6640625" customWidth="1"/>
    <col min="13" max="13" width="14" customWidth="1"/>
    <col min="14" max="14" width="19.6640625" customWidth="1"/>
    <col min="15" max="15" width="20" customWidth="1"/>
    <col min="16" max="16" width="19.88671875" customWidth="1"/>
    <col min="17" max="17" width="29.6640625" customWidth="1"/>
    <col min="18" max="18" width="15.44140625" customWidth="1"/>
    <col min="20" max="20" width="17.5546875" customWidth="1"/>
    <col min="21" max="21" width="16.109375" customWidth="1"/>
    <col min="22" max="22" width="18.44140625" customWidth="1"/>
    <col min="23" max="23" width="19" customWidth="1"/>
  </cols>
  <sheetData>
    <row r="1" spans="1:10" ht="31.5" customHeight="1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</row>
    <row r="2" spans="1:10" x14ac:dyDescent="0.3">
      <c r="A2" t="s">
        <v>10</v>
      </c>
      <c r="B2">
        <v>42011</v>
      </c>
      <c r="C2" t="s">
        <v>11</v>
      </c>
      <c r="D2" t="s">
        <v>12</v>
      </c>
      <c r="E2" t="s">
        <v>13</v>
      </c>
      <c r="F2" t="s">
        <v>14</v>
      </c>
      <c r="G2">
        <v>7</v>
      </c>
      <c r="H2">
        <v>20</v>
      </c>
      <c r="I2">
        <v>140</v>
      </c>
      <c r="J2" t="s">
        <v>15</v>
      </c>
    </row>
    <row r="3" spans="1:10" x14ac:dyDescent="0.3">
      <c r="A3" t="s">
        <v>16</v>
      </c>
      <c r="B3">
        <v>42015</v>
      </c>
      <c r="C3" t="s">
        <v>11</v>
      </c>
      <c r="D3" t="s">
        <v>12</v>
      </c>
      <c r="E3" t="s">
        <v>17</v>
      </c>
      <c r="F3" t="s">
        <v>18</v>
      </c>
      <c r="G3">
        <v>19</v>
      </c>
      <c r="H3">
        <v>12</v>
      </c>
      <c r="I3">
        <v>228</v>
      </c>
      <c r="J3" t="s">
        <v>15</v>
      </c>
    </row>
    <row r="4" spans="1:10" x14ac:dyDescent="0.3">
      <c r="A4" t="s">
        <v>19</v>
      </c>
      <c r="B4">
        <v>42015</v>
      </c>
      <c r="C4" t="s">
        <v>20</v>
      </c>
      <c r="D4" t="s">
        <v>12</v>
      </c>
      <c r="E4" t="s">
        <v>21</v>
      </c>
      <c r="F4" t="s">
        <v>22</v>
      </c>
      <c r="G4">
        <v>12</v>
      </c>
      <c r="H4">
        <v>35</v>
      </c>
      <c r="I4">
        <v>420</v>
      </c>
      <c r="J4" t="s">
        <v>15</v>
      </c>
    </row>
    <row r="5" spans="1:10" x14ac:dyDescent="0.3">
      <c r="A5" t="s">
        <v>23</v>
      </c>
      <c r="B5">
        <v>42017</v>
      </c>
      <c r="C5" t="s">
        <v>20</v>
      </c>
      <c r="D5" t="s">
        <v>24</v>
      </c>
      <c r="E5" t="s">
        <v>17</v>
      </c>
      <c r="F5" t="s">
        <v>25</v>
      </c>
      <c r="G5">
        <v>7.75</v>
      </c>
      <c r="H5">
        <v>20</v>
      </c>
      <c r="I5">
        <v>155</v>
      </c>
      <c r="J5" t="s">
        <v>26</v>
      </c>
    </row>
    <row r="6" spans="1:10" x14ac:dyDescent="0.3">
      <c r="A6" t="s">
        <v>27</v>
      </c>
      <c r="B6">
        <v>42017</v>
      </c>
      <c r="C6" t="s">
        <v>28</v>
      </c>
      <c r="D6" t="s">
        <v>24</v>
      </c>
      <c r="E6" t="s">
        <v>17</v>
      </c>
      <c r="F6" t="s">
        <v>29</v>
      </c>
      <c r="G6">
        <v>46</v>
      </c>
      <c r="H6">
        <v>7</v>
      </c>
      <c r="I6">
        <v>322</v>
      </c>
      <c r="J6" t="s">
        <v>26</v>
      </c>
    </row>
    <row r="7" spans="1:10" x14ac:dyDescent="0.3">
      <c r="A7" t="s">
        <v>30</v>
      </c>
      <c r="B7">
        <v>42023</v>
      </c>
      <c r="C7" t="s">
        <v>31</v>
      </c>
      <c r="D7" t="s">
        <v>24</v>
      </c>
      <c r="E7" t="s">
        <v>17</v>
      </c>
      <c r="F7" t="s">
        <v>32</v>
      </c>
      <c r="G7">
        <v>263.5</v>
      </c>
      <c r="H7">
        <v>2</v>
      </c>
      <c r="I7">
        <v>527</v>
      </c>
      <c r="J7" t="s">
        <v>15</v>
      </c>
    </row>
    <row r="8" spans="1:10" x14ac:dyDescent="0.3">
      <c r="A8" t="s">
        <v>33</v>
      </c>
      <c r="B8">
        <v>42023</v>
      </c>
      <c r="C8" t="s">
        <v>20</v>
      </c>
      <c r="D8" t="s">
        <v>24</v>
      </c>
      <c r="E8" t="s">
        <v>34</v>
      </c>
      <c r="F8" t="s">
        <v>35</v>
      </c>
      <c r="G8">
        <v>81</v>
      </c>
      <c r="H8">
        <v>5</v>
      </c>
      <c r="I8">
        <v>405</v>
      </c>
      <c r="J8" t="s">
        <v>15</v>
      </c>
    </row>
    <row r="9" spans="1:10" x14ac:dyDescent="0.3">
      <c r="A9" t="s">
        <v>36</v>
      </c>
      <c r="B9">
        <v>42023</v>
      </c>
      <c r="C9" t="s">
        <v>20</v>
      </c>
      <c r="D9" t="s">
        <v>12</v>
      </c>
      <c r="E9" t="s">
        <v>17</v>
      </c>
      <c r="F9" t="s">
        <v>37</v>
      </c>
      <c r="G9">
        <v>18</v>
      </c>
      <c r="H9">
        <v>28</v>
      </c>
      <c r="I9">
        <v>504</v>
      </c>
      <c r="J9" t="s">
        <v>26</v>
      </c>
    </row>
    <row r="10" spans="1:10" x14ac:dyDescent="0.3">
      <c r="A10" t="s">
        <v>38</v>
      </c>
      <c r="B10">
        <v>42023</v>
      </c>
      <c r="C10" t="s">
        <v>11</v>
      </c>
      <c r="D10" t="s">
        <v>12</v>
      </c>
      <c r="E10" t="s">
        <v>21</v>
      </c>
      <c r="F10" t="s">
        <v>39</v>
      </c>
      <c r="G10">
        <v>25</v>
      </c>
      <c r="H10">
        <v>6</v>
      </c>
      <c r="I10">
        <v>150</v>
      </c>
      <c r="J10" t="s">
        <v>26</v>
      </c>
    </row>
    <row r="11" spans="1:10" x14ac:dyDescent="0.3">
      <c r="A11" t="s">
        <v>40</v>
      </c>
      <c r="B11">
        <v>42023</v>
      </c>
      <c r="C11" t="s">
        <v>20</v>
      </c>
      <c r="D11" t="s">
        <v>12</v>
      </c>
      <c r="E11" t="s">
        <v>13</v>
      </c>
      <c r="F11" t="s">
        <v>41</v>
      </c>
      <c r="G11">
        <v>34</v>
      </c>
      <c r="H11">
        <v>30</v>
      </c>
      <c r="I11">
        <v>1020</v>
      </c>
      <c r="J11" t="s">
        <v>26</v>
      </c>
    </row>
    <row r="12" spans="1:10" x14ac:dyDescent="0.3">
      <c r="A12" t="s">
        <v>42</v>
      </c>
      <c r="B12">
        <v>42023</v>
      </c>
      <c r="C12" t="s">
        <v>31</v>
      </c>
      <c r="D12" t="s">
        <v>12</v>
      </c>
      <c r="E12" t="s">
        <v>34</v>
      </c>
      <c r="F12" t="s">
        <v>43</v>
      </c>
      <c r="G12">
        <v>12.5</v>
      </c>
      <c r="H12">
        <v>24</v>
      </c>
      <c r="I12">
        <v>300</v>
      </c>
      <c r="J12" t="s">
        <v>26</v>
      </c>
    </row>
    <row r="13" spans="1:10" x14ac:dyDescent="0.3">
      <c r="A13" t="s">
        <v>44</v>
      </c>
      <c r="B13">
        <v>42023</v>
      </c>
      <c r="C13" t="s">
        <v>31</v>
      </c>
      <c r="D13" t="s">
        <v>45</v>
      </c>
      <c r="E13" t="s">
        <v>17</v>
      </c>
      <c r="F13" t="s">
        <v>18</v>
      </c>
      <c r="G13">
        <v>19</v>
      </c>
      <c r="H13">
        <v>10</v>
      </c>
      <c r="I13">
        <v>190</v>
      </c>
      <c r="J13" t="s">
        <v>15</v>
      </c>
    </row>
    <row r="14" spans="1:10" x14ac:dyDescent="0.3">
      <c r="A14" t="s">
        <v>46</v>
      </c>
      <c r="B14">
        <v>42023</v>
      </c>
      <c r="C14" t="s">
        <v>11</v>
      </c>
      <c r="D14" t="s">
        <v>45</v>
      </c>
      <c r="E14" t="s">
        <v>21</v>
      </c>
      <c r="F14" t="s">
        <v>47</v>
      </c>
      <c r="G14">
        <v>40</v>
      </c>
      <c r="H14">
        <v>20</v>
      </c>
      <c r="I14">
        <v>800</v>
      </c>
      <c r="J14" t="s">
        <v>15</v>
      </c>
    </row>
    <row r="15" spans="1:10" x14ac:dyDescent="0.3">
      <c r="A15" t="s">
        <v>48</v>
      </c>
      <c r="B15">
        <v>42023</v>
      </c>
      <c r="C15" t="s">
        <v>11</v>
      </c>
      <c r="D15" t="s">
        <v>45</v>
      </c>
      <c r="E15" t="s">
        <v>13</v>
      </c>
      <c r="F15" t="s">
        <v>41</v>
      </c>
      <c r="G15">
        <v>34</v>
      </c>
      <c r="H15">
        <v>21</v>
      </c>
      <c r="I15">
        <v>714</v>
      </c>
      <c r="J15" t="s">
        <v>15</v>
      </c>
    </row>
    <row r="16" spans="1:10" x14ac:dyDescent="0.3">
      <c r="A16" t="s">
        <v>49</v>
      </c>
      <c r="B16">
        <v>42023</v>
      </c>
      <c r="C16" t="s">
        <v>20</v>
      </c>
      <c r="D16" t="s">
        <v>45</v>
      </c>
      <c r="E16" t="s">
        <v>13</v>
      </c>
      <c r="F16" t="s">
        <v>14</v>
      </c>
      <c r="G16">
        <v>6</v>
      </c>
      <c r="H16">
        <v>10</v>
      </c>
      <c r="I16">
        <v>60</v>
      </c>
      <c r="J16" t="s">
        <v>15</v>
      </c>
    </row>
    <row r="17" spans="1:23" x14ac:dyDescent="0.3">
      <c r="A17" t="s">
        <v>50</v>
      </c>
      <c r="B17">
        <v>42025</v>
      </c>
      <c r="C17" t="s">
        <v>11</v>
      </c>
      <c r="D17" t="s">
        <v>12</v>
      </c>
      <c r="E17" t="s">
        <v>51</v>
      </c>
      <c r="F17" t="s">
        <v>52</v>
      </c>
      <c r="G17">
        <v>123.79</v>
      </c>
      <c r="H17">
        <v>8</v>
      </c>
      <c r="I17">
        <v>990.32</v>
      </c>
      <c r="J17" t="s">
        <v>26</v>
      </c>
    </row>
    <row r="18" spans="1:23" x14ac:dyDescent="0.3">
      <c r="A18" t="s">
        <v>53</v>
      </c>
      <c r="B18">
        <v>42025</v>
      </c>
      <c r="C18" t="s">
        <v>31</v>
      </c>
      <c r="D18" t="s">
        <v>12</v>
      </c>
      <c r="E18" t="s">
        <v>17</v>
      </c>
      <c r="F18" t="s">
        <v>54</v>
      </c>
      <c r="G18">
        <v>25.89</v>
      </c>
      <c r="H18">
        <v>20</v>
      </c>
      <c r="I18">
        <v>517.79999999999995</v>
      </c>
      <c r="J18" t="s">
        <v>26</v>
      </c>
    </row>
    <row r="19" spans="1:23" x14ac:dyDescent="0.3">
      <c r="A19" t="s">
        <v>55</v>
      </c>
      <c r="B19">
        <v>42029</v>
      </c>
      <c r="C19" t="s">
        <v>28</v>
      </c>
      <c r="D19" t="s">
        <v>12</v>
      </c>
      <c r="E19" t="s">
        <v>13</v>
      </c>
      <c r="F19" t="s">
        <v>56</v>
      </c>
      <c r="G19">
        <v>34.799999999999997</v>
      </c>
      <c r="H19">
        <v>15</v>
      </c>
      <c r="I19">
        <v>522</v>
      </c>
      <c r="J19" t="s">
        <v>26</v>
      </c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</row>
    <row r="20" spans="1:23" x14ac:dyDescent="0.3">
      <c r="A20" t="s">
        <v>57</v>
      </c>
      <c r="B20">
        <v>42029</v>
      </c>
      <c r="C20" t="s">
        <v>20</v>
      </c>
      <c r="D20" t="s">
        <v>12</v>
      </c>
      <c r="E20" t="s">
        <v>17</v>
      </c>
      <c r="F20" t="s">
        <v>54</v>
      </c>
      <c r="G20">
        <v>13.25</v>
      </c>
      <c r="H20">
        <v>30</v>
      </c>
      <c r="I20">
        <v>397.5</v>
      </c>
      <c r="J20" t="s">
        <v>26</v>
      </c>
      <c r="M20" s="99" t="s">
        <v>0</v>
      </c>
      <c r="N20" s="97" t="s">
        <v>1</v>
      </c>
      <c r="O20" s="97" t="s">
        <v>2</v>
      </c>
      <c r="P20" s="97" t="s">
        <v>3</v>
      </c>
      <c r="Q20" s="97" t="s">
        <v>4</v>
      </c>
      <c r="R20" s="97" t="s">
        <v>5</v>
      </c>
      <c r="S20" s="97" t="s">
        <v>6</v>
      </c>
      <c r="T20" s="97" t="s">
        <v>7</v>
      </c>
      <c r="U20" s="97" t="s">
        <v>8</v>
      </c>
      <c r="V20" s="97" t="s">
        <v>8</v>
      </c>
      <c r="W20" s="98" t="s">
        <v>9</v>
      </c>
    </row>
    <row r="21" spans="1:23" x14ac:dyDescent="0.3">
      <c r="A21" t="s">
        <v>58</v>
      </c>
      <c r="B21">
        <v>42033</v>
      </c>
      <c r="C21" t="s">
        <v>11</v>
      </c>
      <c r="D21" t="s">
        <v>45</v>
      </c>
      <c r="E21" t="s">
        <v>51</v>
      </c>
      <c r="F21" t="s">
        <v>59</v>
      </c>
      <c r="G21">
        <v>97</v>
      </c>
      <c r="H21">
        <v>3</v>
      </c>
      <c r="I21">
        <v>291</v>
      </c>
      <c r="J21" t="s">
        <v>26</v>
      </c>
      <c r="M21" t="s">
        <v>759</v>
      </c>
      <c r="R21" t="s">
        <v>761</v>
      </c>
      <c r="U21" t="s">
        <v>762</v>
      </c>
      <c r="V21" t="s">
        <v>752</v>
      </c>
      <c r="W21" t="s">
        <v>26</v>
      </c>
    </row>
    <row r="22" spans="1:23" x14ac:dyDescent="0.3">
      <c r="A22" t="s">
        <v>60</v>
      </c>
      <c r="B22">
        <v>42033</v>
      </c>
      <c r="C22" t="s">
        <v>28</v>
      </c>
      <c r="D22" t="s">
        <v>45</v>
      </c>
      <c r="E22" t="s">
        <v>21</v>
      </c>
      <c r="F22" t="s">
        <v>61</v>
      </c>
      <c r="G22">
        <v>21.35</v>
      </c>
      <c r="H22">
        <v>30</v>
      </c>
      <c r="I22">
        <v>640.5</v>
      </c>
      <c r="J22" t="s">
        <v>26</v>
      </c>
      <c r="M22" t="s">
        <v>760</v>
      </c>
      <c r="R22" t="s">
        <v>761</v>
      </c>
      <c r="U22" t="s">
        <v>762</v>
      </c>
      <c r="V22" t="s">
        <v>752</v>
      </c>
      <c r="W22" t="s">
        <v>26</v>
      </c>
    </row>
    <row r="23" spans="1:23" x14ac:dyDescent="0.3">
      <c r="A23" t="s">
        <v>62</v>
      </c>
      <c r="B23">
        <v>42036</v>
      </c>
      <c r="C23" t="s">
        <v>11</v>
      </c>
      <c r="D23" t="s">
        <v>12</v>
      </c>
      <c r="E23" t="s">
        <v>17</v>
      </c>
      <c r="F23" t="s">
        <v>18</v>
      </c>
      <c r="G23">
        <v>19</v>
      </c>
      <c r="H23">
        <v>5</v>
      </c>
      <c r="I23">
        <v>95</v>
      </c>
      <c r="J23" t="s">
        <v>15</v>
      </c>
      <c r="N23" s="68"/>
      <c r="O23" s="68"/>
      <c r="P23" s="68"/>
      <c r="Q23" s="68"/>
      <c r="R23" s="68"/>
      <c r="S23" s="68"/>
      <c r="T23" s="68"/>
      <c r="U23" s="68"/>
      <c r="V23" s="68"/>
      <c r="W23" s="68"/>
    </row>
    <row r="24" spans="1:23" x14ac:dyDescent="0.3">
      <c r="A24" t="s">
        <v>63</v>
      </c>
      <c r="B24">
        <v>42036</v>
      </c>
      <c r="C24" t="s">
        <v>11</v>
      </c>
      <c r="D24" t="s">
        <v>12</v>
      </c>
      <c r="E24" t="s">
        <v>34</v>
      </c>
      <c r="F24" t="s">
        <v>64</v>
      </c>
      <c r="G24">
        <v>19.5</v>
      </c>
      <c r="H24">
        <v>10</v>
      </c>
      <c r="I24">
        <v>195</v>
      </c>
      <c r="J24" t="s">
        <v>15</v>
      </c>
    </row>
    <row r="25" spans="1:23" x14ac:dyDescent="0.3">
      <c r="A25" t="s">
        <v>65</v>
      </c>
      <c r="B25">
        <v>42036</v>
      </c>
      <c r="C25" t="s">
        <v>28</v>
      </c>
      <c r="D25" t="s">
        <v>12</v>
      </c>
      <c r="E25" t="s">
        <v>13</v>
      </c>
      <c r="F25" t="s">
        <v>66</v>
      </c>
      <c r="G25">
        <v>55</v>
      </c>
      <c r="H25">
        <v>42</v>
      </c>
      <c r="I25">
        <v>2310</v>
      </c>
      <c r="J25" t="s">
        <v>15</v>
      </c>
    </row>
    <row r="26" spans="1:23" x14ac:dyDescent="0.3">
      <c r="A26" t="s">
        <v>67</v>
      </c>
      <c r="B26">
        <v>42036</v>
      </c>
      <c r="C26" t="s">
        <v>11</v>
      </c>
      <c r="D26" t="s">
        <v>12</v>
      </c>
      <c r="E26" t="s">
        <v>34</v>
      </c>
      <c r="F26" t="s">
        <v>68</v>
      </c>
      <c r="G26">
        <v>14</v>
      </c>
      <c r="H26">
        <v>10</v>
      </c>
      <c r="I26">
        <v>140</v>
      </c>
      <c r="J26" t="s">
        <v>15</v>
      </c>
    </row>
    <row r="27" spans="1:23" x14ac:dyDescent="0.3">
      <c r="A27" t="s">
        <v>69</v>
      </c>
      <c r="B27">
        <v>42043</v>
      </c>
      <c r="C27" t="s">
        <v>31</v>
      </c>
      <c r="D27" t="s">
        <v>45</v>
      </c>
      <c r="E27" t="s">
        <v>17</v>
      </c>
      <c r="F27" t="s">
        <v>70</v>
      </c>
      <c r="G27">
        <v>14</v>
      </c>
      <c r="H27">
        <v>15</v>
      </c>
      <c r="I27">
        <v>210</v>
      </c>
      <c r="J27" t="s">
        <v>26</v>
      </c>
      <c r="M27" s="99" t="s">
        <v>0</v>
      </c>
      <c r="N27" s="97" t="s">
        <v>1</v>
      </c>
      <c r="O27" s="97" t="s">
        <v>2</v>
      </c>
      <c r="P27" s="97" t="s">
        <v>3</v>
      </c>
      <c r="Q27" s="97" t="s">
        <v>4</v>
      </c>
      <c r="R27" s="97" t="s">
        <v>5</v>
      </c>
      <c r="S27" s="97" t="s">
        <v>6</v>
      </c>
      <c r="T27" s="97" t="s">
        <v>7</v>
      </c>
      <c r="U27" s="97" t="s">
        <v>8</v>
      </c>
      <c r="V27" s="98" t="s">
        <v>9</v>
      </c>
    </row>
    <row r="28" spans="1:23" x14ac:dyDescent="0.3">
      <c r="A28" t="s">
        <v>71</v>
      </c>
      <c r="B28">
        <v>42043</v>
      </c>
      <c r="C28" t="s">
        <v>28</v>
      </c>
      <c r="D28" t="s">
        <v>45</v>
      </c>
      <c r="E28" t="s">
        <v>17</v>
      </c>
      <c r="F28" t="s">
        <v>72</v>
      </c>
      <c r="G28">
        <v>18</v>
      </c>
      <c r="H28">
        <v>4</v>
      </c>
      <c r="I28">
        <v>72</v>
      </c>
      <c r="J28" t="s">
        <v>26</v>
      </c>
      <c r="M28" t="s">
        <v>151</v>
      </c>
      <c r="N28">
        <v>42082</v>
      </c>
      <c r="O28" t="s">
        <v>31</v>
      </c>
      <c r="P28" t="s">
        <v>85</v>
      </c>
      <c r="Q28" t="s">
        <v>34</v>
      </c>
      <c r="R28" t="s">
        <v>64</v>
      </c>
      <c r="S28">
        <v>16.25</v>
      </c>
      <c r="T28">
        <v>9</v>
      </c>
      <c r="U28">
        <v>146.25</v>
      </c>
      <c r="V28" t="s">
        <v>26</v>
      </c>
    </row>
    <row r="29" spans="1:23" x14ac:dyDescent="0.3">
      <c r="A29" t="s">
        <v>73</v>
      </c>
      <c r="B29">
        <v>42045</v>
      </c>
      <c r="C29" t="s">
        <v>20</v>
      </c>
      <c r="D29" t="s">
        <v>12</v>
      </c>
      <c r="E29" t="s">
        <v>17</v>
      </c>
      <c r="F29" t="s">
        <v>72</v>
      </c>
      <c r="G29">
        <v>18</v>
      </c>
      <c r="H29">
        <v>30</v>
      </c>
      <c r="I29">
        <v>540</v>
      </c>
      <c r="J29" t="s">
        <v>26</v>
      </c>
      <c r="M29" t="s">
        <v>187</v>
      </c>
      <c r="N29">
        <v>42114</v>
      </c>
      <c r="O29" t="s">
        <v>20</v>
      </c>
      <c r="P29" t="s">
        <v>12</v>
      </c>
      <c r="Q29" t="s">
        <v>34</v>
      </c>
      <c r="R29" t="s">
        <v>188</v>
      </c>
      <c r="S29">
        <v>9.1999999999999993</v>
      </c>
      <c r="T29">
        <v>35</v>
      </c>
      <c r="U29">
        <v>322</v>
      </c>
      <c r="V29" t="s">
        <v>26</v>
      </c>
    </row>
    <row r="30" spans="1:23" x14ac:dyDescent="0.3">
      <c r="A30" t="s">
        <v>74</v>
      </c>
      <c r="B30">
        <v>42045</v>
      </c>
      <c r="C30" t="s">
        <v>11</v>
      </c>
      <c r="D30" t="s">
        <v>12</v>
      </c>
      <c r="E30" t="s">
        <v>34</v>
      </c>
      <c r="F30" t="s">
        <v>75</v>
      </c>
      <c r="G30">
        <v>20</v>
      </c>
      <c r="H30">
        <v>42</v>
      </c>
      <c r="I30">
        <v>840</v>
      </c>
      <c r="J30" t="s">
        <v>26</v>
      </c>
      <c r="M30" t="s">
        <v>281</v>
      </c>
      <c r="N30">
        <v>42312</v>
      </c>
      <c r="O30" t="s">
        <v>28</v>
      </c>
      <c r="P30" t="s">
        <v>12</v>
      </c>
      <c r="Q30" t="s">
        <v>34</v>
      </c>
      <c r="R30" t="s">
        <v>68</v>
      </c>
      <c r="S30">
        <v>14</v>
      </c>
      <c r="T30">
        <v>10</v>
      </c>
      <c r="U30">
        <v>140</v>
      </c>
      <c r="V30" t="s">
        <v>26</v>
      </c>
    </row>
    <row r="31" spans="1:23" x14ac:dyDescent="0.3">
      <c r="A31" t="s">
        <v>76</v>
      </c>
      <c r="B31">
        <v>42045</v>
      </c>
      <c r="C31" t="s">
        <v>31</v>
      </c>
      <c r="D31" t="s">
        <v>12</v>
      </c>
      <c r="E31" t="s">
        <v>34</v>
      </c>
      <c r="F31" t="s">
        <v>77</v>
      </c>
      <c r="G31">
        <v>31.23</v>
      </c>
      <c r="H31">
        <v>20</v>
      </c>
      <c r="I31">
        <v>624.6</v>
      </c>
      <c r="J31" t="s">
        <v>26</v>
      </c>
      <c r="M31" t="s">
        <v>318</v>
      </c>
      <c r="N31">
        <v>42016</v>
      </c>
      <c r="O31" t="s">
        <v>28</v>
      </c>
      <c r="P31" t="s">
        <v>12</v>
      </c>
      <c r="Q31" t="s">
        <v>34</v>
      </c>
      <c r="R31" t="s">
        <v>188</v>
      </c>
      <c r="S31">
        <v>9.1999999999999993</v>
      </c>
      <c r="T31">
        <v>18</v>
      </c>
      <c r="U31">
        <v>165.6</v>
      </c>
      <c r="V31" t="s">
        <v>26</v>
      </c>
    </row>
    <row r="32" spans="1:23" x14ac:dyDescent="0.3">
      <c r="A32" t="s">
        <v>78</v>
      </c>
      <c r="B32">
        <v>42045</v>
      </c>
      <c r="C32" t="s">
        <v>20</v>
      </c>
      <c r="D32" t="s">
        <v>45</v>
      </c>
      <c r="E32" t="s">
        <v>17</v>
      </c>
      <c r="F32" t="s">
        <v>79</v>
      </c>
      <c r="G32">
        <v>18</v>
      </c>
      <c r="H32">
        <v>40</v>
      </c>
      <c r="I32">
        <v>720</v>
      </c>
      <c r="J32" t="s">
        <v>15</v>
      </c>
      <c r="M32" t="s">
        <v>398</v>
      </c>
      <c r="N32">
        <v>42166</v>
      </c>
      <c r="O32" t="s">
        <v>20</v>
      </c>
      <c r="P32" t="s">
        <v>85</v>
      </c>
      <c r="Q32" t="s">
        <v>34</v>
      </c>
      <c r="R32" t="s">
        <v>64</v>
      </c>
      <c r="S32">
        <v>31</v>
      </c>
      <c r="T32">
        <v>5</v>
      </c>
      <c r="U32">
        <v>155</v>
      </c>
      <c r="V32" t="s">
        <v>26</v>
      </c>
    </row>
    <row r="33" spans="1:22" x14ac:dyDescent="0.3">
      <c r="A33" t="s">
        <v>80</v>
      </c>
      <c r="B33">
        <v>42045</v>
      </c>
      <c r="C33" t="s">
        <v>20</v>
      </c>
      <c r="D33" t="s">
        <v>45</v>
      </c>
      <c r="E33" t="s">
        <v>51</v>
      </c>
      <c r="F33" t="s">
        <v>81</v>
      </c>
      <c r="G33">
        <v>9</v>
      </c>
      <c r="H33">
        <v>50</v>
      </c>
      <c r="I33">
        <v>450</v>
      </c>
      <c r="J33" t="s">
        <v>15</v>
      </c>
      <c r="M33" t="s">
        <v>425</v>
      </c>
      <c r="N33">
        <v>42241</v>
      </c>
      <c r="O33" t="s">
        <v>11</v>
      </c>
      <c r="P33" t="s">
        <v>12</v>
      </c>
      <c r="Q33" t="s">
        <v>34</v>
      </c>
      <c r="R33" t="s">
        <v>188</v>
      </c>
      <c r="S33">
        <v>9.1999999999999993</v>
      </c>
      <c r="T33">
        <v>30</v>
      </c>
      <c r="U33">
        <v>276</v>
      </c>
      <c r="V33" t="s">
        <v>26</v>
      </c>
    </row>
    <row r="34" spans="1:22" x14ac:dyDescent="0.3">
      <c r="A34" t="s">
        <v>82</v>
      </c>
      <c r="B34">
        <v>42045</v>
      </c>
      <c r="C34" t="s">
        <v>28</v>
      </c>
      <c r="D34" t="s">
        <v>45</v>
      </c>
      <c r="E34" t="s">
        <v>13</v>
      </c>
      <c r="F34" t="s">
        <v>14</v>
      </c>
      <c r="G34">
        <v>21</v>
      </c>
      <c r="H34">
        <v>10</v>
      </c>
      <c r="I34">
        <v>210</v>
      </c>
      <c r="J34" t="s">
        <v>15</v>
      </c>
      <c r="M34" t="s">
        <v>318</v>
      </c>
      <c r="N34">
        <v>42012</v>
      </c>
      <c r="O34" t="s">
        <v>28</v>
      </c>
      <c r="P34" t="s">
        <v>12</v>
      </c>
      <c r="Q34" t="s">
        <v>34</v>
      </c>
      <c r="R34" t="s">
        <v>188</v>
      </c>
      <c r="S34">
        <v>9.1999999999999993</v>
      </c>
      <c r="T34">
        <v>18</v>
      </c>
      <c r="U34">
        <v>165.6</v>
      </c>
      <c r="V34" t="s">
        <v>26</v>
      </c>
    </row>
    <row r="35" spans="1:22" x14ac:dyDescent="0.3">
      <c r="A35" t="s">
        <v>83</v>
      </c>
      <c r="B35">
        <v>42045</v>
      </c>
      <c r="C35" t="s">
        <v>11</v>
      </c>
      <c r="D35" t="s">
        <v>45</v>
      </c>
      <c r="E35" t="s">
        <v>34</v>
      </c>
      <c r="F35" t="s">
        <v>43</v>
      </c>
      <c r="G35">
        <v>12.5</v>
      </c>
      <c r="H35">
        <v>20</v>
      </c>
      <c r="I35">
        <v>250</v>
      </c>
      <c r="J35" t="s">
        <v>15</v>
      </c>
    </row>
    <row r="36" spans="1:22" x14ac:dyDescent="0.3">
      <c r="A36" t="s">
        <v>84</v>
      </c>
      <c r="B36">
        <v>42046</v>
      </c>
      <c r="C36" t="s">
        <v>20</v>
      </c>
      <c r="D36" t="s">
        <v>85</v>
      </c>
      <c r="E36" t="s">
        <v>51</v>
      </c>
      <c r="F36" t="s">
        <v>81</v>
      </c>
      <c r="G36">
        <v>24</v>
      </c>
      <c r="H36">
        <v>10</v>
      </c>
      <c r="I36">
        <v>240</v>
      </c>
      <c r="J36" t="s">
        <v>26</v>
      </c>
    </row>
    <row r="37" spans="1:22" x14ac:dyDescent="0.3">
      <c r="A37" t="s">
        <v>86</v>
      </c>
      <c r="B37">
        <v>42046</v>
      </c>
      <c r="C37" t="s">
        <v>11</v>
      </c>
      <c r="D37" t="s">
        <v>85</v>
      </c>
      <c r="E37" t="s">
        <v>21</v>
      </c>
      <c r="F37" t="s">
        <v>87</v>
      </c>
      <c r="G37">
        <v>21.05</v>
      </c>
      <c r="H37">
        <v>21</v>
      </c>
      <c r="I37">
        <v>442.05</v>
      </c>
      <c r="J37" t="s">
        <v>26</v>
      </c>
    </row>
    <row r="38" spans="1:22" x14ac:dyDescent="0.3">
      <c r="A38" t="s">
        <v>88</v>
      </c>
      <c r="B38">
        <v>42046</v>
      </c>
      <c r="C38" t="s">
        <v>31</v>
      </c>
      <c r="D38" t="s">
        <v>85</v>
      </c>
      <c r="E38" t="s">
        <v>21</v>
      </c>
      <c r="F38" t="s">
        <v>22</v>
      </c>
      <c r="G38">
        <v>33.25</v>
      </c>
      <c r="H38">
        <v>15</v>
      </c>
      <c r="I38">
        <v>498.75</v>
      </c>
      <c r="J38" t="s">
        <v>26</v>
      </c>
    </row>
    <row r="39" spans="1:22" x14ac:dyDescent="0.3">
      <c r="A39" t="s">
        <v>89</v>
      </c>
      <c r="B39">
        <v>42046</v>
      </c>
      <c r="C39" t="s">
        <v>31</v>
      </c>
      <c r="D39" t="s">
        <v>85</v>
      </c>
      <c r="E39" t="s">
        <v>34</v>
      </c>
      <c r="F39" t="s">
        <v>90</v>
      </c>
      <c r="G39">
        <v>49.3</v>
      </c>
      <c r="H39">
        <v>20</v>
      </c>
      <c r="I39">
        <v>986</v>
      </c>
      <c r="J39" t="s">
        <v>26</v>
      </c>
    </row>
    <row r="40" spans="1:22" x14ac:dyDescent="0.3">
      <c r="A40" t="s">
        <v>91</v>
      </c>
      <c r="B40">
        <v>42047</v>
      </c>
      <c r="C40" t="s">
        <v>20</v>
      </c>
      <c r="D40" t="s">
        <v>85</v>
      </c>
      <c r="E40" t="s">
        <v>21</v>
      </c>
      <c r="F40" t="s">
        <v>22</v>
      </c>
      <c r="G40">
        <v>31</v>
      </c>
      <c r="H40">
        <v>10</v>
      </c>
      <c r="I40">
        <v>310</v>
      </c>
      <c r="J40" t="s">
        <v>26</v>
      </c>
    </row>
    <row r="41" spans="1:22" x14ac:dyDescent="0.3">
      <c r="A41" t="s">
        <v>92</v>
      </c>
      <c r="B41">
        <v>42050</v>
      </c>
      <c r="C41" t="s">
        <v>28</v>
      </c>
      <c r="D41" t="s">
        <v>12</v>
      </c>
      <c r="E41" t="s">
        <v>17</v>
      </c>
      <c r="F41" t="s">
        <v>54</v>
      </c>
      <c r="G41">
        <v>62.5</v>
      </c>
      <c r="H41">
        <v>25</v>
      </c>
      <c r="I41">
        <v>1562.5</v>
      </c>
      <c r="J41" t="s">
        <v>15</v>
      </c>
    </row>
    <row r="42" spans="1:22" x14ac:dyDescent="0.3">
      <c r="A42" t="s">
        <v>93</v>
      </c>
      <c r="B42">
        <v>42050</v>
      </c>
      <c r="C42" t="s">
        <v>11</v>
      </c>
      <c r="D42" t="s">
        <v>12</v>
      </c>
      <c r="E42" t="s">
        <v>34</v>
      </c>
      <c r="F42" t="s">
        <v>94</v>
      </c>
      <c r="G42">
        <v>17.45</v>
      </c>
      <c r="H42">
        <v>30</v>
      </c>
      <c r="I42">
        <v>523.5</v>
      </c>
      <c r="J42" t="s">
        <v>15</v>
      </c>
    </row>
    <row r="43" spans="1:22" x14ac:dyDescent="0.3">
      <c r="A43" t="s">
        <v>95</v>
      </c>
      <c r="B43">
        <v>42052</v>
      </c>
      <c r="C43" t="s">
        <v>31</v>
      </c>
      <c r="D43" t="s">
        <v>24</v>
      </c>
      <c r="E43" t="s">
        <v>17</v>
      </c>
      <c r="F43" t="s">
        <v>54</v>
      </c>
      <c r="G43">
        <v>15</v>
      </c>
      <c r="H43">
        <v>10</v>
      </c>
      <c r="I43">
        <v>150</v>
      </c>
      <c r="J43" t="s">
        <v>15</v>
      </c>
    </row>
    <row r="44" spans="1:22" x14ac:dyDescent="0.3">
      <c r="A44" t="s">
        <v>96</v>
      </c>
      <c r="B44">
        <v>42054</v>
      </c>
      <c r="C44" t="s">
        <v>31</v>
      </c>
      <c r="D44" t="s">
        <v>12</v>
      </c>
      <c r="E44" t="s">
        <v>21</v>
      </c>
      <c r="F44" t="s">
        <v>97</v>
      </c>
      <c r="G44">
        <v>13</v>
      </c>
      <c r="H44">
        <v>40</v>
      </c>
      <c r="I44">
        <v>520</v>
      </c>
      <c r="J44" t="s">
        <v>15</v>
      </c>
    </row>
    <row r="45" spans="1:22" x14ac:dyDescent="0.3">
      <c r="A45" t="s">
        <v>98</v>
      </c>
      <c r="B45">
        <v>42054</v>
      </c>
      <c r="C45" t="s">
        <v>20</v>
      </c>
      <c r="D45" t="s">
        <v>12</v>
      </c>
      <c r="E45" t="s">
        <v>13</v>
      </c>
      <c r="F45" t="s">
        <v>99</v>
      </c>
      <c r="G45">
        <v>12.5</v>
      </c>
      <c r="H45">
        <v>35</v>
      </c>
      <c r="I45">
        <v>437.5</v>
      </c>
      <c r="J45" t="s">
        <v>15</v>
      </c>
    </row>
    <row r="46" spans="1:22" x14ac:dyDescent="0.3">
      <c r="A46" t="s">
        <v>100</v>
      </c>
      <c r="B46">
        <v>42054</v>
      </c>
      <c r="C46" t="s">
        <v>28</v>
      </c>
      <c r="D46" t="s">
        <v>12</v>
      </c>
      <c r="E46" t="s">
        <v>21</v>
      </c>
      <c r="F46" t="s">
        <v>22</v>
      </c>
      <c r="G46">
        <v>31</v>
      </c>
      <c r="H46">
        <v>70</v>
      </c>
      <c r="I46">
        <v>2170</v>
      </c>
      <c r="J46" t="s">
        <v>15</v>
      </c>
    </row>
    <row r="47" spans="1:22" x14ac:dyDescent="0.3">
      <c r="A47" t="s">
        <v>101</v>
      </c>
      <c r="B47">
        <v>42054</v>
      </c>
      <c r="C47" t="s">
        <v>11</v>
      </c>
      <c r="D47" t="s">
        <v>85</v>
      </c>
      <c r="E47" t="s">
        <v>34</v>
      </c>
      <c r="F47" t="s">
        <v>68</v>
      </c>
      <c r="G47">
        <v>14</v>
      </c>
      <c r="H47">
        <v>5</v>
      </c>
      <c r="I47">
        <v>70</v>
      </c>
      <c r="J47" t="s">
        <v>26</v>
      </c>
    </row>
    <row r="48" spans="1:22" x14ac:dyDescent="0.3">
      <c r="A48" t="s">
        <v>102</v>
      </c>
      <c r="B48">
        <v>42057</v>
      </c>
      <c r="C48" t="s">
        <v>11</v>
      </c>
      <c r="D48" t="s">
        <v>85</v>
      </c>
      <c r="E48" t="s">
        <v>17</v>
      </c>
      <c r="F48" t="s">
        <v>18</v>
      </c>
      <c r="G48">
        <v>19</v>
      </c>
      <c r="H48">
        <v>20</v>
      </c>
      <c r="I48">
        <v>380</v>
      </c>
      <c r="J48" t="s">
        <v>26</v>
      </c>
    </row>
    <row r="49" spans="1:10" x14ac:dyDescent="0.3">
      <c r="A49" t="s">
        <v>103</v>
      </c>
      <c r="B49">
        <v>42057</v>
      </c>
      <c r="C49" t="s">
        <v>31</v>
      </c>
      <c r="D49" t="s">
        <v>85</v>
      </c>
      <c r="E49" t="s">
        <v>34</v>
      </c>
      <c r="F49" t="s">
        <v>43</v>
      </c>
      <c r="G49">
        <v>12.5</v>
      </c>
      <c r="H49">
        <v>18</v>
      </c>
      <c r="I49">
        <v>225</v>
      </c>
      <c r="J49" t="s">
        <v>26</v>
      </c>
    </row>
    <row r="50" spans="1:10" x14ac:dyDescent="0.3">
      <c r="A50" t="s">
        <v>104</v>
      </c>
      <c r="B50">
        <v>42061</v>
      </c>
      <c r="C50" t="s">
        <v>11</v>
      </c>
      <c r="D50" t="s">
        <v>24</v>
      </c>
      <c r="E50" t="s">
        <v>13</v>
      </c>
      <c r="F50" t="s">
        <v>14</v>
      </c>
      <c r="G50">
        <v>6</v>
      </c>
      <c r="H50">
        <v>5</v>
      </c>
      <c r="I50">
        <v>30</v>
      </c>
      <c r="J50" t="s">
        <v>26</v>
      </c>
    </row>
    <row r="51" spans="1:10" x14ac:dyDescent="0.3">
      <c r="A51" t="s">
        <v>105</v>
      </c>
      <c r="B51">
        <v>42061</v>
      </c>
      <c r="C51" t="s">
        <v>28</v>
      </c>
      <c r="D51" t="s">
        <v>12</v>
      </c>
      <c r="E51" t="s">
        <v>17</v>
      </c>
      <c r="F51" t="s">
        <v>54</v>
      </c>
      <c r="G51">
        <v>15</v>
      </c>
      <c r="H51">
        <v>3</v>
      </c>
      <c r="I51">
        <v>45</v>
      </c>
      <c r="J51" t="s">
        <v>26</v>
      </c>
    </row>
    <row r="52" spans="1:10" x14ac:dyDescent="0.3">
      <c r="A52" t="s">
        <v>106</v>
      </c>
      <c r="B52">
        <v>42065</v>
      </c>
      <c r="C52" t="s">
        <v>11</v>
      </c>
      <c r="D52" t="s">
        <v>12</v>
      </c>
      <c r="E52" t="s">
        <v>17</v>
      </c>
      <c r="F52" t="s">
        <v>79</v>
      </c>
      <c r="G52">
        <v>18</v>
      </c>
      <c r="H52">
        <v>20</v>
      </c>
      <c r="I52">
        <v>360</v>
      </c>
      <c r="J52" t="s">
        <v>26</v>
      </c>
    </row>
    <row r="53" spans="1:10" x14ac:dyDescent="0.3">
      <c r="A53" t="s">
        <v>107</v>
      </c>
      <c r="B53">
        <v>42065</v>
      </c>
      <c r="C53" t="s">
        <v>28</v>
      </c>
      <c r="D53" t="s">
        <v>12</v>
      </c>
      <c r="E53" t="s">
        <v>21</v>
      </c>
      <c r="F53" t="s">
        <v>87</v>
      </c>
      <c r="G53">
        <v>21.05</v>
      </c>
      <c r="H53">
        <v>21</v>
      </c>
      <c r="I53">
        <v>442.05</v>
      </c>
      <c r="J53" t="s">
        <v>26</v>
      </c>
    </row>
    <row r="54" spans="1:10" x14ac:dyDescent="0.3">
      <c r="A54" t="s">
        <v>108</v>
      </c>
      <c r="B54">
        <v>42065</v>
      </c>
      <c r="C54" t="s">
        <v>31</v>
      </c>
      <c r="D54" t="s">
        <v>12</v>
      </c>
      <c r="E54" t="s">
        <v>21</v>
      </c>
      <c r="F54" t="s">
        <v>22</v>
      </c>
      <c r="G54">
        <v>6</v>
      </c>
      <c r="H54">
        <v>40</v>
      </c>
      <c r="I54">
        <v>240</v>
      </c>
      <c r="J54" t="s">
        <v>26</v>
      </c>
    </row>
    <row r="55" spans="1:10" x14ac:dyDescent="0.3">
      <c r="A55" t="s">
        <v>109</v>
      </c>
      <c r="B55">
        <v>42065</v>
      </c>
      <c r="C55" t="s">
        <v>31</v>
      </c>
      <c r="D55" t="s">
        <v>12</v>
      </c>
      <c r="E55" t="s">
        <v>34</v>
      </c>
      <c r="F55" t="s">
        <v>43</v>
      </c>
      <c r="G55">
        <v>12.5</v>
      </c>
      <c r="H55">
        <v>20</v>
      </c>
      <c r="I55">
        <v>250</v>
      </c>
      <c r="J55" t="s">
        <v>26</v>
      </c>
    </row>
    <row r="56" spans="1:10" x14ac:dyDescent="0.3">
      <c r="A56" t="s">
        <v>110</v>
      </c>
      <c r="B56">
        <v>42067</v>
      </c>
      <c r="C56" t="s">
        <v>20</v>
      </c>
      <c r="D56" t="s">
        <v>12</v>
      </c>
      <c r="E56" t="s">
        <v>21</v>
      </c>
      <c r="F56" t="s">
        <v>111</v>
      </c>
      <c r="G56">
        <v>22</v>
      </c>
      <c r="H56">
        <v>30</v>
      </c>
      <c r="I56">
        <v>660</v>
      </c>
      <c r="J56" t="s">
        <v>15</v>
      </c>
    </row>
    <row r="57" spans="1:10" x14ac:dyDescent="0.3">
      <c r="A57" t="s">
        <v>112</v>
      </c>
      <c r="B57">
        <v>42067</v>
      </c>
      <c r="C57" t="s">
        <v>20</v>
      </c>
      <c r="D57" t="s">
        <v>12</v>
      </c>
      <c r="E57" t="s">
        <v>13</v>
      </c>
      <c r="F57" t="s">
        <v>113</v>
      </c>
      <c r="G57">
        <v>2.5</v>
      </c>
      <c r="H57">
        <v>40</v>
      </c>
      <c r="I57">
        <v>100</v>
      </c>
      <c r="J57" t="s">
        <v>15</v>
      </c>
    </row>
    <row r="58" spans="1:10" x14ac:dyDescent="0.3">
      <c r="A58" t="s">
        <v>114</v>
      </c>
      <c r="B58">
        <v>42067</v>
      </c>
      <c r="C58" t="s">
        <v>28</v>
      </c>
      <c r="D58" t="s">
        <v>12</v>
      </c>
      <c r="E58" t="s">
        <v>21</v>
      </c>
      <c r="F58" t="s">
        <v>22</v>
      </c>
      <c r="G58">
        <v>13.25</v>
      </c>
      <c r="H58">
        <v>15</v>
      </c>
      <c r="I58">
        <v>198.75</v>
      </c>
      <c r="J58" t="s">
        <v>15</v>
      </c>
    </row>
    <row r="59" spans="1:10" x14ac:dyDescent="0.3">
      <c r="A59" t="s">
        <v>115</v>
      </c>
      <c r="B59">
        <v>42067</v>
      </c>
      <c r="C59" t="s">
        <v>31</v>
      </c>
      <c r="D59" t="s">
        <v>85</v>
      </c>
      <c r="E59" t="s">
        <v>17</v>
      </c>
      <c r="F59" t="s">
        <v>70</v>
      </c>
      <c r="G59">
        <v>14</v>
      </c>
      <c r="H59">
        <v>15</v>
      </c>
      <c r="I59">
        <v>210</v>
      </c>
      <c r="J59" t="s">
        <v>15</v>
      </c>
    </row>
    <row r="60" spans="1:10" x14ac:dyDescent="0.3">
      <c r="A60" t="s">
        <v>116</v>
      </c>
      <c r="B60">
        <v>42067</v>
      </c>
      <c r="C60" t="s">
        <v>20</v>
      </c>
      <c r="D60" t="s">
        <v>85</v>
      </c>
      <c r="E60" t="s">
        <v>17</v>
      </c>
      <c r="F60" t="s">
        <v>79</v>
      </c>
      <c r="G60">
        <v>18</v>
      </c>
      <c r="H60">
        <v>10</v>
      </c>
      <c r="I60">
        <v>180</v>
      </c>
      <c r="J60" t="s">
        <v>15</v>
      </c>
    </row>
    <row r="61" spans="1:10" x14ac:dyDescent="0.3">
      <c r="A61" t="s">
        <v>117</v>
      </c>
      <c r="B61">
        <v>42067</v>
      </c>
      <c r="C61" t="s">
        <v>31</v>
      </c>
      <c r="D61" t="s">
        <v>85</v>
      </c>
      <c r="E61" t="s">
        <v>51</v>
      </c>
      <c r="F61" t="s">
        <v>118</v>
      </c>
      <c r="G61">
        <v>39</v>
      </c>
      <c r="H61">
        <v>12</v>
      </c>
      <c r="I61">
        <v>468</v>
      </c>
      <c r="J61" t="s">
        <v>15</v>
      </c>
    </row>
    <row r="62" spans="1:10" x14ac:dyDescent="0.3">
      <c r="A62" t="s">
        <v>119</v>
      </c>
      <c r="B62">
        <v>42068</v>
      </c>
      <c r="C62" t="s">
        <v>11</v>
      </c>
      <c r="D62" t="s">
        <v>24</v>
      </c>
      <c r="E62" t="s">
        <v>13</v>
      </c>
      <c r="F62" t="s">
        <v>14</v>
      </c>
      <c r="G62">
        <v>19.5</v>
      </c>
      <c r="H62">
        <v>80</v>
      </c>
      <c r="I62">
        <v>1560</v>
      </c>
      <c r="J62" t="s">
        <v>26</v>
      </c>
    </row>
    <row r="63" spans="1:10" x14ac:dyDescent="0.3">
      <c r="A63" t="s">
        <v>120</v>
      </c>
      <c r="B63">
        <v>42068</v>
      </c>
      <c r="C63" t="s">
        <v>11</v>
      </c>
      <c r="D63" t="s">
        <v>24</v>
      </c>
      <c r="E63" t="s">
        <v>13</v>
      </c>
      <c r="F63" t="s">
        <v>121</v>
      </c>
      <c r="G63">
        <v>32</v>
      </c>
      <c r="H63">
        <v>6</v>
      </c>
      <c r="I63">
        <v>192</v>
      </c>
      <c r="J63" t="s">
        <v>26</v>
      </c>
    </row>
    <row r="64" spans="1:10" x14ac:dyDescent="0.3">
      <c r="A64" t="s">
        <v>122</v>
      </c>
      <c r="B64">
        <v>42068</v>
      </c>
      <c r="C64" t="s">
        <v>11</v>
      </c>
      <c r="D64" t="s">
        <v>24</v>
      </c>
      <c r="E64" t="s">
        <v>34</v>
      </c>
      <c r="F64" t="s">
        <v>94</v>
      </c>
      <c r="G64">
        <v>17.45</v>
      </c>
      <c r="H64">
        <v>6</v>
      </c>
      <c r="I64">
        <v>104.69999999999999</v>
      </c>
      <c r="J64" t="s">
        <v>26</v>
      </c>
    </row>
    <row r="65" spans="1:10" x14ac:dyDescent="0.3">
      <c r="A65" t="s">
        <v>123</v>
      </c>
      <c r="B65">
        <v>42068</v>
      </c>
      <c r="C65" t="s">
        <v>31</v>
      </c>
      <c r="D65" t="s">
        <v>12</v>
      </c>
      <c r="E65" t="s">
        <v>13</v>
      </c>
      <c r="F65" t="s">
        <v>124</v>
      </c>
      <c r="G65">
        <v>21.5</v>
      </c>
      <c r="H65">
        <v>25</v>
      </c>
      <c r="I65">
        <v>537.5</v>
      </c>
      <c r="J65" t="s">
        <v>15</v>
      </c>
    </row>
    <row r="66" spans="1:10" x14ac:dyDescent="0.3">
      <c r="A66" t="s">
        <v>125</v>
      </c>
      <c r="B66">
        <v>42071</v>
      </c>
      <c r="C66" t="s">
        <v>20</v>
      </c>
      <c r="D66" t="s">
        <v>85</v>
      </c>
      <c r="E66" t="s">
        <v>13</v>
      </c>
      <c r="F66" t="s">
        <v>41</v>
      </c>
      <c r="G66">
        <v>34</v>
      </c>
      <c r="H66">
        <v>10</v>
      </c>
      <c r="I66">
        <v>340</v>
      </c>
      <c r="J66" t="s">
        <v>26</v>
      </c>
    </row>
    <row r="67" spans="1:10" x14ac:dyDescent="0.3">
      <c r="A67" t="s">
        <v>126</v>
      </c>
      <c r="B67">
        <v>42071</v>
      </c>
      <c r="C67" t="s">
        <v>28</v>
      </c>
      <c r="D67" t="s">
        <v>85</v>
      </c>
      <c r="E67" t="s">
        <v>17</v>
      </c>
      <c r="F67" t="s">
        <v>54</v>
      </c>
      <c r="G67">
        <v>25.89</v>
      </c>
      <c r="H67">
        <v>1</v>
      </c>
      <c r="I67">
        <v>25.89</v>
      </c>
      <c r="J67" t="s">
        <v>26</v>
      </c>
    </row>
    <row r="68" spans="1:10" x14ac:dyDescent="0.3">
      <c r="A68" t="s">
        <v>127</v>
      </c>
      <c r="B68">
        <v>42072</v>
      </c>
      <c r="C68" t="s">
        <v>31</v>
      </c>
      <c r="D68" t="s">
        <v>12</v>
      </c>
      <c r="E68" t="s">
        <v>17</v>
      </c>
      <c r="F68" t="s">
        <v>128</v>
      </c>
      <c r="G68">
        <v>4.5</v>
      </c>
      <c r="H68">
        <v>35</v>
      </c>
      <c r="I68">
        <v>157.5</v>
      </c>
      <c r="J68" t="s">
        <v>26</v>
      </c>
    </row>
    <row r="69" spans="1:10" x14ac:dyDescent="0.3">
      <c r="A69" t="s">
        <v>129</v>
      </c>
      <c r="B69">
        <v>42072</v>
      </c>
      <c r="C69" t="s">
        <v>20</v>
      </c>
      <c r="D69" t="s">
        <v>12</v>
      </c>
      <c r="E69" t="s">
        <v>51</v>
      </c>
      <c r="F69" t="s">
        <v>118</v>
      </c>
      <c r="G69">
        <v>39</v>
      </c>
      <c r="H69">
        <v>15</v>
      </c>
      <c r="I69">
        <v>585</v>
      </c>
      <c r="J69" t="s">
        <v>26</v>
      </c>
    </row>
    <row r="70" spans="1:10" x14ac:dyDescent="0.3">
      <c r="A70" t="s">
        <v>130</v>
      </c>
      <c r="B70">
        <v>42072</v>
      </c>
      <c r="C70" t="s">
        <v>20</v>
      </c>
      <c r="D70" t="s">
        <v>45</v>
      </c>
      <c r="E70" t="s">
        <v>34</v>
      </c>
      <c r="F70" t="s">
        <v>64</v>
      </c>
      <c r="G70">
        <v>16.25</v>
      </c>
      <c r="H70">
        <v>24</v>
      </c>
      <c r="I70">
        <v>390</v>
      </c>
      <c r="J70" t="s">
        <v>26</v>
      </c>
    </row>
    <row r="71" spans="1:10" x14ac:dyDescent="0.3">
      <c r="A71" t="s">
        <v>131</v>
      </c>
      <c r="B71">
        <v>42073</v>
      </c>
      <c r="C71" t="s">
        <v>11</v>
      </c>
      <c r="D71" t="s">
        <v>12</v>
      </c>
      <c r="E71" t="s">
        <v>13</v>
      </c>
      <c r="F71" t="s">
        <v>14</v>
      </c>
      <c r="G71">
        <v>7</v>
      </c>
      <c r="H71">
        <v>12</v>
      </c>
      <c r="I71">
        <v>84</v>
      </c>
      <c r="J71" t="s">
        <v>15</v>
      </c>
    </row>
    <row r="72" spans="1:10" x14ac:dyDescent="0.3">
      <c r="A72" t="s">
        <v>132</v>
      </c>
      <c r="B72">
        <v>42073</v>
      </c>
      <c r="C72" t="s">
        <v>11</v>
      </c>
      <c r="D72" t="s">
        <v>12</v>
      </c>
      <c r="E72" t="s">
        <v>51</v>
      </c>
      <c r="F72" t="s">
        <v>81</v>
      </c>
      <c r="G72">
        <v>19</v>
      </c>
      <c r="H72">
        <v>25</v>
      </c>
      <c r="I72">
        <v>475</v>
      </c>
      <c r="J72" t="s">
        <v>15</v>
      </c>
    </row>
    <row r="73" spans="1:10" x14ac:dyDescent="0.3">
      <c r="A73" t="s">
        <v>133</v>
      </c>
      <c r="B73">
        <v>42074</v>
      </c>
      <c r="C73" t="s">
        <v>20</v>
      </c>
      <c r="D73" t="s">
        <v>85</v>
      </c>
      <c r="E73" t="s">
        <v>17</v>
      </c>
      <c r="F73" t="s">
        <v>134</v>
      </c>
      <c r="G73">
        <v>18</v>
      </c>
      <c r="H73">
        <v>5</v>
      </c>
      <c r="I73">
        <v>90</v>
      </c>
      <c r="J73" t="s">
        <v>15</v>
      </c>
    </row>
    <row r="74" spans="1:10" x14ac:dyDescent="0.3">
      <c r="A74" t="s">
        <v>135</v>
      </c>
      <c r="B74">
        <v>42074</v>
      </c>
      <c r="C74" t="s">
        <v>20</v>
      </c>
      <c r="D74" t="s">
        <v>85</v>
      </c>
      <c r="E74" t="s">
        <v>34</v>
      </c>
      <c r="F74" t="s">
        <v>136</v>
      </c>
      <c r="G74">
        <v>9.5</v>
      </c>
      <c r="H74">
        <v>5</v>
      </c>
      <c r="I74">
        <v>47.5</v>
      </c>
      <c r="J74" t="s">
        <v>15</v>
      </c>
    </row>
    <row r="75" spans="1:10" x14ac:dyDescent="0.3">
      <c r="A75" t="s">
        <v>137</v>
      </c>
      <c r="B75">
        <v>42075</v>
      </c>
      <c r="C75" t="s">
        <v>28</v>
      </c>
      <c r="D75" t="s">
        <v>45</v>
      </c>
      <c r="E75" t="s">
        <v>51</v>
      </c>
      <c r="F75" t="s">
        <v>138</v>
      </c>
      <c r="G75">
        <v>32.799999999999997</v>
      </c>
      <c r="H75">
        <v>2</v>
      </c>
      <c r="I75">
        <v>65.599999999999994</v>
      </c>
      <c r="J75" t="s">
        <v>26</v>
      </c>
    </row>
    <row r="76" spans="1:10" x14ac:dyDescent="0.3">
      <c r="A76" t="s">
        <v>139</v>
      </c>
      <c r="B76">
        <v>42075</v>
      </c>
      <c r="C76" t="s">
        <v>11</v>
      </c>
      <c r="D76" t="s">
        <v>45</v>
      </c>
      <c r="E76" t="s">
        <v>21</v>
      </c>
      <c r="F76" t="s">
        <v>22</v>
      </c>
      <c r="G76">
        <v>28.5</v>
      </c>
      <c r="H76">
        <v>30</v>
      </c>
      <c r="I76">
        <v>855</v>
      </c>
      <c r="J76" t="s">
        <v>26</v>
      </c>
    </row>
    <row r="77" spans="1:10" x14ac:dyDescent="0.3">
      <c r="A77" t="s">
        <v>140</v>
      </c>
      <c r="B77">
        <v>42078</v>
      </c>
      <c r="C77" t="s">
        <v>11</v>
      </c>
      <c r="D77" t="s">
        <v>12</v>
      </c>
      <c r="E77" t="s">
        <v>17</v>
      </c>
      <c r="F77" t="s">
        <v>79</v>
      </c>
      <c r="G77">
        <v>18</v>
      </c>
      <c r="H77">
        <v>21</v>
      </c>
      <c r="I77">
        <v>378</v>
      </c>
      <c r="J77" t="s">
        <v>26</v>
      </c>
    </row>
    <row r="78" spans="1:10" x14ac:dyDescent="0.3">
      <c r="A78" t="s">
        <v>141</v>
      </c>
      <c r="B78">
        <v>42078</v>
      </c>
      <c r="C78" t="s">
        <v>31</v>
      </c>
      <c r="D78" t="s">
        <v>12</v>
      </c>
      <c r="E78" t="s">
        <v>34</v>
      </c>
      <c r="F78" t="s">
        <v>64</v>
      </c>
      <c r="G78">
        <v>9</v>
      </c>
      <c r="H78">
        <v>8</v>
      </c>
      <c r="I78">
        <v>72</v>
      </c>
      <c r="J78" t="s">
        <v>26</v>
      </c>
    </row>
    <row r="79" spans="1:10" x14ac:dyDescent="0.3">
      <c r="A79" t="s">
        <v>142</v>
      </c>
      <c r="B79">
        <v>42078</v>
      </c>
      <c r="C79" t="s">
        <v>31</v>
      </c>
      <c r="D79" t="s">
        <v>12</v>
      </c>
      <c r="E79" t="s">
        <v>51</v>
      </c>
      <c r="F79" t="s">
        <v>81</v>
      </c>
      <c r="G79">
        <v>62.5</v>
      </c>
      <c r="H79">
        <v>4</v>
      </c>
      <c r="I79">
        <v>250</v>
      </c>
      <c r="J79" t="s">
        <v>26</v>
      </c>
    </row>
    <row r="80" spans="1:10" x14ac:dyDescent="0.3">
      <c r="A80" t="s">
        <v>143</v>
      </c>
      <c r="B80">
        <v>42079</v>
      </c>
      <c r="C80" t="s">
        <v>11</v>
      </c>
      <c r="D80" t="s">
        <v>24</v>
      </c>
      <c r="E80" t="s">
        <v>17</v>
      </c>
      <c r="F80" t="s">
        <v>144</v>
      </c>
      <c r="G80">
        <v>14</v>
      </c>
      <c r="H80">
        <v>20</v>
      </c>
      <c r="I80">
        <v>280</v>
      </c>
      <c r="J80" t="s">
        <v>26</v>
      </c>
    </row>
    <row r="81" spans="1:10" x14ac:dyDescent="0.3">
      <c r="A81" t="s">
        <v>145</v>
      </c>
      <c r="B81">
        <v>42079</v>
      </c>
      <c r="C81" t="s">
        <v>28</v>
      </c>
      <c r="D81" t="s">
        <v>24</v>
      </c>
      <c r="E81" t="s">
        <v>13</v>
      </c>
      <c r="F81" t="s">
        <v>14</v>
      </c>
      <c r="G81">
        <v>45.6</v>
      </c>
      <c r="H81">
        <v>8</v>
      </c>
      <c r="I81">
        <v>364.8</v>
      </c>
      <c r="J81" t="s">
        <v>26</v>
      </c>
    </row>
    <row r="82" spans="1:10" x14ac:dyDescent="0.3">
      <c r="A82" t="s">
        <v>146</v>
      </c>
      <c r="B82">
        <v>42080</v>
      </c>
      <c r="C82" t="s">
        <v>11</v>
      </c>
      <c r="D82" t="s">
        <v>45</v>
      </c>
      <c r="E82" t="s">
        <v>21</v>
      </c>
      <c r="F82" t="s">
        <v>22</v>
      </c>
      <c r="G82">
        <v>21</v>
      </c>
      <c r="H82">
        <v>21</v>
      </c>
      <c r="I82">
        <v>441</v>
      </c>
      <c r="J82" t="s">
        <v>26</v>
      </c>
    </row>
    <row r="83" spans="1:10" x14ac:dyDescent="0.3">
      <c r="A83" t="s">
        <v>147</v>
      </c>
      <c r="B83">
        <v>42080</v>
      </c>
      <c r="C83" t="s">
        <v>31</v>
      </c>
      <c r="D83" t="s">
        <v>45</v>
      </c>
      <c r="E83" t="s">
        <v>21</v>
      </c>
      <c r="F83" t="s">
        <v>22</v>
      </c>
      <c r="G83">
        <v>6</v>
      </c>
      <c r="H83">
        <v>15</v>
      </c>
      <c r="I83">
        <v>90</v>
      </c>
      <c r="J83" t="s">
        <v>26</v>
      </c>
    </row>
    <row r="84" spans="1:10" x14ac:dyDescent="0.3">
      <c r="A84" t="s">
        <v>148</v>
      </c>
      <c r="B84">
        <v>42080</v>
      </c>
      <c r="C84" t="s">
        <v>31</v>
      </c>
      <c r="D84" t="s">
        <v>45</v>
      </c>
      <c r="E84" t="s">
        <v>51</v>
      </c>
      <c r="F84" t="s">
        <v>81</v>
      </c>
      <c r="G84">
        <v>12</v>
      </c>
      <c r="H84">
        <v>15</v>
      </c>
      <c r="I84">
        <v>180</v>
      </c>
      <c r="J84" t="s">
        <v>26</v>
      </c>
    </row>
    <row r="85" spans="1:10" x14ac:dyDescent="0.3">
      <c r="A85" t="s">
        <v>149</v>
      </c>
      <c r="B85">
        <v>42082</v>
      </c>
      <c r="C85" t="s">
        <v>31</v>
      </c>
      <c r="D85" t="s">
        <v>85</v>
      </c>
      <c r="E85" t="s">
        <v>51</v>
      </c>
      <c r="F85" t="s">
        <v>81</v>
      </c>
      <c r="G85">
        <v>24</v>
      </c>
      <c r="H85">
        <v>4</v>
      </c>
      <c r="I85">
        <v>96</v>
      </c>
      <c r="J85" t="s">
        <v>26</v>
      </c>
    </row>
    <row r="86" spans="1:10" x14ac:dyDescent="0.3">
      <c r="A86" t="s">
        <v>150</v>
      </c>
      <c r="B86">
        <v>42082</v>
      </c>
      <c r="C86" t="s">
        <v>11</v>
      </c>
      <c r="D86" t="s">
        <v>85</v>
      </c>
      <c r="E86" t="s">
        <v>34</v>
      </c>
      <c r="F86" t="s">
        <v>64</v>
      </c>
      <c r="G86">
        <v>53</v>
      </c>
      <c r="H86">
        <v>40</v>
      </c>
      <c r="I86">
        <v>2120</v>
      </c>
      <c r="J86" t="s">
        <v>26</v>
      </c>
    </row>
    <row r="87" spans="1:10" x14ac:dyDescent="0.3">
      <c r="A87" t="s">
        <v>151</v>
      </c>
      <c r="B87">
        <v>42082</v>
      </c>
      <c r="C87" t="s">
        <v>31</v>
      </c>
      <c r="D87" t="s">
        <v>85</v>
      </c>
      <c r="E87" t="s">
        <v>34</v>
      </c>
      <c r="F87" t="s">
        <v>64</v>
      </c>
      <c r="G87">
        <v>16.25</v>
      </c>
      <c r="H87">
        <v>9</v>
      </c>
      <c r="I87">
        <v>146.25</v>
      </c>
      <c r="J87" t="s">
        <v>26</v>
      </c>
    </row>
    <row r="88" spans="1:10" x14ac:dyDescent="0.3">
      <c r="A88" t="s">
        <v>152</v>
      </c>
      <c r="B88">
        <v>42082</v>
      </c>
      <c r="C88" t="s">
        <v>28</v>
      </c>
      <c r="D88" t="s">
        <v>45</v>
      </c>
      <c r="E88" t="s">
        <v>13</v>
      </c>
      <c r="F88" t="s">
        <v>66</v>
      </c>
      <c r="G88">
        <v>55</v>
      </c>
      <c r="H88">
        <v>4</v>
      </c>
      <c r="I88">
        <v>220</v>
      </c>
      <c r="J88" t="s">
        <v>26</v>
      </c>
    </row>
    <row r="89" spans="1:10" x14ac:dyDescent="0.3">
      <c r="A89" t="s">
        <v>153</v>
      </c>
      <c r="B89">
        <v>42085</v>
      </c>
      <c r="C89" t="s">
        <v>11</v>
      </c>
      <c r="D89" t="s">
        <v>45</v>
      </c>
      <c r="E89" t="s">
        <v>13</v>
      </c>
      <c r="F89" t="s">
        <v>99</v>
      </c>
      <c r="G89">
        <v>12.5</v>
      </c>
      <c r="H89">
        <v>50</v>
      </c>
      <c r="I89">
        <v>625</v>
      </c>
      <c r="J89" t="s">
        <v>26</v>
      </c>
    </row>
    <row r="90" spans="1:10" x14ac:dyDescent="0.3">
      <c r="A90" t="s">
        <v>154</v>
      </c>
      <c r="B90">
        <v>42085</v>
      </c>
      <c r="C90" t="s">
        <v>11</v>
      </c>
      <c r="D90" t="s">
        <v>45</v>
      </c>
      <c r="E90" t="s">
        <v>34</v>
      </c>
      <c r="F90" t="s">
        <v>35</v>
      </c>
      <c r="G90">
        <v>81</v>
      </c>
      <c r="H90">
        <v>50</v>
      </c>
      <c r="I90">
        <v>4050</v>
      </c>
      <c r="J90" t="s">
        <v>26</v>
      </c>
    </row>
    <row r="91" spans="1:10" x14ac:dyDescent="0.3">
      <c r="A91" t="s">
        <v>155</v>
      </c>
      <c r="B91">
        <v>42087</v>
      </c>
      <c r="C91" t="s">
        <v>20</v>
      </c>
      <c r="D91" t="s">
        <v>24</v>
      </c>
      <c r="E91" t="s">
        <v>21</v>
      </c>
      <c r="F91" t="s">
        <v>61</v>
      </c>
      <c r="G91">
        <v>21.35</v>
      </c>
      <c r="H91">
        <v>20</v>
      </c>
      <c r="I91">
        <v>427</v>
      </c>
      <c r="J91" t="s">
        <v>26</v>
      </c>
    </row>
    <row r="92" spans="1:10" x14ac:dyDescent="0.3">
      <c r="A92" t="s">
        <v>156</v>
      </c>
      <c r="B92">
        <v>42087</v>
      </c>
      <c r="C92" t="s">
        <v>11</v>
      </c>
      <c r="D92" t="s">
        <v>24</v>
      </c>
      <c r="E92" t="s">
        <v>51</v>
      </c>
      <c r="F92" t="s">
        <v>81</v>
      </c>
      <c r="G92">
        <v>30</v>
      </c>
      <c r="H92">
        <v>6</v>
      </c>
      <c r="I92">
        <v>180</v>
      </c>
      <c r="J92" t="s">
        <v>26</v>
      </c>
    </row>
    <row r="93" spans="1:10" x14ac:dyDescent="0.3">
      <c r="A93" t="s">
        <v>157</v>
      </c>
      <c r="B93">
        <v>42087</v>
      </c>
      <c r="C93" t="s">
        <v>20</v>
      </c>
      <c r="D93" t="s">
        <v>24</v>
      </c>
      <c r="E93" t="s">
        <v>13</v>
      </c>
      <c r="F93" t="s">
        <v>56</v>
      </c>
      <c r="G93">
        <v>34.799999999999997</v>
      </c>
      <c r="H93">
        <v>5</v>
      </c>
      <c r="I93">
        <v>174</v>
      </c>
      <c r="J93" t="s">
        <v>26</v>
      </c>
    </row>
    <row r="94" spans="1:10" x14ac:dyDescent="0.3">
      <c r="A94" t="s">
        <v>158</v>
      </c>
      <c r="B94">
        <v>42087</v>
      </c>
      <c r="C94" t="s">
        <v>11</v>
      </c>
      <c r="D94" t="s">
        <v>12</v>
      </c>
      <c r="E94" t="s">
        <v>17</v>
      </c>
      <c r="F94" t="s">
        <v>25</v>
      </c>
      <c r="G94">
        <v>7.75</v>
      </c>
      <c r="H94">
        <v>20</v>
      </c>
      <c r="I94">
        <v>155</v>
      </c>
      <c r="J94" t="s">
        <v>26</v>
      </c>
    </row>
    <row r="95" spans="1:10" x14ac:dyDescent="0.3">
      <c r="A95" t="s">
        <v>159</v>
      </c>
      <c r="B95">
        <v>42088</v>
      </c>
      <c r="C95" t="s">
        <v>11</v>
      </c>
      <c r="D95" t="s">
        <v>24</v>
      </c>
      <c r="E95" t="s">
        <v>17</v>
      </c>
      <c r="F95" t="s">
        <v>134</v>
      </c>
      <c r="G95">
        <v>18</v>
      </c>
      <c r="H95">
        <v>60</v>
      </c>
      <c r="I95">
        <v>1080</v>
      </c>
      <c r="J95" t="s">
        <v>15</v>
      </c>
    </row>
    <row r="96" spans="1:10" x14ac:dyDescent="0.3">
      <c r="A96" t="s">
        <v>160</v>
      </c>
      <c r="B96">
        <v>42088</v>
      </c>
      <c r="C96" t="s">
        <v>20</v>
      </c>
      <c r="D96" t="s">
        <v>12</v>
      </c>
      <c r="E96" t="s">
        <v>21</v>
      </c>
      <c r="F96" t="s">
        <v>22</v>
      </c>
      <c r="G96">
        <v>7</v>
      </c>
      <c r="H96">
        <v>6</v>
      </c>
      <c r="I96">
        <v>42</v>
      </c>
      <c r="J96" t="s">
        <v>15</v>
      </c>
    </row>
    <row r="97" spans="1:10" x14ac:dyDescent="0.3">
      <c r="A97" t="s">
        <v>161</v>
      </c>
      <c r="B97">
        <v>42092</v>
      </c>
      <c r="C97" t="s">
        <v>11</v>
      </c>
      <c r="D97" t="s">
        <v>12</v>
      </c>
      <c r="E97" t="s">
        <v>51</v>
      </c>
      <c r="F97" t="s">
        <v>81</v>
      </c>
      <c r="G97">
        <v>12</v>
      </c>
      <c r="H97">
        <v>9</v>
      </c>
      <c r="I97">
        <v>108</v>
      </c>
      <c r="J97" t="s">
        <v>26</v>
      </c>
    </row>
    <row r="98" spans="1:10" x14ac:dyDescent="0.3">
      <c r="A98" t="s">
        <v>162</v>
      </c>
      <c r="B98">
        <v>42093</v>
      </c>
      <c r="C98" t="s">
        <v>11</v>
      </c>
      <c r="D98" t="s">
        <v>85</v>
      </c>
      <c r="E98" t="s">
        <v>21</v>
      </c>
      <c r="F98" t="s">
        <v>22</v>
      </c>
      <c r="G98">
        <v>7</v>
      </c>
      <c r="H98">
        <v>40</v>
      </c>
      <c r="I98">
        <v>280</v>
      </c>
      <c r="J98" t="s">
        <v>15</v>
      </c>
    </row>
    <row r="99" spans="1:10" x14ac:dyDescent="0.3">
      <c r="A99" t="s">
        <v>163</v>
      </c>
      <c r="B99">
        <v>42096</v>
      </c>
      <c r="C99" t="s">
        <v>28</v>
      </c>
      <c r="D99" t="s">
        <v>85</v>
      </c>
      <c r="E99" t="s">
        <v>17</v>
      </c>
      <c r="F99" t="s">
        <v>32</v>
      </c>
      <c r="G99">
        <v>263.5</v>
      </c>
      <c r="H99">
        <v>60</v>
      </c>
      <c r="I99">
        <v>15810</v>
      </c>
      <c r="J99" t="s">
        <v>26</v>
      </c>
    </row>
    <row r="100" spans="1:10" x14ac:dyDescent="0.3">
      <c r="A100" t="s">
        <v>164</v>
      </c>
      <c r="B100">
        <v>42099</v>
      </c>
      <c r="C100" t="s">
        <v>28</v>
      </c>
      <c r="D100" t="s">
        <v>24</v>
      </c>
      <c r="E100" t="s">
        <v>17</v>
      </c>
      <c r="F100" t="s">
        <v>134</v>
      </c>
      <c r="G100">
        <v>18</v>
      </c>
      <c r="H100">
        <v>10</v>
      </c>
      <c r="I100">
        <v>180</v>
      </c>
      <c r="J100" t="s">
        <v>26</v>
      </c>
    </row>
    <row r="101" spans="1:10" x14ac:dyDescent="0.3">
      <c r="A101" t="s">
        <v>165</v>
      </c>
      <c r="B101">
        <v>42099</v>
      </c>
      <c r="C101" t="s">
        <v>20</v>
      </c>
      <c r="D101" t="s">
        <v>24</v>
      </c>
      <c r="E101" t="s">
        <v>21</v>
      </c>
      <c r="F101" t="s">
        <v>97</v>
      </c>
      <c r="G101">
        <v>13</v>
      </c>
      <c r="H101">
        <v>15</v>
      </c>
      <c r="I101">
        <v>195</v>
      </c>
      <c r="J101" t="s">
        <v>26</v>
      </c>
    </row>
    <row r="102" spans="1:10" x14ac:dyDescent="0.3">
      <c r="A102" t="s">
        <v>166</v>
      </c>
      <c r="B102">
        <v>42099</v>
      </c>
      <c r="C102" t="s">
        <v>11</v>
      </c>
      <c r="D102" t="s">
        <v>24</v>
      </c>
      <c r="E102" t="s">
        <v>13</v>
      </c>
      <c r="F102" t="s">
        <v>14</v>
      </c>
      <c r="G102">
        <v>21</v>
      </c>
      <c r="H102">
        <v>30</v>
      </c>
      <c r="I102">
        <v>630</v>
      </c>
      <c r="J102" t="s">
        <v>26</v>
      </c>
    </row>
    <row r="103" spans="1:10" x14ac:dyDescent="0.3">
      <c r="A103" t="s">
        <v>167</v>
      </c>
      <c r="B103">
        <v>42099</v>
      </c>
      <c r="C103" t="s">
        <v>20</v>
      </c>
      <c r="D103" t="s">
        <v>24</v>
      </c>
      <c r="E103" t="s">
        <v>34</v>
      </c>
      <c r="F103" t="s">
        <v>35</v>
      </c>
      <c r="G103">
        <v>81</v>
      </c>
      <c r="H103">
        <v>15</v>
      </c>
      <c r="I103">
        <v>1215</v>
      </c>
      <c r="J103" t="s">
        <v>26</v>
      </c>
    </row>
    <row r="104" spans="1:10" x14ac:dyDescent="0.3">
      <c r="A104" t="s">
        <v>168</v>
      </c>
      <c r="B104">
        <v>42100</v>
      </c>
      <c r="C104" t="s">
        <v>28</v>
      </c>
      <c r="D104" t="s">
        <v>12</v>
      </c>
      <c r="E104" t="s">
        <v>21</v>
      </c>
      <c r="F104" t="s">
        <v>39</v>
      </c>
      <c r="G104">
        <v>25</v>
      </c>
      <c r="H104">
        <v>40</v>
      </c>
      <c r="I104">
        <v>1000</v>
      </c>
      <c r="J104" t="s">
        <v>15</v>
      </c>
    </row>
    <row r="105" spans="1:10" x14ac:dyDescent="0.3">
      <c r="A105" t="s">
        <v>169</v>
      </c>
      <c r="B105">
        <v>42100</v>
      </c>
      <c r="C105" t="s">
        <v>11</v>
      </c>
      <c r="D105" t="s">
        <v>12</v>
      </c>
      <c r="E105" t="s">
        <v>13</v>
      </c>
      <c r="F105" t="s">
        <v>14</v>
      </c>
      <c r="G105">
        <v>21</v>
      </c>
      <c r="H105">
        <v>15</v>
      </c>
      <c r="I105">
        <v>315</v>
      </c>
      <c r="J105" t="s">
        <v>15</v>
      </c>
    </row>
    <row r="106" spans="1:10" x14ac:dyDescent="0.3">
      <c r="A106" t="s">
        <v>170</v>
      </c>
      <c r="B106">
        <v>42100</v>
      </c>
      <c r="C106" t="s">
        <v>11</v>
      </c>
      <c r="D106" t="s">
        <v>12</v>
      </c>
      <c r="E106" t="s">
        <v>34</v>
      </c>
      <c r="F106" t="s">
        <v>64</v>
      </c>
      <c r="G106">
        <v>9.65</v>
      </c>
      <c r="H106">
        <v>4</v>
      </c>
      <c r="I106">
        <v>38.6</v>
      </c>
      <c r="J106" t="s">
        <v>15</v>
      </c>
    </row>
    <row r="107" spans="1:10" x14ac:dyDescent="0.3">
      <c r="A107" t="s">
        <v>171</v>
      </c>
      <c r="B107">
        <v>42100</v>
      </c>
      <c r="C107" t="s">
        <v>11</v>
      </c>
      <c r="D107" t="s">
        <v>45</v>
      </c>
      <c r="E107" t="s">
        <v>13</v>
      </c>
      <c r="F107" t="s">
        <v>14</v>
      </c>
      <c r="G107">
        <v>30</v>
      </c>
      <c r="H107">
        <v>60</v>
      </c>
      <c r="I107">
        <v>1800</v>
      </c>
      <c r="J107" t="s">
        <v>15</v>
      </c>
    </row>
    <row r="108" spans="1:10" x14ac:dyDescent="0.3">
      <c r="A108" t="s">
        <v>172</v>
      </c>
      <c r="B108">
        <v>42100</v>
      </c>
      <c r="C108" t="s">
        <v>28</v>
      </c>
      <c r="D108" t="s">
        <v>45</v>
      </c>
      <c r="E108" t="s">
        <v>17</v>
      </c>
      <c r="F108" t="s">
        <v>29</v>
      </c>
      <c r="G108">
        <v>46</v>
      </c>
      <c r="H108">
        <v>6</v>
      </c>
      <c r="I108">
        <v>276</v>
      </c>
      <c r="J108" t="s">
        <v>15</v>
      </c>
    </row>
    <row r="109" spans="1:10" x14ac:dyDescent="0.3">
      <c r="A109" t="s">
        <v>173</v>
      </c>
      <c r="B109">
        <v>42100</v>
      </c>
      <c r="C109" t="s">
        <v>20</v>
      </c>
      <c r="D109" t="s">
        <v>45</v>
      </c>
      <c r="E109" t="s">
        <v>13</v>
      </c>
      <c r="F109" t="s">
        <v>56</v>
      </c>
      <c r="G109">
        <v>34.799999999999997</v>
      </c>
      <c r="H109">
        <v>20</v>
      </c>
      <c r="I109">
        <v>696</v>
      </c>
      <c r="J109" t="s">
        <v>15</v>
      </c>
    </row>
    <row r="110" spans="1:10" x14ac:dyDescent="0.3">
      <c r="A110" t="s">
        <v>174</v>
      </c>
      <c r="B110">
        <v>42108</v>
      </c>
      <c r="C110" t="s">
        <v>31</v>
      </c>
      <c r="D110" t="s">
        <v>85</v>
      </c>
      <c r="E110" t="s">
        <v>17</v>
      </c>
      <c r="F110" t="s">
        <v>128</v>
      </c>
      <c r="G110">
        <v>4.5</v>
      </c>
      <c r="H110">
        <v>12</v>
      </c>
      <c r="I110">
        <v>54</v>
      </c>
      <c r="J110" t="s">
        <v>15</v>
      </c>
    </row>
    <row r="111" spans="1:10" x14ac:dyDescent="0.3">
      <c r="A111" t="s">
        <v>175</v>
      </c>
      <c r="B111">
        <v>42108</v>
      </c>
      <c r="C111" t="s">
        <v>20</v>
      </c>
      <c r="D111" t="s">
        <v>85</v>
      </c>
      <c r="E111" t="s">
        <v>13</v>
      </c>
      <c r="F111" t="s">
        <v>41</v>
      </c>
      <c r="G111">
        <v>34</v>
      </c>
      <c r="H111">
        <v>9</v>
      </c>
      <c r="I111">
        <v>306</v>
      </c>
      <c r="J111" t="s">
        <v>15</v>
      </c>
    </row>
    <row r="112" spans="1:10" x14ac:dyDescent="0.3">
      <c r="A112" t="s">
        <v>176</v>
      </c>
      <c r="B112">
        <v>42108</v>
      </c>
      <c r="C112" t="s">
        <v>31</v>
      </c>
      <c r="D112" t="s">
        <v>85</v>
      </c>
      <c r="E112" t="s">
        <v>13</v>
      </c>
      <c r="F112" t="s">
        <v>14</v>
      </c>
      <c r="G112">
        <v>19</v>
      </c>
      <c r="H112">
        <v>18</v>
      </c>
      <c r="I112">
        <v>342</v>
      </c>
      <c r="J112" t="s">
        <v>15</v>
      </c>
    </row>
    <row r="113" spans="1:10" x14ac:dyDescent="0.3">
      <c r="A113" t="s">
        <v>177</v>
      </c>
      <c r="B113">
        <v>42109</v>
      </c>
      <c r="C113" t="s">
        <v>20</v>
      </c>
      <c r="D113" t="s">
        <v>85</v>
      </c>
      <c r="E113" t="s">
        <v>17</v>
      </c>
      <c r="F113" t="s">
        <v>54</v>
      </c>
      <c r="G113">
        <v>9</v>
      </c>
      <c r="H113">
        <v>10</v>
      </c>
      <c r="I113">
        <v>90</v>
      </c>
      <c r="J113" t="s">
        <v>15</v>
      </c>
    </row>
    <row r="114" spans="1:10" x14ac:dyDescent="0.3">
      <c r="A114" t="s">
        <v>178</v>
      </c>
      <c r="B114">
        <v>42109</v>
      </c>
      <c r="C114" t="s">
        <v>31</v>
      </c>
      <c r="D114" t="s">
        <v>85</v>
      </c>
      <c r="E114" t="s">
        <v>34</v>
      </c>
      <c r="F114" t="s">
        <v>64</v>
      </c>
      <c r="G114">
        <v>14</v>
      </c>
      <c r="H114">
        <v>4</v>
      </c>
      <c r="I114">
        <v>56</v>
      </c>
      <c r="J114" t="s">
        <v>15</v>
      </c>
    </row>
    <row r="115" spans="1:10" x14ac:dyDescent="0.3">
      <c r="A115" t="s">
        <v>179</v>
      </c>
      <c r="B115">
        <v>42109</v>
      </c>
      <c r="C115" t="s">
        <v>20</v>
      </c>
      <c r="D115" t="s">
        <v>85</v>
      </c>
      <c r="E115" t="s">
        <v>13</v>
      </c>
      <c r="F115" t="s">
        <v>14</v>
      </c>
      <c r="G115">
        <v>9.5</v>
      </c>
      <c r="H115">
        <v>20</v>
      </c>
      <c r="I115">
        <v>190</v>
      </c>
      <c r="J115" t="s">
        <v>15</v>
      </c>
    </row>
    <row r="116" spans="1:10" x14ac:dyDescent="0.3">
      <c r="A116" t="s">
        <v>180</v>
      </c>
      <c r="B116">
        <v>42109</v>
      </c>
      <c r="C116" t="s">
        <v>28</v>
      </c>
      <c r="D116" t="s">
        <v>85</v>
      </c>
      <c r="E116" t="s">
        <v>34</v>
      </c>
      <c r="F116" t="s">
        <v>43</v>
      </c>
      <c r="G116">
        <v>12.5</v>
      </c>
      <c r="H116">
        <v>2</v>
      </c>
      <c r="I116">
        <v>25</v>
      </c>
      <c r="J116" t="s">
        <v>15</v>
      </c>
    </row>
    <row r="117" spans="1:10" x14ac:dyDescent="0.3">
      <c r="A117" t="s">
        <v>181</v>
      </c>
      <c r="B117">
        <v>42110</v>
      </c>
      <c r="C117" t="s">
        <v>20</v>
      </c>
      <c r="D117" t="s">
        <v>45</v>
      </c>
      <c r="E117" t="s">
        <v>13</v>
      </c>
      <c r="F117" t="s">
        <v>99</v>
      </c>
      <c r="G117">
        <v>12.5</v>
      </c>
      <c r="H117">
        <v>15</v>
      </c>
      <c r="I117">
        <v>187.5</v>
      </c>
      <c r="J117" t="s">
        <v>26</v>
      </c>
    </row>
    <row r="118" spans="1:10" x14ac:dyDescent="0.3">
      <c r="A118" t="s">
        <v>182</v>
      </c>
      <c r="B118">
        <v>42110</v>
      </c>
      <c r="C118" t="s">
        <v>20</v>
      </c>
      <c r="D118" t="s">
        <v>45</v>
      </c>
      <c r="E118" t="s">
        <v>21</v>
      </c>
      <c r="F118" t="s">
        <v>22</v>
      </c>
      <c r="G118">
        <v>19</v>
      </c>
      <c r="H118">
        <v>16</v>
      </c>
      <c r="I118">
        <v>304</v>
      </c>
      <c r="J118" t="s">
        <v>26</v>
      </c>
    </row>
    <row r="119" spans="1:10" x14ac:dyDescent="0.3">
      <c r="A119" t="s">
        <v>183</v>
      </c>
      <c r="B119">
        <v>42113</v>
      </c>
      <c r="C119" t="s">
        <v>20</v>
      </c>
      <c r="D119" t="s">
        <v>24</v>
      </c>
      <c r="E119" t="s">
        <v>21</v>
      </c>
      <c r="F119" t="s">
        <v>22</v>
      </c>
      <c r="G119">
        <v>12</v>
      </c>
      <c r="H119">
        <v>3</v>
      </c>
      <c r="I119">
        <v>36</v>
      </c>
      <c r="J119" t="s">
        <v>26</v>
      </c>
    </row>
    <row r="120" spans="1:10" x14ac:dyDescent="0.3">
      <c r="A120" t="s">
        <v>184</v>
      </c>
      <c r="B120">
        <v>42113</v>
      </c>
      <c r="C120" t="s">
        <v>31</v>
      </c>
      <c r="D120" t="s">
        <v>24</v>
      </c>
      <c r="E120" t="s">
        <v>34</v>
      </c>
      <c r="F120" t="s">
        <v>75</v>
      </c>
      <c r="G120">
        <v>20</v>
      </c>
      <c r="H120">
        <v>2</v>
      </c>
      <c r="I120">
        <v>40</v>
      </c>
      <c r="J120" t="s">
        <v>26</v>
      </c>
    </row>
    <row r="121" spans="1:10" x14ac:dyDescent="0.3">
      <c r="A121" t="s">
        <v>185</v>
      </c>
      <c r="B121">
        <v>42114</v>
      </c>
      <c r="C121" t="s">
        <v>11</v>
      </c>
      <c r="D121" t="s">
        <v>12</v>
      </c>
      <c r="E121" t="s">
        <v>13</v>
      </c>
      <c r="F121" t="s">
        <v>186</v>
      </c>
      <c r="G121">
        <v>36</v>
      </c>
      <c r="H121">
        <v>30</v>
      </c>
      <c r="I121">
        <v>1080</v>
      </c>
      <c r="J121" t="s">
        <v>26</v>
      </c>
    </row>
    <row r="122" spans="1:10" x14ac:dyDescent="0.3">
      <c r="A122" t="s">
        <v>187</v>
      </c>
      <c r="B122">
        <v>42114</v>
      </c>
      <c r="C122" t="s">
        <v>20</v>
      </c>
      <c r="D122" t="s">
        <v>12</v>
      </c>
      <c r="E122" t="s">
        <v>34</v>
      </c>
      <c r="F122" t="s">
        <v>188</v>
      </c>
      <c r="G122">
        <v>9.1999999999999993</v>
      </c>
      <c r="H122">
        <v>35</v>
      </c>
      <c r="I122">
        <v>322</v>
      </c>
      <c r="J122" t="s">
        <v>26</v>
      </c>
    </row>
    <row r="123" spans="1:10" x14ac:dyDescent="0.3">
      <c r="A123" t="s">
        <v>189</v>
      </c>
      <c r="B123">
        <v>42114</v>
      </c>
      <c r="C123" t="s">
        <v>28</v>
      </c>
      <c r="D123" t="s">
        <v>45</v>
      </c>
      <c r="E123" t="s">
        <v>17</v>
      </c>
      <c r="F123" t="s">
        <v>29</v>
      </c>
      <c r="G123">
        <v>46</v>
      </c>
      <c r="H123">
        <v>30</v>
      </c>
      <c r="I123">
        <v>1380</v>
      </c>
      <c r="J123" t="s">
        <v>26</v>
      </c>
    </row>
    <row r="124" spans="1:10" x14ac:dyDescent="0.3">
      <c r="A124" t="s">
        <v>190</v>
      </c>
      <c r="B124">
        <v>42114</v>
      </c>
      <c r="C124" t="s">
        <v>11</v>
      </c>
      <c r="D124" t="s">
        <v>45</v>
      </c>
      <c r="E124" t="s">
        <v>13</v>
      </c>
      <c r="F124" t="s">
        <v>14</v>
      </c>
      <c r="G124">
        <v>30</v>
      </c>
      <c r="H124">
        <v>4</v>
      </c>
      <c r="I124">
        <v>120</v>
      </c>
      <c r="J124" t="s">
        <v>26</v>
      </c>
    </row>
    <row r="125" spans="1:10" x14ac:dyDescent="0.3">
      <c r="A125" t="s">
        <v>191</v>
      </c>
      <c r="B125">
        <v>42115</v>
      </c>
      <c r="C125" t="s">
        <v>28</v>
      </c>
      <c r="D125" t="s">
        <v>45</v>
      </c>
      <c r="E125" t="s">
        <v>21</v>
      </c>
      <c r="F125" t="s">
        <v>87</v>
      </c>
      <c r="G125">
        <v>21.05</v>
      </c>
      <c r="H125">
        <v>21</v>
      </c>
      <c r="I125">
        <v>442.05</v>
      </c>
      <c r="J125" t="s">
        <v>15</v>
      </c>
    </row>
    <row r="126" spans="1:10" x14ac:dyDescent="0.3">
      <c r="A126" t="s">
        <v>192</v>
      </c>
      <c r="B126">
        <v>42115</v>
      </c>
      <c r="C126" t="s">
        <v>11</v>
      </c>
      <c r="D126" t="s">
        <v>45</v>
      </c>
      <c r="E126" t="s">
        <v>13</v>
      </c>
      <c r="F126" t="s">
        <v>124</v>
      </c>
      <c r="G126">
        <v>21.5</v>
      </c>
      <c r="H126">
        <v>50</v>
      </c>
      <c r="I126">
        <v>1075</v>
      </c>
      <c r="J126" t="s">
        <v>15</v>
      </c>
    </row>
    <row r="127" spans="1:10" x14ac:dyDescent="0.3">
      <c r="A127" t="s">
        <v>193</v>
      </c>
      <c r="B127">
        <v>42115</v>
      </c>
      <c r="C127" t="s">
        <v>31</v>
      </c>
      <c r="D127" t="s">
        <v>45</v>
      </c>
      <c r="E127" t="s">
        <v>13</v>
      </c>
      <c r="F127" t="s">
        <v>113</v>
      </c>
      <c r="G127">
        <v>2.5</v>
      </c>
      <c r="H127">
        <v>30</v>
      </c>
      <c r="I127">
        <v>75</v>
      </c>
      <c r="J127" t="s">
        <v>15</v>
      </c>
    </row>
    <row r="128" spans="1:10" x14ac:dyDescent="0.3">
      <c r="A128" t="s">
        <v>194</v>
      </c>
      <c r="B128">
        <v>42115</v>
      </c>
      <c r="C128" t="s">
        <v>31</v>
      </c>
      <c r="D128" t="s">
        <v>45</v>
      </c>
      <c r="E128" t="s">
        <v>34</v>
      </c>
      <c r="F128" t="s">
        <v>77</v>
      </c>
      <c r="G128">
        <v>31.23</v>
      </c>
      <c r="H128">
        <v>12</v>
      </c>
      <c r="I128">
        <v>374.76</v>
      </c>
      <c r="J128" t="s">
        <v>15</v>
      </c>
    </row>
    <row r="129" spans="1:10" x14ac:dyDescent="0.3">
      <c r="A129" t="s">
        <v>195</v>
      </c>
      <c r="B129">
        <v>42121</v>
      </c>
      <c r="C129" t="s">
        <v>31</v>
      </c>
      <c r="D129" t="s">
        <v>85</v>
      </c>
      <c r="E129" t="s">
        <v>17</v>
      </c>
      <c r="F129" t="s">
        <v>54</v>
      </c>
      <c r="G129">
        <v>15</v>
      </c>
      <c r="H129">
        <v>4</v>
      </c>
      <c r="I129">
        <v>60</v>
      </c>
      <c r="J129" t="s">
        <v>15</v>
      </c>
    </row>
    <row r="130" spans="1:10" x14ac:dyDescent="0.3">
      <c r="A130" t="s">
        <v>196</v>
      </c>
      <c r="B130">
        <v>42122</v>
      </c>
      <c r="C130" t="s">
        <v>28</v>
      </c>
      <c r="D130" t="s">
        <v>12</v>
      </c>
      <c r="E130" t="s">
        <v>21</v>
      </c>
      <c r="F130" t="s">
        <v>197</v>
      </c>
      <c r="G130">
        <v>19.45</v>
      </c>
      <c r="H130">
        <v>15</v>
      </c>
      <c r="I130">
        <v>291.75</v>
      </c>
      <c r="J130" t="s">
        <v>15</v>
      </c>
    </row>
    <row r="131" spans="1:10" x14ac:dyDescent="0.3">
      <c r="A131" t="s">
        <v>198</v>
      </c>
      <c r="B131">
        <v>42122</v>
      </c>
      <c r="C131" t="s">
        <v>20</v>
      </c>
      <c r="D131" t="s">
        <v>12</v>
      </c>
      <c r="E131" t="s">
        <v>21</v>
      </c>
      <c r="F131" t="s">
        <v>22</v>
      </c>
      <c r="G131">
        <v>28.5</v>
      </c>
      <c r="H131">
        <v>4</v>
      </c>
      <c r="I131">
        <v>114</v>
      </c>
      <c r="J131" t="s">
        <v>15</v>
      </c>
    </row>
    <row r="132" spans="1:10" x14ac:dyDescent="0.3">
      <c r="A132" t="s">
        <v>199</v>
      </c>
      <c r="B132">
        <v>42124</v>
      </c>
      <c r="C132" t="s">
        <v>31</v>
      </c>
      <c r="D132" t="s">
        <v>12</v>
      </c>
      <c r="E132" t="s">
        <v>13</v>
      </c>
      <c r="F132" t="s">
        <v>200</v>
      </c>
      <c r="G132">
        <v>38</v>
      </c>
      <c r="H132">
        <v>4</v>
      </c>
      <c r="I132">
        <v>152</v>
      </c>
      <c r="J132" t="s">
        <v>15</v>
      </c>
    </row>
    <row r="133" spans="1:10" x14ac:dyDescent="0.3">
      <c r="A133" t="s">
        <v>201</v>
      </c>
      <c r="B133">
        <v>42124</v>
      </c>
      <c r="C133" t="s">
        <v>28</v>
      </c>
      <c r="D133" t="s">
        <v>45</v>
      </c>
      <c r="E133" t="s">
        <v>17</v>
      </c>
      <c r="F133" t="s">
        <v>79</v>
      </c>
      <c r="G133">
        <v>18</v>
      </c>
      <c r="H133">
        <v>25</v>
      </c>
      <c r="I133">
        <v>450</v>
      </c>
      <c r="J133" t="s">
        <v>26</v>
      </c>
    </row>
    <row r="134" spans="1:10" x14ac:dyDescent="0.3">
      <c r="A134" t="s">
        <v>202</v>
      </c>
      <c r="B134">
        <v>42124</v>
      </c>
      <c r="C134" t="s">
        <v>31</v>
      </c>
      <c r="D134" t="s">
        <v>45</v>
      </c>
      <c r="E134" t="s">
        <v>21</v>
      </c>
      <c r="F134" t="s">
        <v>61</v>
      </c>
      <c r="G134">
        <v>21.35</v>
      </c>
      <c r="H134">
        <v>30</v>
      </c>
      <c r="I134">
        <v>640.5</v>
      </c>
      <c r="J134" t="s">
        <v>26</v>
      </c>
    </row>
    <row r="135" spans="1:10" x14ac:dyDescent="0.3">
      <c r="A135" t="s">
        <v>203</v>
      </c>
      <c r="B135">
        <v>42127</v>
      </c>
      <c r="C135" t="s">
        <v>11</v>
      </c>
      <c r="D135" t="s">
        <v>12</v>
      </c>
      <c r="E135" t="s">
        <v>17</v>
      </c>
      <c r="F135" t="s">
        <v>29</v>
      </c>
      <c r="G135">
        <v>46</v>
      </c>
      <c r="H135">
        <v>30</v>
      </c>
      <c r="I135">
        <v>1380</v>
      </c>
      <c r="J135" t="s">
        <v>15</v>
      </c>
    </row>
    <row r="136" spans="1:10" x14ac:dyDescent="0.3">
      <c r="A136" t="s">
        <v>204</v>
      </c>
      <c r="B136">
        <v>42127</v>
      </c>
      <c r="C136" t="s">
        <v>11</v>
      </c>
      <c r="D136" t="s">
        <v>12</v>
      </c>
      <c r="E136" t="s">
        <v>21</v>
      </c>
      <c r="F136" t="s">
        <v>22</v>
      </c>
      <c r="G136">
        <v>28.5</v>
      </c>
      <c r="H136">
        <v>10</v>
      </c>
      <c r="I136">
        <v>285</v>
      </c>
      <c r="J136" t="s">
        <v>15</v>
      </c>
    </row>
    <row r="137" spans="1:10" x14ac:dyDescent="0.3">
      <c r="A137" t="s">
        <v>205</v>
      </c>
      <c r="B137">
        <v>42128</v>
      </c>
      <c r="C137" t="s">
        <v>11</v>
      </c>
      <c r="D137" t="s">
        <v>24</v>
      </c>
      <c r="E137" t="s">
        <v>17</v>
      </c>
      <c r="F137" t="s">
        <v>70</v>
      </c>
      <c r="G137">
        <v>14</v>
      </c>
      <c r="H137">
        <v>20</v>
      </c>
      <c r="I137">
        <v>280</v>
      </c>
      <c r="J137" t="s">
        <v>15</v>
      </c>
    </row>
    <row r="138" spans="1:10" x14ac:dyDescent="0.3">
      <c r="A138" t="s">
        <v>206</v>
      </c>
      <c r="B138">
        <v>42128</v>
      </c>
      <c r="C138" t="s">
        <v>31</v>
      </c>
      <c r="D138" t="s">
        <v>45</v>
      </c>
      <c r="E138" t="s">
        <v>51</v>
      </c>
      <c r="F138" t="s">
        <v>81</v>
      </c>
      <c r="G138">
        <v>24</v>
      </c>
      <c r="H138">
        <v>35</v>
      </c>
      <c r="I138">
        <v>840</v>
      </c>
      <c r="J138" t="s">
        <v>26</v>
      </c>
    </row>
    <row r="139" spans="1:10" x14ac:dyDescent="0.3">
      <c r="A139" t="s">
        <v>207</v>
      </c>
      <c r="B139">
        <v>42128</v>
      </c>
      <c r="C139" t="s">
        <v>20</v>
      </c>
      <c r="D139" t="s">
        <v>45</v>
      </c>
      <c r="E139" t="s">
        <v>21</v>
      </c>
      <c r="F139" t="s">
        <v>22</v>
      </c>
      <c r="G139">
        <v>30</v>
      </c>
      <c r="H139">
        <v>40</v>
      </c>
      <c r="I139">
        <v>1200</v>
      </c>
      <c r="J139" t="s">
        <v>26</v>
      </c>
    </row>
    <row r="140" spans="1:10" x14ac:dyDescent="0.3">
      <c r="A140" t="s">
        <v>208</v>
      </c>
      <c r="B140">
        <v>42128</v>
      </c>
      <c r="C140" t="s">
        <v>20</v>
      </c>
      <c r="D140" t="s">
        <v>45</v>
      </c>
      <c r="E140" t="s">
        <v>13</v>
      </c>
      <c r="F140" t="s">
        <v>41</v>
      </c>
      <c r="G140">
        <v>34</v>
      </c>
      <c r="H140">
        <v>50</v>
      </c>
      <c r="I140">
        <v>1700</v>
      </c>
      <c r="J140" t="s">
        <v>26</v>
      </c>
    </row>
    <row r="141" spans="1:10" x14ac:dyDescent="0.3">
      <c r="A141" t="s">
        <v>209</v>
      </c>
      <c r="B141">
        <v>42129</v>
      </c>
      <c r="C141" t="s">
        <v>11</v>
      </c>
      <c r="D141" t="s">
        <v>12</v>
      </c>
      <c r="E141" t="s">
        <v>51</v>
      </c>
      <c r="F141" t="s">
        <v>118</v>
      </c>
      <c r="G141">
        <v>39</v>
      </c>
      <c r="H141">
        <v>12</v>
      </c>
      <c r="I141">
        <v>468</v>
      </c>
      <c r="J141" t="s">
        <v>26</v>
      </c>
    </row>
    <row r="142" spans="1:10" x14ac:dyDescent="0.3">
      <c r="A142" t="s">
        <v>210</v>
      </c>
      <c r="B142">
        <v>42129</v>
      </c>
      <c r="C142" t="s">
        <v>20</v>
      </c>
      <c r="D142" t="s">
        <v>12</v>
      </c>
      <c r="E142" t="s">
        <v>13</v>
      </c>
      <c r="F142" t="s">
        <v>41</v>
      </c>
      <c r="G142">
        <v>34</v>
      </c>
      <c r="H142">
        <v>35</v>
      </c>
      <c r="I142">
        <v>1190</v>
      </c>
      <c r="J142" t="s">
        <v>26</v>
      </c>
    </row>
    <row r="143" spans="1:10" x14ac:dyDescent="0.3">
      <c r="A143" t="s">
        <v>211</v>
      </c>
      <c r="B143">
        <v>42129</v>
      </c>
      <c r="C143" t="s">
        <v>11</v>
      </c>
      <c r="D143" t="s">
        <v>12</v>
      </c>
      <c r="E143" t="s">
        <v>51</v>
      </c>
      <c r="F143" t="s">
        <v>81</v>
      </c>
      <c r="G143">
        <v>6</v>
      </c>
      <c r="H143">
        <v>30</v>
      </c>
      <c r="I143">
        <v>180</v>
      </c>
      <c r="J143" t="s">
        <v>26</v>
      </c>
    </row>
    <row r="144" spans="1:10" x14ac:dyDescent="0.3">
      <c r="A144" t="s">
        <v>212</v>
      </c>
      <c r="B144">
        <v>42129</v>
      </c>
      <c r="C144" t="s">
        <v>11</v>
      </c>
      <c r="D144" t="s">
        <v>45</v>
      </c>
      <c r="E144" t="s">
        <v>17</v>
      </c>
      <c r="F144" t="s">
        <v>54</v>
      </c>
      <c r="G144">
        <v>15</v>
      </c>
      <c r="H144">
        <v>3</v>
      </c>
      <c r="I144">
        <v>45</v>
      </c>
      <c r="J144" t="s">
        <v>26</v>
      </c>
    </row>
    <row r="145" spans="1:10" x14ac:dyDescent="0.3">
      <c r="A145" t="s">
        <v>213</v>
      </c>
      <c r="B145">
        <v>42134</v>
      </c>
      <c r="C145" t="s">
        <v>20</v>
      </c>
      <c r="D145" t="s">
        <v>12</v>
      </c>
      <c r="E145" t="s">
        <v>17</v>
      </c>
      <c r="F145" t="s">
        <v>29</v>
      </c>
      <c r="G145">
        <v>46</v>
      </c>
      <c r="H145">
        <v>36</v>
      </c>
      <c r="I145">
        <v>1656</v>
      </c>
      <c r="J145" t="s">
        <v>26</v>
      </c>
    </row>
    <row r="146" spans="1:10" x14ac:dyDescent="0.3">
      <c r="A146" t="s">
        <v>214</v>
      </c>
      <c r="B146">
        <v>42134</v>
      </c>
      <c r="C146" t="s">
        <v>20</v>
      </c>
      <c r="D146" t="s">
        <v>12</v>
      </c>
      <c r="E146" t="s">
        <v>21</v>
      </c>
      <c r="F146" t="s">
        <v>97</v>
      </c>
      <c r="G146">
        <v>13</v>
      </c>
      <c r="H146">
        <v>28</v>
      </c>
      <c r="I146">
        <v>364</v>
      </c>
      <c r="J146" t="s">
        <v>26</v>
      </c>
    </row>
    <row r="147" spans="1:10" x14ac:dyDescent="0.3">
      <c r="A147" t="s">
        <v>215</v>
      </c>
      <c r="B147">
        <v>42134</v>
      </c>
      <c r="C147" t="s">
        <v>11</v>
      </c>
      <c r="D147" t="s">
        <v>12</v>
      </c>
      <c r="E147" t="s">
        <v>51</v>
      </c>
      <c r="F147" t="s">
        <v>81</v>
      </c>
      <c r="G147">
        <v>45.6</v>
      </c>
      <c r="H147">
        <v>8</v>
      </c>
      <c r="I147">
        <v>364.8</v>
      </c>
      <c r="J147" t="s">
        <v>26</v>
      </c>
    </row>
    <row r="148" spans="1:10" x14ac:dyDescent="0.3">
      <c r="A148" t="s">
        <v>216</v>
      </c>
      <c r="B148">
        <v>42189</v>
      </c>
      <c r="C148" t="s">
        <v>31</v>
      </c>
      <c r="D148" t="s">
        <v>24</v>
      </c>
      <c r="E148" t="s">
        <v>13</v>
      </c>
      <c r="F148" t="s">
        <v>113</v>
      </c>
      <c r="G148">
        <v>2.5</v>
      </c>
      <c r="H148">
        <v>10</v>
      </c>
      <c r="I148">
        <v>25</v>
      </c>
      <c r="J148" t="s">
        <v>15</v>
      </c>
    </row>
    <row r="149" spans="1:10" x14ac:dyDescent="0.3">
      <c r="A149" t="s">
        <v>210</v>
      </c>
      <c r="B149">
        <v>42215</v>
      </c>
      <c r="C149" t="s">
        <v>20</v>
      </c>
      <c r="D149" t="s">
        <v>12</v>
      </c>
      <c r="E149" t="s">
        <v>17</v>
      </c>
      <c r="F149" t="s">
        <v>18</v>
      </c>
      <c r="G149">
        <v>19</v>
      </c>
      <c r="H149">
        <v>10</v>
      </c>
      <c r="I149">
        <v>190</v>
      </c>
      <c r="J149" t="s">
        <v>15</v>
      </c>
    </row>
    <row r="150" spans="1:10" x14ac:dyDescent="0.3">
      <c r="A150" t="s">
        <v>217</v>
      </c>
      <c r="B150">
        <v>42212</v>
      </c>
      <c r="C150" t="s">
        <v>11</v>
      </c>
      <c r="D150" t="s">
        <v>12</v>
      </c>
      <c r="E150" t="s">
        <v>51</v>
      </c>
      <c r="F150" t="s">
        <v>59</v>
      </c>
      <c r="G150">
        <v>97</v>
      </c>
      <c r="H150">
        <v>20</v>
      </c>
      <c r="I150">
        <v>1940</v>
      </c>
      <c r="J150" t="s">
        <v>15</v>
      </c>
    </row>
    <row r="151" spans="1:10" x14ac:dyDescent="0.3">
      <c r="A151" t="s">
        <v>218</v>
      </c>
      <c r="B151">
        <v>42220</v>
      </c>
      <c r="C151" t="s">
        <v>31</v>
      </c>
      <c r="D151" t="s">
        <v>12</v>
      </c>
      <c r="E151" t="s">
        <v>34</v>
      </c>
      <c r="F151" t="s">
        <v>64</v>
      </c>
      <c r="G151">
        <v>9.65</v>
      </c>
      <c r="H151">
        <v>4</v>
      </c>
      <c r="I151">
        <v>38.6</v>
      </c>
      <c r="J151" t="s">
        <v>26</v>
      </c>
    </row>
    <row r="152" spans="1:10" x14ac:dyDescent="0.3">
      <c r="A152" t="s">
        <v>219</v>
      </c>
      <c r="B152">
        <v>42210</v>
      </c>
      <c r="C152" t="s">
        <v>11</v>
      </c>
      <c r="D152" t="s">
        <v>12</v>
      </c>
      <c r="E152" t="s">
        <v>13</v>
      </c>
      <c r="F152" t="s">
        <v>124</v>
      </c>
      <c r="G152">
        <v>21.5</v>
      </c>
      <c r="H152">
        <v>9</v>
      </c>
      <c r="I152">
        <v>193.5</v>
      </c>
      <c r="J152" t="s">
        <v>15</v>
      </c>
    </row>
    <row r="153" spans="1:10" x14ac:dyDescent="0.3">
      <c r="A153" t="s">
        <v>220</v>
      </c>
      <c r="B153">
        <v>42215</v>
      </c>
      <c r="C153" t="s">
        <v>28</v>
      </c>
      <c r="D153" t="s">
        <v>24</v>
      </c>
      <c r="E153" t="s">
        <v>34</v>
      </c>
      <c r="F153" t="s">
        <v>64</v>
      </c>
      <c r="G153">
        <v>53</v>
      </c>
      <c r="H153">
        <v>7</v>
      </c>
      <c r="I153">
        <v>371</v>
      </c>
      <c r="J153" t="s">
        <v>26</v>
      </c>
    </row>
    <row r="154" spans="1:10" x14ac:dyDescent="0.3">
      <c r="A154" t="s">
        <v>221</v>
      </c>
      <c r="B154">
        <v>42217</v>
      </c>
      <c r="C154" t="s">
        <v>20</v>
      </c>
      <c r="D154" t="s">
        <v>12</v>
      </c>
      <c r="E154" t="s">
        <v>34</v>
      </c>
      <c r="F154" t="s">
        <v>77</v>
      </c>
      <c r="G154">
        <v>31.23</v>
      </c>
      <c r="H154">
        <v>30</v>
      </c>
      <c r="I154">
        <v>936.9</v>
      </c>
      <c r="J154" t="s">
        <v>26</v>
      </c>
    </row>
    <row r="155" spans="1:10" x14ac:dyDescent="0.3">
      <c r="A155" t="s">
        <v>222</v>
      </c>
      <c r="B155">
        <v>42208</v>
      </c>
      <c r="C155" t="s">
        <v>11</v>
      </c>
      <c r="D155" t="s">
        <v>24</v>
      </c>
      <c r="E155" t="s">
        <v>34</v>
      </c>
      <c r="F155" t="s">
        <v>77</v>
      </c>
      <c r="G155">
        <v>31.23</v>
      </c>
      <c r="H155">
        <v>6</v>
      </c>
      <c r="I155">
        <v>187.38</v>
      </c>
      <c r="J155" t="s">
        <v>26</v>
      </c>
    </row>
    <row r="156" spans="1:10" x14ac:dyDescent="0.3">
      <c r="A156" t="s">
        <v>223</v>
      </c>
      <c r="B156">
        <v>42194</v>
      </c>
      <c r="C156" t="s">
        <v>28</v>
      </c>
      <c r="D156" t="s">
        <v>45</v>
      </c>
      <c r="E156" t="s">
        <v>21</v>
      </c>
      <c r="F156" t="s">
        <v>111</v>
      </c>
      <c r="G156">
        <v>22</v>
      </c>
      <c r="H156">
        <v>25</v>
      </c>
      <c r="I156">
        <v>550</v>
      </c>
      <c r="J156" t="s">
        <v>15</v>
      </c>
    </row>
    <row r="157" spans="1:10" x14ac:dyDescent="0.3">
      <c r="A157" t="s">
        <v>224</v>
      </c>
      <c r="B157">
        <v>42195</v>
      </c>
      <c r="C157" t="s">
        <v>28</v>
      </c>
      <c r="D157" t="s">
        <v>12</v>
      </c>
      <c r="E157" t="s">
        <v>13</v>
      </c>
      <c r="F157" t="s">
        <v>41</v>
      </c>
      <c r="G157">
        <v>34</v>
      </c>
      <c r="H157">
        <v>15</v>
      </c>
      <c r="I157">
        <v>510</v>
      </c>
      <c r="J157" t="s">
        <v>26</v>
      </c>
    </row>
    <row r="158" spans="1:10" x14ac:dyDescent="0.3">
      <c r="A158" t="s">
        <v>225</v>
      </c>
      <c r="B158">
        <v>42208</v>
      </c>
      <c r="C158" t="s">
        <v>11</v>
      </c>
      <c r="D158" t="s">
        <v>45</v>
      </c>
      <c r="E158" t="s">
        <v>34</v>
      </c>
      <c r="F158" t="s">
        <v>64</v>
      </c>
      <c r="G158">
        <v>12</v>
      </c>
      <c r="H158">
        <v>28</v>
      </c>
      <c r="I158">
        <v>336</v>
      </c>
      <c r="J158" t="s">
        <v>26</v>
      </c>
    </row>
    <row r="159" spans="1:10" x14ac:dyDescent="0.3">
      <c r="A159" t="s">
        <v>226</v>
      </c>
      <c r="B159">
        <v>42216</v>
      </c>
      <c r="C159" t="s">
        <v>28</v>
      </c>
      <c r="D159" t="s">
        <v>12</v>
      </c>
      <c r="E159" t="s">
        <v>13</v>
      </c>
      <c r="F159" t="s">
        <v>14</v>
      </c>
      <c r="G159">
        <v>62.5</v>
      </c>
      <c r="H159">
        <v>4</v>
      </c>
      <c r="I159">
        <v>250</v>
      </c>
      <c r="J159" t="s">
        <v>26</v>
      </c>
    </row>
    <row r="160" spans="1:10" x14ac:dyDescent="0.3">
      <c r="A160" t="s">
        <v>227</v>
      </c>
      <c r="B160">
        <v>42193</v>
      </c>
      <c r="C160" t="s">
        <v>11</v>
      </c>
      <c r="D160" t="s">
        <v>12</v>
      </c>
      <c r="E160" t="s">
        <v>34</v>
      </c>
      <c r="F160" t="s">
        <v>77</v>
      </c>
      <c r="G160">
        <v>31.23</v>
      </c>
      <c r="H160">
        <v>6</v>
      </c>
      <c r="I160">
        <v>187.38</v>
      </c>
      <c r="J160" t="s">
        <v>15</v>
      </c>
    </row>
    <row r="161" spans="1:10" x14ac:dyDescent="0.3">
      <c r="A161" t="s">
        <v>228</v>
      </c>
      <c r="B161">
        <v>42199</v>
      </c>
      <c r="C161" t="s">
        <v>31</v>
      </c>
      <c r="D161" t="s">
        <v>45</v>
      </c>
      <c r="E161" t="s">
        <v>13</v>
      </c>
      <c r="F161" t="s">
        <v>41</v>
      </c>
      <c r="G161">
        <v>34</v>
      </c>
      <c r="H161">
        <v>15</v>
      </c>
      <c r="I161">
        <v>510</v>
      </c>
      <c r="J161" t="s">
        <v>26</v>
      </c>
    </row>
    <row r="162" spans="1:10" x14ac:dyDescent="0.3">
      <c r="A162" t="s">
        <v>229</v>
      </c>
      <c r="B162">
        <v>42200</v>
      </c>
      <c r="C162" t="s">
        <v>11</v>
      </c>
      <c r="D162" t="s">
        <v>12</v>
      </c>
      <c r="E162" t="s">
        <v>17</v>
      </c>
      <c r="F162" t="s">
        <v>25</v>
      </c>
      <c r="G162">
        <v>7.75</v>
      </c>
      <c r="H162">
        <v>42</v>
      </c>
      <c r="I162">
        <v>325.5</v>
      </c>
      <c r="J162" t="s">
        <v>15</v>
      </c>
    </row>
    <row r="163" spans="1:10" x14ac:dyDescent="0.3">
      <c r="A163" t="s">
        <v>230</v>
      </c>
      <c r="B163">
        <v>42193</v>
      </c>
      <c r="C163" t="s">
        <v>11</v>
      </c>
      <c r="D163" t="s">
        <v>12</v>
      </c>
      <c r="E163" t="s">
        <v>17</v>
      </c>
      <c r="F163" t="s">
        <v>79</v>
      </c>
      <c r="G163">
        <v>18</v>
      </c>
      <c r="H163">
        <v>10</v>
      </c>
      <c r="I163">
        <v>180</v>
      </c>
      <c r="J163" t="s">
        <v>15</v>
      </c>
    </row>
    <row r="164" spans="1:10" x14ac:dyDescent="0.3">
      <c r="A164" t="s">
        <v>231</v>
      </c>
      <c r="B164">
        <v>42191</v>
      </c>
      <c r="C164" t="s">
        <v>20</v>
      </c>
      <c r="D164" t="s">
        <v>24</v>
      </c>
      <c r="E164" t="s">
        <v>21</v>
      </c>
      <c r="F164" t="s">
        <v>87</v>
      </c>
      <c r="G164">
        <v>21.05</v>
      </c>
      <c r="H164">
        <v>15</v>
      </c>
      <c r="I164">
        <v>315.75</v>
      </c>
      <c r="J164" t="s">
        <v>26</v>
      </c>
    </row>
    <row r="165" spans="1:10" x14ac:dyDescent="0.3">
      <c r="A165" t="s">
        <v>232</v>
      </c>
      <c r="B165">
        <v>42191</v>
      </c>
      <c r="C165" t="s">
        <v>20</v>
      </c>
      <c r="D165" t="s">
        <v>12</v>
      </c>
      <c r="E165" t="s">
        <v>17</v>
      </c>
      <c r="F165" t="s">
        <v>54</v>
      </c>
      <c r="G165">
        <v>53</v>
      </c>
      <c r="H165">
        <v>35</v>
      </c>
      <c r="I165">
        <v>1855</v>
      </c>
      <c r="J165" t="s">
        <v>26</v>
      </c>
    </row>
    <row r="166" spans="1:10" x14ac:dyDescent="0.3">
      <c r="A166" t="s">
        <v>233</v>
      </c>
      <c r="B166">
        <v>42191</v>
      </c>
      <c r="C166" t="s">
        <v>11</v>
      </c>
      <c r="D166" t="s">
        <v>12</v>
      </c>
      <c r="E166" t="s">
        <v>34</v>
      </c>
      <c r="F166" t="s">
        <v>64</v>
      </c>
      <c r="G166">
        <v>9.65</v>
      </c>
      <c r="H166">
        <v>10</v>
      </c>
      <c r="I166">
        <v>96.5</v>
      </c>
      <c r="J166" t="s">
        <v>26</v>
      </c>
    </row>
    <row r="167" spans="1:10" x14ac:dyDescent="0.3">
      <c r="A167" t="s">
        <v>234</v>
      </c>
      <c r="B167">
        <v>42193</v>
      </c>
      <c r="C167" t="s">
        <v>31</v>
      </c>
      <c r="D167" t="s">
        <v>24</v>
      </c>
      <c r="E167" t="s">
        <v>34</v>
      </c>
      <c r="F167" t="s">
        <v>75</v>
      </c>
      <c r="G167">
        <v>20</v>
      </c>
      <c r="H167">
        <v>40</v>
      </c>
      <c r="I167">
        <v>800</v>
      </c>
      <c r="J167" t="s">
        <v>26</v>
      </c>
    </row>
    <row r="168" spans="1:10" x14ac:dyDescent="0.3">
      <c r="A168" t="s">
        <v>235</v>
      </c>
      <c r="B168">
        <v>42193</v>
      </c>
      <c r="C168" t="s">
        <v>28</v>
      </c>
      <c r="D168" t="s">
        <v>12</v>
      </c>
      <c r="E168" t="s">
        <v>17</v>
      </c>
      <c r="F168" t="s">
        <v>37</v>
      </c>
      <c r="G168">
        <v>18</v>
      </c>
      <c r="H168">
        <v>42</v>
      </c>
      <c r="I168">
        <v>756</v>
      </c>
      <c r="J168" t="s">
        <v>26</v>
      </c>
    </row>
    <row r="169" spans="1:10" x14ac:dyDescent="0.3">
      <c r="A169" t="s">
        <v>236</v>
      </c>
      <c r="B169">
        <v>42193</v>
      </c>
      <c r="C169" t="s">
        <v>31</v>
      </c>
      <c r="D169" t="s">
        <v>12</v>
      </c>
      <c r="E169" t="s">
        <v>13</v>
      </c>
      <c r="F169" t="s">
        <v>99</v>
      </c>
      <c r="G169">
        <v>12.5</v>
      </c>
      <c r="H169">
        <v>20</v>
      </c>
      <c r="I169">
        <v>250</v>
      </c>
      <c r="J169" t="s">
        <v>26</v>
      </c>
    </row>
    <row r="170" spans="1:10" x14ac:dyDescent="0.3">
      <c r="A170" t="s">
        <v>237</v>
      </c>
      <c r="B170">
        <v>42198</v>
      </c>
      <c r="C170" t="s">
        <v>11</v>
      </c>
      <c r="D170" t="s">
        <v>12</v>
      </c>
      <c r="E170" t="s">
        <v>51</v>
      </c>
      <c r="F170" t="s">
        <v>138</v>
      </c>
      <c r="G170">
        <v>32.799999999999997</v>
      </c>
      <c r="H170">
        <v>15</v>
      </c>
      <c r="I170">
        <v>491.99999999999994</v>
      </c>
      <c r="J170" t="s">
        <v>26</v>
      </c>
    </row>
    <row r="171" spans="1:10" x14ac:dyDescent="0.3">
      <c r="A171" t="s">
        <v>238</v>
      </c>
      <c r="B171">
        <v>42198</v>
      </c>
      <c r="C171" t="s">
        <v>20</v>
      </c>
      <c r="D171" t="s">
        <v>12</v>
      </c>
      <c r="E171" t="s">
        <v>21</v>
      </c>
      <c r="F171" t="s">
        <v>97</v>
      </c>
      <c r="G171">
        <v>13</v>
      </c>
      <c r="H171">
        <v>12</v>
      </c>
      <c r="I171">
        <v>156</v>
      </c>
      <c r="J171" t="s">
        <v>26</v>
      </c>
    </row>
    <row r="172" spans="1:10" x14ac:dyDescent="0.3">
      <c r="A172" t="s">
        <v>239</v>
      </c>
      <c r="B172">
        <v>42202</v>
      </c>
      <c r="C172" t="s">
        <v>28</v>
      </c>
      <c r="D172" t="s">
        <v>12</v>
      </c>
      <c r="E172" t="s">
        <v>17</v>
      </c>
      <c r="F172" t="s">
        <v>72</v>
      </c>
      <c r="G172">
        <v>18</v>
      </c>
      <c r="H172">
        <v>20</v>
      </c>
      <c r="I172">
        <v>360</v>
      </c>
      <c r="J172" t="s">
        <v>26</v>
      </c>
    </row>
    <row r="173" spans="1:10" x14ac:dyDescent="0.3">
      <c r="A173" t="s">
        <v>240</v>
      </c>
      <c r="B173">
        <v>42202</v>
      </c>
      <c r="C173" t="s">
        <v>28</v>
      </c>
      <c r="D173" t="s">
        <v>12</v>
      </c>
      <c r="E173" t="s">
        <v>34</v>
      </c>
      <c r="F173" t="s">
        <v>241</v>
      </c>
      <c r="G173">
        <v>10</v>
      </c>
      <c r="H173">
        <v>20</v>
      </c>
      <c r="I173">
        <v>200</v>
      </c>
      <c r="J173" t="s">
        <v>26</v>
      </c>
    </row>
    <row r="174" spans="1:10" x14ac:dyDescent="0.3">
      <c r="A174" t="s">
        <v>242</v>
      </c>
      <c r="B174">
        <v>42228</v>
      </c>
      <c r="C174" t="s">
        <v>31</v>
      </c>
      <c r="D174" t="s">
        <v>85</v>
      </c>
      <c r="E174" t="s">
        <v>17</v>
      </c>
      <c r="F174" t="s">
        <v>128</v>
      </c>
      <c r="G174">
        <v>4.5</v>
      </c>
      <c r="H174">
        <v>6</v>
      </c>
      <c r="I174">
        <v>27</v>
      </c>
      <c r="J174" t="s">
        <v>15</v>
      </c>
    </row>
    <row r="175" spans="1:10" x14ac:dyDescent="0.3">
      <c r="A175" t="s">
        <v>243</v>
      </c>
      <c r="B175">
        <v>42228</v>
      </c>
      <c r="C175" t="s">
        <v>31</v>
      </c>
      <c r="D175" t="s">
        <v>85</v>
      </c>
      <c r="E175" t="s">
        <v>17</v>
      </c>
      <c r="F175" t="s">
        <v>72</v>
      </c>
      <c r="G175">
        <v>18</v>
      </c>
      <c r="H175">
        <v>4</v>
      </c>
      <c r="I175">
        <v>72</v>
      </c>
      <c r="J175" t="s">
        <v>15</v>
      </c>
    </row>
    <row r="176" spans="1:10" x14ac:dyDescent="0.3">
      <c r="A176" t="s">
        <v>244</v>
      </c>
      <c r="B176">
        <v>42228</v>
      </c>
      <c r="C176" t="s">
        <v>28</v>
      </c>
      <c r="D176" t="s">
        <v>85</v>
      </c>
      <c r="E176" t="s">
        <v>34</v>
      </c>
      <c r="F176" t="s">
        <v>188</v>
      </c>
      <c r="G176">
        <v>9.1999999999999993</v>
      </c>
      <c r="H176">
        <v>1</v>
      </c>
      <c r="I176">
        <v>9.1999999999999993</v>
      </c>
      <c r="J176" t="s">
        <v>15</v>
      </c>
    </row>
    <row r="177" spans="1:10" x14ac:dyDescent="0.3">
      <c r="A177" t="s">
        <v>245</v>
      </c>
      <c r="B177">
        <v>42229</v>
      </c>
      <c r="C177" t="s">
        <v>28</v>
      </c>
      <c r="D177" t="s">
        <v>85</v>
      </c>
      <c r="E177" t="s">
        <v>13</v>
      </c>
      <c r="F177" t="s">
        <v>14</v>
      </c>
      <c r="G177">
        <v>19.5</v>
      </c>
      <c r="H177">
        <v>2</v>
      </c>
      <c r="I177">
        <v>39</v>
      </c>
      <c r="J177" t="s">
        <v>15</v>
      </c>
    </row>
    <row r="178" spans="1:10" x14ac:dyDescent="0.3">
      <c r="A178" t="s">
        <v>246</v>
      </c>
      <c r="B178">
        <v>42229</v>
      </c>
      <c r="C178" t="s">
        <v>20</v>
      </c>
      <c r="D178" t="s">
        <v>85</v>
      </c>
      <c r="E178" t="s">
        <v>51</v>
      </c>
      <c r="F178" t="s">
        <v>81</v>
      </c>
      <c r="G178">
        <v>25.89</v>
      </c>
      <c r="H178">
        <v>6</v>
      </c>
      <c r="I178">
        <v>155.34</v>
      </c>
      <c r="J178" t="s">
        <v>15</v>
      </c>
    </row>
    <row r="179" spans="1:10" x14ac:dyDescent="0.3">
      <c r="A179" t="s">
        <v>247</v>
      </c>
      <c r="B179">
        <v>42236</v>
      </c>
      <c r="C179" t="s">
        <v>20</v>
      </c>
      <c r="D179" t="s">
        <v>24</v>
      </c>
      <c r="E179" t="s">
        <v>13</v>
      </c>
      <c r="F179" t="s">
        <v>14</v>
      </c>
      <c r="G179">
        <v>12</v>
      </c>
      <c r="H179">
        <v>15</v>
      </c>
      <c r="I179">
        <v>180</v>
      </c>
      <c r="J179" t="s">
        <v>26</v>
      </c>
    </row>
    <row r="180" spans="1:10" x14ac:dyDescent="0.3">
      <c r="A180" t="s">
        <v>248</v>
      </c>
      <c r="B180">
        <v>42236</v>
      </c>
      <c r="C180" t="s">
        <v>31</v>
      </c>
      <c r="D180" t="s">
        <v>12</v>
      </c>
      <c r="E180" t="s">
        <v>17</v>
      </c>
      <c r="F180" t="s">
        <v>144</v>
      </c>
      <c r="G180">
        <v>14</v>
      </c>
      <c r="H180">
        <v>20</v>
      </c>
      <c r="I180">
        <v>280</v>
      </c>
      <c r="J180" t="s">
        <v>26</v>
      </c>
    </row>
    <row r="181" spans="1:10" x14ac:dyDescent="0.3">
      <c r="A181" t="s">
        <v>249</v>
      </c>
      <c r="B181">
        <v>42236</v>
      </c>
      <c r="C181" t="s">
        <v>28</v>
      </c>
      <c r="D181" t="s">
        <v>12</v>
      </c>
      <c r="E181" t="s">
        <v>34</v>
      </c>
      <c r="F181" t="s">
        <v>94</v>
      </c>
      <c r="G181">
        <v>17.45</v>
      </c>
      <c r="H181">
        <v>40</v>
      </c>
      <c r="I181">
        <v>698</v>
      </c>
      <c r="J181" t="s">
        <v>26</v>
      </c>
    </row>
    <row r="182" spans="1:10" x14ac:dyDescent="0.3">
      <c r="A182" t="s">
        <v>250</v>
      </c>
      <c r="B182">
        <v>42240</v>
      </c>
      <c r="C182" t="s">
        <v>28</v>
      </c>
      <c r="D182" t="s">
        <v>45</v>
      </c>
      <c r="E182" t="s">
        <v>21</v>
      </c>
      <c r="F182" t="s">
        <v>251</v>
      </c>
      <c r="G182">
        <v>10</v>
      </c>
      <c r="H182">
        <v>30</v>
      </c>
      <c r="I182">
        <v>300</v>
      </c>
      <c r="J182" t="s">
        <v>26</v>
      </c>
    </row>
    <row r="183" spans="1:10" x14ac:dyDescent="0.3">
      <c r="A183" t="s">
        <v>252</v>
      </c>
      <c r="B183">
        <v>42240</v>
      </c>
      <c r="C183" t="s">
        <v>28</v>
      </c>
      <c r="D183" t="s">
        <v>45</v>
      </c>
      <c r="E183" t="s">
        <v>34</v>
      </c>
      <c r="F183" t="s">
        <v>64</v>
      </c>
      <c r="G183">
        <v>33.25</v>
      </c>
      <c r="H183">
        <v>9</v>
      </c>
      <c r="I183">
        <v>299.25</v>
      </c>
      <c r="J183" t="s">
        <v>26</v>
      </c>
    </row>
    <row r="184" spans="1:10" x14ac:dyDescent="0.3">
      <c r="A184" t="s">
        <v>253</v>
      </c>
      <c r="B184">
        <v>42241</v>
      </c>
      <c r="C184" t="s">
        <v>28</v>
      </c>
      <c r="D184" t="s">
        <v>12</v>
      </c>
      <c r="E184" t="s">
        <v>21</v>
      </c>
      <c r="F184" t="s">
        <v>197</v>
      </c>
      <c r="G184">
        <v>19.45</v>
      </c>
      <c r="H184">
        <v>24</v>
      </c>
      <c r="I184">
        <v>466.79999999999995</v>
      </c>
      <c r="J184" t="s">
        <v>26</v>
      </c>
    </row>
    <row r="185" spans="1:10" x14ac:dyDescent="0.3">
      <c r="A185" t="s">
        <v>254</v>
      </c>
      <c r="B185">
        <v>42241</v>
      </c>
      <c r="C185" t="s">
        <v>20</v>
      </c>
      <c r="D185" t="s">
        <v>12</v>
      </c>
      <c r="E185" t="s">
        <v>21</v>
      </c>
      <c r="F185" t="s">
        <v>22</v>
      </c>
      <c r="G185">
        <v>53</v>
      </c>
      <c r="H185">
        <v>2</v>
      </c>
      <c r="I185">
        <v>106</v>
      </c>
      <c r="J185" t="s">
        <v>26</v>
      </c>
    </row>
    <row r="186" spans="1:10" x14ac:dyDescent="0.3">
      <c r="A186" t="s">
        <v>255</v>
      </c>
      <c r="B186">
        <v>42241</v>
      </c>
      <c r="C186" t="s">
        <v>28</v>
      </c>
      <c r="D186" t="s">
        <v>12</v>
      </c>
      <c r="E186" t="s">
        <v>17</v>
      </c>
      <c r="F186" t="s">
        <v>54</v>
      </c>
      <c r="G186">
        <v>6</v>
      </c>
      <c r="H186">
        <v>20</v>
      </c>
      <c r="I186">
        <v>120</v>
      </c>
      <c r="J186" t="s">
        <v>26</v>
      </c>
    </row>
    <row r="187" spans="1:10" x14ac:dyDescent="0.3">
      <c r="A187" t="s">
        <v>256</v>
      </c>
      <c r="B187">
        <v>42241</v>
      </c>
      <c r="C187" t="s">
        <v>28</v>
      </c>
      <c r="D187" t="s">
        <v>12</v>
      </c>
      <c r="E187" t="s">
        <v>51</v>
      </c>
      <c r="F187" t="s">
        <v>52</v>
      </c>
      <c r="G187">
        <v>123.79</v>
      </c>
      <c r="H187">
        <v>15</v>
      </c>
      <c r="I187">
        <v>1856.8500000000001</v>
      </c>
      <c r="J187" t="s">
        <v>15</v>
      </c>
    </row>
    <row r="188" spans="1:10" x14ac:dyDescent="0.3">
      <c r="A188" t="s">
        <v>257</v>
      </c>
      <c r="B188">
        <v>42241</v>
      </c>
      <c r="C188" t="s">
        <v>28</v>
      </c>
      <c r="D188" t="s">
        <v>12</v>
      </c>
      <c r="E188" t="s">
        <v>21</v>
      </c>
      <c r="F188" t="s">
        <v>61</v>
      </c>
      <c r="G188">
        <v>21.35</v>
      </c>
      <c r="H188">
        <v>20</v>
      </c>
      <c r="I188">
        <v>427</v>
      </c>
      <c r="J188" t="s">
        <v>15</v>
      </c>
    </row>
    <row r="189" spans="1:10" x14ac:dyDescent="0.3">
      <c r="A189" t="s">
        <v>258</v>
      </c>
      <c r="B189">
        <v>42241</v>
      </c>
      <c r="C189" t="s">
        <v>28</v>
      </c>
      <c r="D189" t="s">
        <v>12</v>
      </c>
      <c r="E189" t="s">
        <v>21</v>
      </c>
      <c r="F189" t="s">
        <v>97</v>
      </c>
      <c r="G189">
        <v>13</v>
      </c>
      <c r="H189">
        <v>10</v>
      </c>
      <c r="I189">
        <v>130</v>
      </c>
      <c r="J189" t="s">
        <v>15</v>
      </c>
    </row>
    <row r="190" spans="1:10" x14ac:dyDescent="0.3">
      <c r="A190" t="s">
        <v>259</v>
      </c>
      <c r="B190">
        <v>42241</v>
      </c>
      <c r="C190" t="s">
        <v>28</v>
      </c>
      <c r="D190" t="s">
        <v>12</v>
      </c>
      <c r="E190" t="s">
        <v>34</v>
      </c>
      <c r="F190" t="s">
        <v>75</v>
      </c>
      <c r="G190">
        <v>20</v>
      </c>
      <c r="H190">
        <v>15</v>
      </c>
      <c r="I190">
        <v>300</v>
      </c>
      <c r="J190" t="s">
        <v>15</v>
      </c>
    </row>
    <row r="191" spans="1:10" x14ac:dyDescent="0.3">
      <c r="A191" t="s">
        <v>260</v>
      </c>
      <c r="B191">
        <v>42242</v>
      </c>
      <c r="C191" t="s">
        <v>31</v>
      </c>
      <c r="D191" t="s">
        <v>12</v>
      </c>
      <c r="E191" t="s">
        <v>34</v>
      </c>
      <c r="F191" t="s">
        <v>35</v>
      </c>
      <c r="G191">
        <v>81</v>
      </c>
      <c r="H191">
        <v>20</v>
      </c>
      <c r="I191">
        <v>1620</v>
      </c>
      <c r="J191" t="s">
        <v>26</v>
      </c>
    </row>
    <row r="192" spans="1:10" x14ac:dyDescent="0.3">
      <c r="A192" t="s">
        <v>261</v>
      </c>
      <c r="B192">
        <v>42251</v>
      </c>
      <c r="C192" t="s">
        <v>28</v>
      </c>
      <c r="D192" t="s">
        <v>12</v>
      </c>
      <c r="E192" t="s">
        <v>17</v>
      </c>
      <c r="F192" t="s">
        <v>54</v>
      </c>
      <c r="G192">
        <v>15</v>
      </c>
      <c r="H192">
        <v>20</v>
      </c>
      <c r="I192">
        <v>300</v>
      </c>
      <c r="J192" t="s">
        <v>26</v>
      </c>
    </row>
    <row r="193" spans="1:10" x14ac:dyDescent="0.3">
      <c r="A193" t="s">
        <v>262</v>
      </c>
      <c r="B193">
        <v>42251</v>
      </c>
      <c r="C193" t="s">
        <v>20</v>
      </c>
      <c r="D193" t="s">
        <v>12</v>
      </c>
      <c r="E193" t="s">
        <v>34</v>
      </c>
      <c r="F193" t="s">
        <v>188</v>
      </c>
      <c r="G193">
        <v>9.1999999999999993</v>
      </c>
      <c r="H193">
        <v>15</v>
      </c>
      <c r="I193">
        <v>138</v>
      </c>
      <c r="J193" t="s">
        <v>26</v>
      </c>
    </row>
    <row r="194" spans="1:10" x14ac:dyDescent="0.3">
      <c r="A194" t="s">
        <v>263</v>
      </c>
      <c r="B194">
        <v>42256</v>
      </c>
      <c r="C194" t="s">
        <v>11</v>
      </c>
      <c r="D194" t="s">
        <v>85</v>
      </c>
      <c r="E194" t="s">
        <v>21</v>
      </c>
      <c r="F194" t="s">
        <v>87</v>
      </c>
      <c r="G194">
        <v>21.05</v>
      </c>
      <c r="H194">
        <v>30</v>
      </c>
      <c r="I194">
        <v>631.5</v>
      </c>
      <c r="J194" t="s">
        <v>26</v>
      </c>
    </row>
    <row r="195" spans="1:10" x14ac:dyDescent="0.3">
      <c r="A195" t="s">
        <v>264</v>
      </c>
      <c r="B195">
        <v>42256</v>
      </c>
      <c r="C195" t="s">
        <v>11</v>
      </c>
      <c r="D195" t="s">
        <v>85</v>
      </c>
      <c r="E195" t="s">
        <v>34</v>
      </c>
      <c r="F195" t="s">
        <v>64</v>
      </c>
      <c r="G195">
        <v>18.399999999999999</v>
      </c>
      <c r="H195">
        <v>40</v>
      </c>
      <c r="I195">
        <v>736</v>
      </c>
      <c r="J195" t="s">
        <v>26</v>
      </c>
    </row>
    <row r="196" spans="1:10" x14ac:dyDescent="0.3">
      <c r="A196" t="s">
        <v>265</v>
      </c>
      <c r="B196">
        <v>42256</v>
      </c>
      <c r="C196" t="s">
        <v>31</v>
      </c>
      <c r="D196" t="s">
        <v>85</v>
      </c>
      <c r="E196" t="s">
        <v>34</v>
      </c>
      <c r="F196" t="s">
        <v>43</v>
      </c>
      <c r="G196">
        <v>12.5</v>
      </c>
      <c r="H196">
        <v>15</v>
      </c>
      <c r="I196">
        <v>187.5</v>
      </c>
      <c r="J196" t="s">
        <v>26</v>
      </c>
    </row>
    <row r="197" spans="1:10" x14ac:dyDescent="0.3">
      <c r="A197" t="s">
        <v>266</v>
      </c>
      <c r="B197">
        <v>42261</v>
      </c>
      <c r="C197" t="s">
        <v>20</v>
      </c>
      <c r="D197" t="s">
        <v>85</v>
      </c>
      <c r="E197" t="s">
        <v>51</v>
      </c>
      <c r="F197" t="s">
        <v>138</v>
      </c>
      <c r="G197">
        <v>32.799999999999997</v>
      </c>
      <c r="H197">
        <v>10</v>
      </c>
      <c r="I197">
        <v>328</v>
      </c>
      <c r="J197" t="s">
        <v>26</v>
      </c>
    </row>
    <row r="198" spans="1:10" x14ac:dyDescent="0.3">
      <c r="A198" t="s">
        <v>267</v>
      </c>
      <c r="B198">
        <v>42261</v>
      </c>
      <c r="C198" t="s">
        <v>31</v>
      </c>
      <c r="D198" t="s">
        <v>85</v>
      </c>
      <c r="E198" t="s">
        <v>51</v>
      </c>
      <c r="F198" t="s">
        <v>268</v>
      </c>
      <c r="G198">
        <v>7.45</v>
      </c>
      <c r="H198">
        <v>5</v>
      </c>
      <c r="I198">
        <v>37.25</v>
      </c>
      <c r="J198" t="s">
        <v>26</v>
      </c>
    </row>
    <row r="199" spans="1:10" x14ac:dyDescent="0.3">
      <c r="A199" t="s">
        <v>269</v>
      </c>
      <c r="B199">
        <v>42261</v>
      </c>
      <c r="C199" t="s">
        <v>20</v>
      </c>
      <c r="D199" t="s">
        <v>85</v>
      </c>
      <c r="E199" t="s">
        <v>21</v>
      </c>
      <c r="F199" t="s">
        <v>22</v>
      </c>
      <c r="G199">
        <v>25.89</v>
      </c>
      <c r="H199">
        <v>10</v>
      </c>
      <c r="I199">
        <v>258.89999999999998</v>
      </c>
      <c r="J199" t="s">
        <v>26</v>
      </c>
    </row>
    <row r="200" spans="1:10" x14ac:dyDescent="0.3">
      <c r="A200" t="s">
        <v>270</v>
      </c>
      <c r="B200">
        <v>42271</v>
      </c>
      <c r="C200" t="s">
        <v>11</v>
      </c>
      <c r="D200" t="s">
        <v>45</v>
      </c>
      <c r="E200" t="s">
        <v>17</v>
      </c>
      <c r="F200" t="s">
        <v>54</v>
      </c>
      <c r="G200">
        <v>15</v>
      </c>
      <c r="H200">
        <v>30</v>
      </c>
      <c r="I200">
        <v>450</v>
      </c>
      <c r="J200" t="s">
        <v>26</v>
      </c>
    </row>
    <row r="201" spans="1:10" x14ac:dyDescent="0.3">
      <c r="A201" t="s">
        <v>271</v>
      </c>
      <c r="B201">
        <v>42271</v>
      </c>
      <c r="C201" t="s">
        <v>20</v>
      </c>
      <c r="D201" t="s">
        <v>45</v>
      </c>
      <c r="E201" t="s">
        <v>17</v>
      </c>
      <c r="F201" t="s">
        <v>144</v>
      </c>
      <c r="G201">
        <v>14</v>
      </c>
      <c r="H201">
        <v>14</v>
      </c>
      <c r="I201">
        <v>196</v>
      </c>
      <c r="J201" t="s">
        <v>26</v>
      </c>
    </row>
    <row r="202" spans="1:10" x14ac:dyDescent="0.3">
      <c r="A202" t="s">
        <v>272</v>
      </c>
      <c r="B202">
        <v>42276</v>
      </c>
      <c r="C202" t="s">
        <v>31</v>
      </c>
      <c r="D202" t="s">
        <v>45</v>
      </c>
      <c r="E202" t="s">
        <v>17</v>
      </c>
      <c r="F202" t="s">
        <v>134</v>
      </c>
      <c r="G202">
        <v>18</v>
      </c>
      <c r="H202">
        <v>6</v>
      </c>
      <c r="I202">
        <v>108</v>
      </c>
      <c r="J202" t="s">
        <v>26</v>
      </c>
    </row>
    <row r="203" spans="1:10" x14ac:dyDescent="0.3">
      <c r="A203" t="s">
        <v>273</v>
      </c>
      <c r="B203">
        <v>42276</v>
      </c>
      <c r="C203" t="s">
        <v>11</v>
      </c>
      <c r="D203" t="s">
        <v>45</v>
      </c>
      <c r="E203" t="s">
        <v>34</v>
      </c>
      <c r="F203" t="s">
        <v>64</v>
      </c>
      <c r="G203">
        <v>9.65</v>
      </c>
      <c r="H203">
        <v>20</v>
      </c>
      <c r="I203">
        <v>193</v>
      </c>
      <c r="J203" t="s">
        <v>26</v>
      </c>
    </row>
    <row r="204" spans="1:10" x14ac:dyDescent="0.3">
      <c r="A204" t="s">
        <v>274</v>
      </c>
      <c r="B204">
        <v>42278</v>
      </c>
      <c r="C204" t="s">
        <v>31</v>
      </c>
      <c r="D204" t="s">
        <v>45</v>
      </c>
      <c r="E204" t="s">
        <v>17</v>
      </c>
      <c r="F204" t="s">
        <v>72</v>
      </c>
      <c r="G204">
        <v>18</v>
      </c>
      <c r="H204">
        <v>10</v>
      </c>
      <c r="I204">
        <v>180</v>
      </c>
      <c r="J204" t="s">
        <v>26</v>
      </c>
    </row>
    <row r="205" spans="1:10" x14ac:dyDescent="0.3">
      <c r="A205" t="s">
        <v>275</v>
      </c>
      <c r="B205">
        <v>42285</v>
      </c>
      <c r="C205" t="s">
        <v>11</v>
      </c>
      <c r="D205" t="s">
        <v>85</v>
      </c>
      <c r="E205" t="s">
        <v>17</v>
      </c>
      <c r="F205" t="s">
        <v>25</v>
      </c>
      <c r="G205">
        <v>7.75</v>
      </c>
      <c r="H205">
        <v>50</v>
      </c>
      <c r="I205">
        <v>387.5</v>
      </c>
      <c r="J205" t="s">
        <v>26</v>
      </c>
    </row>
    <row r="206" spans="1:10" x14ac:dyDescent="0.3">
      <c r="A206" t="s">
        <v>276</v>
      </c>
      <c r="B206">
        <v>42285</v>
      </c>
      <c r="C206" t="s">
        <v>11</v>
      </c>
      <c r="D206" t="s">
        <v>85</v>
      </c>
      <c r="E206" t="s">
        <v>21</v>
      </c>
      <c r="F206" t="s">
        <v>111</v>
      </c>
      <c r="G206">
        <v>22</v>
      </c>
      <c r="H206">
        <v>24</v>
      </c>
      <c r="I206">
        <v>528</v>
      </c>
      <c r="J206" t="s">
        <v>26</v>
      </c>
    </row>
    <row r="207" spans="1:10" x14ac:dyDescent="0.3">
      <c r="A207" t="s">
        <v>277</v>
      </c>
      <c r="B207">
        <v>42285</v>
      </c>
      <c r="C207" t="s">
        <v>11</v>
      </c>
      <c r="D207" t="s">
        <v>85</v>
      </c>
      <c r="E207" t="s">
        <v>51</v>
      </c>
      <c r="F207" t="s">
        <v>81</v>
      </c>
      <c r="G207">
        <v>19.5</v>
      </c>
      <c r="H207">
        <v>16</v>
      </c>
      <c r="I207">
        <v>312</v>
      </c>
      <c r="J207" t="s">
        <v>26</v>
      </c>
    </row>
    <row r="208" spans="1:10" x14ac:dyDescent="0.3">
      <c r="A208" t="s">
        <v>278</v>
      </c>
      <c r="B208">
        <v>42312</v>
      </c>
      <c r="C208" t="s">
        <v>11</v>
      </c>
      <c r="D208" t="s">
        <v>12</v>
      </c>
      <c r="E208" t="s">
        <v>17</v>
      </c>
      <c r="F208" t="s">
        <v>37</v>
      </c>
      <c r="G208">
        <v>18</v>
      </c>
      <c r="H208">
        <v>50</v>
      </c>
      <c r="I208">
        <v>900</v>
      </c>
      <c r="J208" t="s">
        <v>26</v>
      </c>
    </row>
    <row r="209" spans="1:10" x14ac:dyDescent="0.3">
      <c r="A209" t="s">
        <v>279</v>
      </c>
      <c r="B209">
        <v>42312</v>
      </c>
      <c r="C209" t="s">
        <v>11</v>
      </c>
      <c r="D209" t="s">
        <v>12</v>
      </c>
      <c r="E209" t="s">
        <v>17</v>
      </c>
      <c r="F209" t="s">
        <v>25</v>
      </c>
      <c r="G209">
        <v>7.75</v>
      </c>
      <c r="H209">
        <v>6</v>
      </c>
      <c r="I209">
        <v>46.5</v>
      </c>
      <c r="J209" t="s">
        <v>26</v>
      </c>
    </row>
    <row r="210" spans="1:10" x14ac:dyDescent="0.3">
      <c r="A210" t="s">
        <v>280</v>
      </c>
      <c r="B210">
        <v>42312</v>
      </c>
      <c r="C210" t="s">
        <v>20</v>
      </c>
      <c r="D210" t="s">
        <v>12</v>
      </c>
      <c r="E210" t="s">
        <v>21</v>
      </c>
      <c r="F210" t="s">
        <v>22</v>
      </c>
      <c r="G210">
        <v>18.399999999999999</v>
      </c>
      <c r="H210">
        <v>4</v>
      </c>
      <c r="I210">
        <v>73.599999999999994</v>
      </c>
      <c r="J210" t="s">
        <v>26</v>
      </c>
    </row>
    <row r="211" spans="1:10" x14ac:dyDescent="0.3">
      <c r="A211" t="s">
        <v>281</v>
      </c>
      <c r="B211">
        <v>42312</v>
      </c>
      <c r="C211" t="s">
        <v>28</v>
      </c>
      <c r="D211" t="s">
        <v>12</v>
      </c>
      <c r="E211" t="s">
        <v>34</v>
      </c>
      <c r="F211" t="s">
        <v>68</v>
      </c>
      <c r="G211">
        <v>14</v>
      </c>
      <c r="H211">
        <v>10</v>
      </c>
      <c r="I211">
        <v>140</v>
      </c>
      <c r="J211" t="s">
        <v>26</v>
      </c>
    </row>
    <row r="212" spans="1:10" x14ac:dyDescent="0.3">
      <c r="A212" t="s">
        <v>282</v>
      </c>
      <c r="B212">
        <v>42321</v>
      </c>
      <c r="C212" t="s">
        <v>11</v>
      </c>
      <c r="D212" t="s">
        <v>45</v>
      </c>
      <c r="E212" t="s">
        <v>17</v>
      </c>
      <c r="F212" t="s">
        <v>128</v>
      </c>
      <c r="G212">
        <v>4.5</v>
      </c>
      <c r="H212">
        <v>25</v>
      </c>
      <c r="I212">
        <v>112.5</v>
      </c>
      <c r="J212" t="s">
        <v>15</v>
      </c>
    </row>
    <row r="213" spans="1:10" x14ac:dyDescent="0.3">
      <c r="A213" t="s">
        <v>283</v>
      </c>
      <c r="B213">
        <v>42321</v>
      </c>
      <c r="C213" t="s">
        <v>11</v>
      </c>
      <c r="D213" t="s">
        <v>45</v>
      </c>
      <c r="E213" t="s">
        <v>21</v>
      </c>
      <c r="F213" t="s">
        <v>22</v>
      </c>
      <c r="G213">
        <v>19.5</v>
      </c>
      <c r="H213">
        <v>25</v>
      </c>
      <c r="I213">
        <v>487.5</v>
      </c>
      <c r="J213" t="s">
        <v>15</v>
      </c>
    </row>
    <row r="214" spans="1:10" x14ac:dyDescent="0.3">
      <c r="A214" t="s">
        <v>284</v>
      </c>
      <c r="B214">
        <v>42327</v>
      </c>
      <c r="C214" t="s">
        <v>11</v>
      </c>
      <c r="D214" t="s">
        <v>45</v>
      </c>
      <c r="E214" t="s">
        <v>13</v>
      </c>
      <c r="F214" t="s">
        <v>41</v>
      </c>
      <c r="G214">
        <v>34</v>
      </c>
      <c r="H214">
        <v>80</v>
      </c>
      <c r="I214">
        <v>2720</v>
      </c>
      <c r="J214" t="s">
        <v>26</v>
      </c>
    </row>
    <row r="215" spans="1:10" x14ac:dyDescent="0.3">
      <c r="A215" t="s">
        <v>285</v>
      </c>
      <c r="B215">
        <v>42327</v>
      </c>
      <c r="C215" t="s">
        <v>11</v>
      </c>
      <c r="D215" t="s">
        <v>45</v>
      </c>
      <c r="E215" t="s">
        <v>13</v>
      </c>
      <c r="F215" t="s">
        <v>99</v>
      </c>
      <c r="G215">
        <v>12.5</v>
      </c>
      <c r="H215">
        <v>70</v>
      </c>
      <c r="I215">
        <v>875</v>
      </c>
      <c r="J215" t="s">
        <v>26</v>
      </c>
    </row>
    <row r="216" spans="1:10" x14ac:dyDescent="0.3">
      <c r="A216" t="s">
        <v>286</v>
      </c>
      <c r="B216">
        <v>42327</v>
      </c>
      <c r="C216" t="s">
        <v>11</v>
      </c>
      <c r="D216" t="s">
        <v>45</v>
      </c>
      <c r="E216" t="s">
        <v>34</v>
      </c>
      <c r="F216" t="s">
        <v>94</v>
      </c>
      <c r="G216">
        <v>17.45</v>
      </c>
      <c r="H216">
        <v>56</v>
      </c>
      <c r="I216">
        <v>977.19999999999993</v>
      </c>
      <c r="J216" t="s">
        <v>26</v>
      </c>
    </row>
    <row r="217" spans="1:10" x14ac:dyDescent="0.3">
      <c r="A217" t="s">
        <v>287</v>
      </c>
      <c r="B217">
        <v>42332</v>
      </c>
      <c r="C217" t="s">
        <v>28</v>
      </c>
      <c r="D217" t="s">
        <v>45</v>
      </c>
      <c r="E217" t="s">
        <v>13</v>
      </c>
      <c r="F217" t="s">
        <v>186</v>
      </c>
      <c r="G217">
        <v>36</v>
      </c>
      <c r="H217">
        <v>30</v>
      </c>
      <c r="I217">
        <v>1080</v>
      </c>
      <c r="J217" t="s">
        <v>15</v>
      </c>
    </row>
    <row r="218" spans="1:10" x14ac:dyDescent="0.3">
      <c r="A218" t="s">
        <v>288</v>
      </c>
      <c r="B218">
        <v>42332</v>
      </c>
      <c r="C218" t="s">
        <v>28</v>
      </c>
      <c r="D218" t="s">
        <v>45</v>
      </c>
      <c r="E218" t="s">
        <v>13</v>
      </c>
      <c r="F218" t="s">
        <v>124</v>
      </c>
      <c r="G218">
        <v>21.5</v>
      </c>
      <c r="H218">
        <v>5</v>
      </c>
      <c r="I218">
        <v>107.5</v>
      </c>
      <c r="J218" t="s">
        <v>15</v>
      </c>
    </row>
    <row r="219" spans="1:10" x14ac:dyDescent="0.3">
      <c r="A219" t="s">
        <v>289</v>
      </c>
      <c r="B219">
        <v>42334</v>
      </c>
      <c r="C219" t="s">
        <v>31</v>
      </c>
      <c r="D219" t="s">
        <v>85</v>
      </c>
      <c r="E219" t="s">
        <v>21</v>
      </c>
      <c r="F219" t="s">
        <v>97</v>
      </c>
      <c r="G219">
        <v>13</v>
      </c>
      <c r="H219">
        <v>5</v>
      </c>
      <c r="I219">
        <v>65</v>
      </c>
      <c r="J219" t="s">
        <v>26</v>
      </c>
    </row>
    <row r="220" spans="1:10" x14ac:dyDescent="0.3">
      <c r="A220" t="s">
        <v>290</v>
      </c>
      <c r="B220">
        <v>42334</v>
      </c>
      <c r="C220" t="s">
        <v>31</v>
      </c>
      <c r="D220" t="s">
        <v>85</v>
      </c>
      <c r="E220" t="s">
        <v>21</v>
      </c>
      <c r="F220" t="s">
        <v>87</v>
      </c>
      <c r="G220">
        <v>21.05</v>
      </c>
      <c r="H220">
        <v>5</v>
      </c>
      <c r="I220">
        <v>105.25</v>
      </c>
      <c r="J220" t="s">
        <v>26</v>
      </c>
    </row>
    <row r="221" spans="1:10" x14ac:dyDescent="0.3">
      <c r="A221" t="s">
        <v>291</v>
      </c>
      <c r="B221">
        <v>42340</v>
      </c>
      <c r="C221" t="s">
        <v>11</v>
      </c>
      <c r="D221" t="s">
        <v>12</v>
      </c>
      <c r="E221" t="s">
        <v>17</v>
      </c>
      <c r="F221" t="s">
        <v>32</v>
      </c>
      <c r="G221">
        <v>263.5</v>
      </c>
      <c r="H221">
        <v>40</v>
      </c>
      <c r="I221">
        <v>10540</v>
      </c>
      <c r="J221" t="s">
        <v>26</v>
      </c>
    </row>
    <row r="222" spans="1:10" x14ac:dyDescent="0.3">
      <c r="A222" t="s">
        <v>292</v>
      </c>
      <c r="B222">
        <v>42340</v>
      </c>
      <c r="C222" t="s">
        <v>11</v>
      </c>
      <c r="D222" t="s">
        <v>12</v>
      </c>
      <c r="E222" t="s">
        <v>13</v>
      </c>
      <c r="F222" t="s">
        <v>41</v>
      </c>
      <c r="G222">
        <v>34</v>
      </c>
      <c r="H222">
        <v>70</v>
      </c>
      <c r="I222">
        <v>2380</v>
      </c>
      <c r="J222" t="s">
        <v>26</v>
      </c>
    </row>
    <row r="223" spans="1:10" x14ac:dyDescent="0.3">
      <c r="A223" t="s">
        <v>293</v>
      </c>
      <c r="B223">
        <v>42340</v>
      </c>
      <c r="C223" t="s">
        <v>11</v>
      </c>
      <c r="D223" t="s">
        <v>12</v>
      </c>
      <c r="E223" t="s">
        <v>13</v>
      </c>
      <c r="F223" t="s">
        <v>56</v>
      </c>
      <c r="G223">
        <v>34.799999999999997</v>
      </c>
      <c r="H223">
        <v>42</v>
      </c>
      <c r="I223">
        <v>1461.6</v>
      </c>
      <c r="J223" t="s">
        <v>26</v>
      </c>
    </row>
    <row r="224" spans="1:10" x14ac:dyDescent="0.3">
      <c r="A224" t="s">
        <v>294</v>
      </c>
      <c r="B224">
        <v>42340</v>
      </c>
      <c r="C224" t="s">
        <v>28</v>
      </c>
      <c r="D224" t="s">
        <v>12</v>
      </c>
      <c r="E224" t="s">
        <v>34</v>
      </c>
      <c r="F224" t="s">
        <v>35</v>
      </c>
      <c r="G224">
        <v>81</v>
      </c>
      <c r="H224">
        <v>12</v>
      </c>
      <c r="I224">
        <v>972</v>
      </c>
      <c r="J224" t="s">
        <v>26</v>
      </c>
    </row>
    <row r="225" spans="1:10" x14ac:dyDescent="0.3">
      <c r="A225" t="s">
        <v>295</v>
      </c>
      <c r="B225">
        <v>42345</v>
      </c>
      <c r="C225" t="s">
        <v>20</v>
      </c>
      <c r="D225" t="s">
        <v>45</v>
      </c>
      <c r="E225" t="s">
        <v>17</v>
      </c>
      <c r="F225" t="s">
        <v>37</v>
      </c>
      <c r="G225">
        <v>18</v>
      </c>
      <c r="H225">
        <v>20</v>
      </c>
      <c r="I225">
        <v>360</v>
      </c>
      <c r="J225" t="s">
        <v>26</v>
      </c>
    </row>
    <row r="226" spans="1:10" x14ac:dyDescent="0.3">
      <c r="A226" t="s">
        <v>296</v>
      </c>
      <c r="B226">
        <v>42345</v>
      </c>
      <c r="C226" t="s">
        <v>11</v>
      </c>
      <c r="D226" t="s">
        <v>45</v>
      </c>
      <c r="E226" t="s">
        <v>17</v>
      </c>
      <c r="F226" t="s">
        <v>54</v>
      </c>
      <c r="G226">
        <v>45.6</v>
      </c>
      <c r="H226">
        <v>20</v>
      </c>
      <c r="I226">
        <v>912</v>
      </c>
      <c r="J226" t="s">
        <v>26</v>
      </c>
    </row>
    <row r="227" spans="1:10" x14ac:dyDescent="0.3">
      <c r="A227" t="s">
        <v>297</v>
      </c>
      <c r="B227">
        <v>42347</v>
      </c>
      <c r="C227" t="s">
        <v>28</v>
      </c>
      <c r="D227" t="s">
        <v>12</v>
      </c>
      <c r="E227" t="s">
        <v>21</v>
      </c>
      <c r="F227" t="s">
        <v>87</v>
      </c>
      <c r="G227">
        <v>21.05</v>
      </c>
      <c r="H227">
        <v>20</v>
      </c>
      <c r="I227">
        <v>421</v>
      </c>
      <c r="J227" t="s">
        <v>15</v>
      </c>
    </row>
    <row r="228" spans="1:10" x14ac:dyDescent="0.3">
      <c r="A228" t="s">
        <v>298</v>
      </c>
      <c r="B228">
        <v>42347</v>
      </c>
      <c r="C228" t="s">
        <v>20</v>
      </c>
      <c r="D228" t="s">
        <v>12</v>
      </c>
      <c r="E228" t="s">
        <v>21</v>
      </c>
      <c r="F228" t="s">
        <v>299</v>
      </c>
      <c r="G228">
        <v>43.9</v>
      </c>
      <c r="H228">
        <v>16</v>
      </c>
      <c r="I228">
        <v>702.4</v>
      </c>
      <c r="J228" t="s">
        <v>15</v>
      </c>
    </row>
    <row r="229" spans="1:10" x14ac:dyDescent="0.3">
      <c r="A229" t="s">
        <v>300</v>
      </c>
      <c r="B229">
        <v>42347</v>
      </c>
      <c r="C229" t="s">
        <v>11</v>
      </c>
      <c r="D229" t="s">
        <v>12</v>
      </c>
      <c r="E229" t="s">
        <v>34</v>
      </c>
      <c r="F229" t="s">
        <v>64</v>
      </c>
      <c r="G229">
        <v>9.65</v>
      </c>
      <c r="H229">
        <v>8</v>
      </c>
      <c r="I229">
        <v>77.2</v>
      </c>
      <c r="J229" t="s">
        <v>15</v>
      </c>
    </row>
    <row r="230" spans="1:10" x14ac:dyDescent="0.3">
      <c r="A230" t="s">
        <v>301</v>
      </c>
      <c r="B230">
        <v>42352</v>
      </c>
      <c r="C230" t="s">
        <v>20</v>
      </c>
      <c r="D230" t="s">
        <v>45</v>
      </c>
      <c r="E230" t="s">
        <v>51</v>
      </c>
      <c r="F230" t="s">
        <v>81</v>
      </c>
      <c r="G230">
        <v>38</v>
      </c>
      <c r="H230">
        <v>20</v>
      </c>
      <c r="I230">
        <v>760</v>
      </c>
      <c r="J230" t="s">
        <v>26</v>
      </c>
    </row>
    <row r="231" spans="1:10" x14ac:dyDescent="0.3">
      <c r="A231" t="s">
        <v>302</v>
      </c>
      <c r="B231">
        <v>42352</v>
      </c>
      <c r="C231" t="s">
        <v>20</v>
      </c>
      <c r="D231" t="s">
        <v>45</v>
      </c>
      <c r="E231" t="s">
        <v>13</v>
      </c>
      <c r="F231" t="s">
        <v>14</v>
      </c>
      <c r="G231">
        <v>6</v>
      </c>
      <c r="H231">
        <v>20</v>
      </c>
      <c r="I231">
        <v>120</v>
      </c>
      <c r="J231" t="s">
        <v>26</v>
      </c>
    </row>
    <row r="232" spans="1:10" x14ac:dyDescent="0.3">
      <c r="A232" t="s">
        <v>303</v>
      </c>
      <c r="B232">
        <v>42352</v>
      </c>
      <c r="C232" t="s">
        <v>31</v>
      </c>
      <c r="D232" t="s">
        <v>45</v>
      </c>
      <c r="E232" t="s">
        <v>34</v>
      </c>
      <c r="F232" t="s">
        <v>64</v>
      </c>
      <c r="G232">
        <v>16.25</v>
      </c>
      <c r="H232">
        <v>15</v>
      </c>
      <c r="I232">
        <v>243.75</v>
      </c>
      <c r="J232" t="s">
        <v>26</v>
      </c>
    </row>
    <row r="233" spans="1:10" x14ac:dyDescent="0.3">
      <c r="A233" t="s">
        <v>304</v>
      </c>
      <c r="B233">
        <v>42354</v>
      </c>
      <c r="C233" t="s">
        <v>28</v>
      </c>
      <c r="D233" t="s">
        <v>12</v>
      </c>
      <c r="E233" t="s">
        <v>17</v>
      </c>
      <c r="F233" t="s">
        <v>128</v>
      </c>
      <c r="G233">
        <v>4.5</v>
      </c>
      <c r="H233">
        <v>15</v>
      </c>
      <c r="I233">
        <v>67.5</v>
      </c>
      <c r="J233" t="s">
        <v>26</v>
      </c>
    </row>
    <row r="234" spans="1:10" x14ac:dyDescent="0.3">
      <c r="A234" t="s">
        <v>305</v>
      </c>
      <c r="B234">
        <v>42354</v>
      </c>
      <c r="C234" t="s">
        <v>28</v>
      </c>
      <c r="D234" t="s">
        <v>12</v>
      </c>
      <c r="E234" t="s">
        <v>17</v>
      </c>
      <c r="F234" t="s">
        <v>144</v>
      </c>
      <c r="G234">
        <v>14</v>
      </c>
      <c r="H234">
        <v>10</v>
      </c>
      <c r="I234">
        <v>140</v>
      </c>
      <c r="J234" t="s">
        <v>26</v>
      </c>
    </row>
    <row r="235" spans="1:10" x14ac:dyDescent="0.3">
      <c r="A235" t="s">
        <v>306</v>
      </c>
      <c r="B235">
        <v>42355</v>
      </c>
      <c r="C235" t="s">
        <v>20</v>
      </c>
      <c r="D235" t="s">
        <v>45</v>
      </c>
      <c r="E235" t="s">
        <v>51</v>
      </c>
      <c r="F235" t="s">
        <v>138</v>
      </c>
      <c r="G235">
        <v>32.799999999999997</v>
      </c>
      <c r="H235">
        <v>40</v>
      </c>
      <c r="I235">
        <v>1312</v>
      </c>
      <c r="J235" t="s">
        <v>15</v>
      </c>
    </row>
    <row r="236" spans="1:10" x14ac:dyDescent="0.3">
      <c r="A236" t="s">
        <v>307</v>
      </c>
      <c r="B236">
        <v>42355</v>
      </c>
      <c r="C236" t="s">
        <v>11</v>
      </c>
      <c r="D236" t="s">
        <v>45</v>
      </c>
      <c r="E236" t="s">
        <v>21</v>
      </c>
      <c r="F236" t="s">
        <v>22</v>
      </c>
      <c r="G236">
        <v>7</v>
      </c>
      <c r="H236">
        <v>20</v>
      </c>
      <c r="I236">
        <v>140</v>
      </c>
      <c r="J236" t="s">
        <v>15</v>
      </c>
    </row>
    <row r="237" spans="1:10" x14ac:dyDescent="0.3">
      <c r="A237" t="s">
        <v>308</v>
      </c>
      <c r="B237">
        <v>42355</v>
      </c>
      <c r="C237" t="s">
        <v>20</v>
      </c>
      <c r="D237" t="s">
        <v>45</v>
      </c>
      <c r="E237" t="s">
        <v>13</v>
      </c>
      <c r="F237" t="s">
        <v>14</v>
      </c>
      <c r="G237">
        <v>9.5</v>
      </c>
      <c r="H237">
        <v>15</v>
      </c>
      <c r="I237">
        <v>142.5</v>
      </c>
      <c r="J237" t="s">
        <v>15</v>
      </c>
    </row>
    <row r="238" spans="1:10" x14ac:dyDescent="0.3">
      <c r="A238" t="s">
        <v>309</v>
      </c>
      <c r="B238">
        <v>42368</v>
      </c>
      <c r="C238" t="s">
        <v>31</v>
      </c>
      <c r="D238" t="s">
        <v>45</v>
      </c>
      <c r="E238" t="s">
        <v>17</v>
      </c>
      <c r="F238" t="s">
        <v>72</v>
      </c>
      <c r="G238">
        <v>18</v>
      </c>
      <c r="H238">
        <v>35</v>
      </c>
      <c r="I238">
        <v>630</v>
      </c>
      <c r="J238" t="s">
        <v>26</v>
      </c>
    </row>
    <row r="239" spans="1:10" x14ac:dyDescent="0.3">
      <c r="A239" t="s">
        <v>310</v>
      </c>
      <c r="B239">
        <v>42368</v>
      </c>
      <c r="C239" t="s">
        <v>20</v>
      </c>
      <c r="D239" t="s">
        <v>45</v>
      </c>
      <c r="E239" t="s">
        <v>51</v>
      </c>
      <c r="F239" t="s">
        <v>52</v>
      </c>
      <c r="G239">
        <v>123.79</v>
      </c>
      <c r="H239">
        <v>21</v>
      </c>
      <c r="I239">
        <v>2599.59</v>
      </c>
      <c r="J239" t="s">
        <v>26</v>
      </c>
    </row>
    <row r="240" spans="1:10" x14ac:dyDescent="0.3">
      <c r="A240" t="s">
        <v>311</v>
      </c>
      <c r="B240">
        <v>42368</v>
      </c>
      <c r="C240" t="s">
        <v>31</v>
      </c>
      <c r="D240" t="s">
        <v>45</v>
      </c>
      <c r="E240" t="s">
        <v>34</v>
      </c>
      <c r="F240" t="s">
        <v>75</v>
      </c>
      <c r="G240">
        <v>20</v>
      </c>
      <c r="H240">
        <v>30</v>
      </c>
      <c r="I240">
        <v>600</v>
      </c>
      <c r="J240" t="s">
        <v>26</v>
      </c>
    </row>
    <row r="241" spans="1:10" x14ac:dyDescent="0.3">
      <c r="A241" t="s">
        <v>312</v>
      </c>
      <c r="B241">
        <v>42009</v>
      </c>
      <c r="C241" t="s">
        <v>11</v>
      </c>
      <c r="D241" t="s">
        <v>12</v>
      </c>
      <c r="E241" t="s">
        <v>13</v>
      </c>
      <c r="F241" t="s">
        <v>14</v>
      </c>
      <c r="G241">
        <v>45.6</v>
      </c>
      <c r="H241">
        <v>42</v>
      </c>
      <c r="I241">
        <v>1915.2</v>
      </c>
      <c r="J241" t="s">
        <v>15</v>
      </c>
    </row>
    <row r="242" spans="1:10" x14ac:dyDescent="0.3">
      <c r="A242" t="s">
        <v>313</v>
      </c>
      <c r="B242">
        <v>42009</v>
      </c>
      <c r="C242" t="s">
        <v>20</v>
      </c>
      <c r="D242" t="s">
        <v>12</v>
      </c>
      <c r="E242" t="s">
        <v>21</v>
      </c>
      <c r="F242" t="s">
        <v>22</v>
      </c>
      <c r="G242">
        <v>19</v>
      </c>
      <c r="H242">
        <v>5</v>
      </c>
      <c r="I242">
        <v>95</v>
      </c>
      <c r="J242" t="s">
        <v>15</v>
      </c>
    </row>
    <row r="243" spans="1:10" x14ac:dyDescent="0.3">
      <c r="A243" t="s">
        <v>314</v>
      </c>
      <c r="B243">
        <v>42009</v>
      </c>
      <c r="C243" t="s">
        <v>20</v>
      </c>
      <c r="D243" t="s">
        <v>12</v>
      </c>
      <c r="E243" t="s">
        <v>21</v>
      </c>
      <c r="F243" t="s">
        <v>22</v>
      </c>
      <c r="G243">
        <v>18.399999999999999</v>
      </c>
      <c r="H243">
        <v>2</v>
      </c>
      <c r="I243">
        <v>36.799999999999997</v>
      </c>
      <c r="J243" t="s">
        <v>15</v>
      </c>
    </row>
    <row r="244" spans="1:10" x14ac:dyDescent="0.3">
      <c r="A244" t="s">
        <v>42</v>
      </c>
      <c r="B244">
        <v>42009</v>
      </c>
      <c r="C244" t="s">
        <v>20</v>
      </c>
      <c r="D244" t="s">
        <v>12</v>
      </c>
      <c r="E244" t="s">
        <v>34</v>
      </c>
      <c r="F244" t="s">
        <v>241</v>
      </c>
      <c r="G244">
        <v>10</v>
      </c>
      <c r="H244">
        <v>30</v>
      </c>
      <c r="I244">
        <v>300</v>
      </c>
      <c r="J244" t="s">
        <v>15</v>
      </c>
    </row>
    <row r="245" spans="1:10" x14ac:dyDescent="0.3">
      <c r="A245" t="s">
        <v>315</v>
      </c>
      <c r="B245">
        <v>42011</v>
      </c>
      <c r="C245" t="s">
        <v>20</v>
      </c>
      <c r="D245" t="s">
        <v>24</v>
      </c>
      <c r="E245" t="s">
        <v>17</v>
      </c>
      <c r="F245" t="s">
        <v>54</v>
      </c>
      <c r="G245">
        <v>23.25</v>
      </c>
      <c r="H245">
        <v>12</v>
      </c>
      <c r="I245">
        <v>279</v>
      </c>
      <c r="J245" t="s">
        <v>15</v>
      </c>
    </row>
    <row r="246" spans="1:10" x14ac:dyDescent="0.3">
      <c r="A246" t="s">
        <v>316</v>
      </c>
      <c r="B246">
        <v>42011</v>
      </c>
      <c r="C246" t="s">
        <v>20</v>
      </c>
      <c r="D246" t="s">
        <v>24</v>
      </c>
      <c r="E246" t="s">
        <v>34</v>
      </c>
      <c r="F246" t="s">
        <v>241</v>
      </c>
      <c r="G246">
        <v>10</v>
      </c>
      <c r="H246">
        <v>12</v>
      </c>
      <c r="I246">
        <v>120</v>
      </c>
      <c r="J246" t="s">
        <v>15</v>
      </c>
    </row>
    <row r="247" spans="1:10" x14ac:dyDescent="0.3">
      <c r="A247" t="s">
        <v>317</v>
      </c>
      <c r="B247">
        <v>42016</v>
      </c>
      <c r="C247" t="s">
        <v>11</v>
      </c>
      <c r="D247" t="s">
        <v>12</v>
      </c>
      <c r="E247" t="s">
        <v>13</v>
      </c>
      <c r="F247" t="s">
        <v>113</v>
      </c>
      <c r="G247">
        <v>2.5</v>
      </c>
      <c r="H247">
        <v>50</v>
      </c>
      <c r="I247">
        <v>125</v>
      </c>
      <c r="J247" t="s">
        <v>26</v>
      </c>
    </row>
    <row r="248" spans="1:10" x14ac:dyDescent="0.3">
      <c r="A248" t="s">
        <v>318</v>
      </c>
      <c r="B248">
        <v>42016</v>
      </c>
      <c r="C248" t="s">
        <v>28</v>
      </c>
      <c r="D248" t="s">
        <v>12</v>
      </c>
      <c r="E248" t="s">
        <v>34</v>
      </c>
      <c r="F248" t="s">
        <v>188</v>
      </c>
      <c r="G248">
        <v>9.1999999999999993</v>
      </c>
      <c r="H248">
        <v>18</v>
      </c>
      <c r="I248">
        <v>165.6</v>
      </c>
      <c r="J248" t="s">
        <v>26</v>
      </c>
    </row>
    <row r="249" spans="1:10" x14ac:dyDescent="0.3">
      <c r="A249" t="s">
        <v>319</v>
      </c>
      <c r="B249">
        <v>42023</v>
      </c>
      <c r="C249" t="s">
        <v>31</v>
      </c>
      <c r="D249" t="s">
        <v>12</v>
      </c>
      <c r="E249" t="s">
        <v>17</v>
      </c>
      <c r="F249" t="s">
        <v>54</v>
      </c>
      <c r="G249">
        <v>15</v>
      </c>
      <c r="H249">
        <v>8</v>
      </c>
      <c r="I249">
        <v>120</v>
      </c>
      <c r="J249" t="s">
        <v>15</v>
      </c>
    </row>
    <row r="250" spans="1:10" x14ac:dyDescent="0.3">
      <c r="A250" t="s">
        <v>320</v>
      </c>
      <c r="B250">
        <v>42023</v>
      </c>
      <c r="C250" t="s">
        <v>11</v>
      </c>
      <c r="D250" t="s">
        <v>12</v>
      </c>
      <c r="E250" t="s">
        <v>21</v>
      </c>
      <c r="F250" t="s">
        <v>22</v>
      </c>
      <c r="G250">
        <v>15</v>
      </c>
      <c r="H250">
        <v>20</v>
      </c>
      <c r="I250">
        <v>300</v>
      </c>
      <c r="J250" t="s">
        <v>15</v>
      </c>
    </row>
    <row r="251" spans="1:10" x14ac:dyDescent="0.3">
      <c r="A251" t="s">
        <v>321</v>
      </c>
      <c r="B251">
        <v>42023</v>
      </c>
      <c r="C251" t="s">
        <v>28</v>
      </c>
      <c r="D251" t="s">
        <v>12</v>
      </c>
      <c r="E251" t="s">
        <v>34</v>
      </c>
      <c r="F251" t="s">
        <v>64</v>
      </c>
      <c r="G251">
        <v>6</v>
      </c>
      <c r="H251">
        <v>2</v>
      </c>
      <c r="I251">
        <v>12</v>
      </c>
      <c r="J251" t="s">
        <v>15</v>
      </c>
    </row>
    <row r="252" spans="1:10" x14ac:dyDescent="0.3">
      <c r="A252" t="s">
        <v>322</v>
      </c>
      <c r="B252">
        <v>42023</v>
      </c>
      <c r="C252" t="s">
        <v>20</v>
      </c>
      <c r="D252" t="s">
        <v>12</v>
      </c>
      <c r="E252" t="s">
        <v>51</v>
      </c>
      <c r="F252" t="s">
        <v>138</v>
      </c>
      <c r="G252">
        <v>32.799999999999997</v>
      </c>
      <c r="H252">
        <v>15</v>
      </c>
      <c r="I252">
        <v>491.99999999999994</v>
      </c>
      <c r="J252" t="s">
        <v>15</v>
      </c>
    </row>
    <row r="253" spans="1:10" x14ac:dyDescent="0.3">
      <c r="A253" t="s">
        <v>323</v>
      </c>
      <c r="B253">
        <v>42023</v>
      </c>
      <c r="C253" t="s">
        <v>11</v>
      </c>
      <c r="D253" t="s">
        <v>12</v>
      </c>
      <c r="E253" t="s">
        <v>21</v>
      </c>
      <c r="F253" t="s">
        <v>97</v>
      </c>
      <c r="G253">
        <v>13</v>
      </c>
      <c r="H253">
        <v>10</v>
      </c>
      <c r="I253">
        <v>130</v>
      </c>
      <c r="J253" t="s">
        <v>15</v>
      </c>
    </row>
    <row r="254" spans="1:10" x14ac:dyDescent="0.3">
      <c r="A254" t="s">
        <v>324</v>
      </c>
      <c r="B254">
        <v>42023</v>
      </c>
      <c r="C254" t="s">
        <v>11</v>
      </c>
      <c r="D254" t="s">
        <v>12</v>
      </c>
      <c r="E254" t="s">
        <v>34</v>
      </c>
      <c r="F254" t="s">
        <v>77</v>
      </c>
      <c r="G254">
        <v>31.23</v>
      </c>
      <c r="H254">
        <v>30</v>
      </c>
      <c r="I254">
        <v>936.9</v>
      </c>
      <c r="J254" t="s">
        <v>15</v>
      </c>
    </row>
    <row r="255" spans="1:10" x14ac:dyDescent="0.3">
      <c r="A255" t="s">
        <v>325</v>
      </c>
      <c r="B255">
        <v>42023</v>
      </c>
      <c r="C255" t="s">
        <v>20</v>
      </c>
      <c r="D255" t="s">
        <v>12</v>
      </c>
      <c r="E255" t="s">
        <v>34</v>
      </c>
      <c r="F255" t="s">
        <v>188</v>
      </c>
      <c r="G255">
        <v>9.1999999999999993</v>
      </c>
      <c r="H255">
        <v>4</v>
      </c>
      <c r="I255">
        <v>36.799999999999997</v>
      </c>
      <c r="J255" t="s">
        <v>15</v>
      </c>
    </row>
    <row r="256" spans="1:10" x14ac:dyDescent="0.3">
      <c r="A256" t="s">
        <v>326</v>
      </c>
      <c r="B256">
        <v>42025</v>
      </c>
      <c r="C256" t="s">
        <v>11</v>
      </c>
      <c r="D256" t="s">
        <v>12</v>
      </c>
      <c r="E256" t="s">
        <v>13</v>
      </c>
      <c r="F256" t="s">
        <v>66</v>
      </c>
      <c r="G256">
        <v>55</v>
      </c>
      <c r="H256">
        <v>20</v>
      </c>
      <c r="I256">
        <v>1100</v>
      </c>
      <c r="J256" t="s">
        <v>26</v>
      </c>
    </row>
    <row r="257" spans="1:10" x14ac:dyDescent="0.3">
      <c r="A257" t="s">
        <v>327</v>
      </c>
      <c r="B257">
        <v>42025</v>
      </c>
      <c r="C257" t="s">
        <v>20</v>
      </c>
      <c r="D257" t="s">
        <v>12</v>
      </c>
      <c r="E257" t="s">
        <v>13</v>
      </c>
      <c r="F257" t="s">
        <v>99</v>
      </c>
      <c r="G257">
        <v>12.5</v>
      </c>
      <c r="H257">
        <v>14</v>
      </c>
      <c r="I257">
        <v>175</v>
      </c>
      <c r="J257" t="s">
        <v>26</v>
      </c>
    </row>
    <row r="258" spans="1:10" x14ac:dyDescent="0.3">
      <c r="A258" t="s">
        <v>328</v>
      </c>
      <c r="B258">
        <v>42029</v>
      </c>
      <c r="C258" t="s">
        <v>11</v>
      </c>
      <c r="D258" t="s">
        <v>85</v>
      </c>
      <c r="E258" t="s">
        <v>34</v>
      </c>
      <c r="F258" t="s">
        <v>64</v>
      </c>
      <c r="G258">
        <v>33.25</v>
      </c>
      <c r="H258">
        <v>7</v>
      </c>
      <c r="I258">
        <v>232.75</v>
      </c>
      <c r="J258" t="s">
        <v>15</v>
      </c>
    </row>
    <row r="259" spans="1:10" x14ac:dyDescent="0.3">
      <c r="A259" t="s">
        <v>329</v>
      </c>
      <c r="B259">
        <v>42029</v>
      </c>
      <c r="C259" t="s">
        <v>11</v>
      </c>
      <c r="D259" t="s">
        <v>85</v>
      </c>
      <c r="E259" t="s">
        <v>13</v>
      </c>
      <c r="F259" t="s">
        <v>14</v>
      </c>
      <c r="G259">
        <v>38</v>
      </c>
      <c r="H259">
        <v>5</v>
      </c>
      <c r="I259">
        <v>190</v>
      </c>
      <c r="J259" t="s">
        <v>15</v>
      </c>
    </row>
    <row r="260" spans="1:10" x14ac:dyDescent="0.3">
      <c r="A260" t="s">
        <v>330</v>
      </c>
      <c r="B260">
        <v>42037</v>
      </c>
      <c r="C260" t="s">
        <v>31</v>
      </c>
      <c r="D260" t="s">
        <v>45</v>
      </c>
      <c r="E260" t="s">
        <v>17</v>
      </c>
      <c r="F260" t="s">
        <v>18</v>
      </c>
      <c r="G260">
        <v>19</v>
      </c>
      <c r="H260">
        <v>10</v>
      </c>
      <c r="I260">
        <v>190</v>
      </c>
      <c r="J260" t="s">
        <v>26</v>
      </c>
    </row>
    <row r="261" spans="1:10" x14ac:dyDescent="0.3">
      <c r="A261" t="s">
        <v>331</v>
      </c>
      <c r="B261">
        <v>42037</v>
      </c>
      <c r="C261" t="s">
        <v>31</v>
      </c>
      <c r="D261" t="s">
        <v>45</v>
      </c>
      <c r="E261" t="s">
        <v>13</v>
      </c>
      <c r="F261" t="s">
        <v>14</v>
      </c>
      <c r="G261">
        <v>21</v>
      </c>
      <c r="H261">
        <v>12</v>
      </c>
      <c r="I261">
        <v>252</v>
      </c>
      <c r="J261" t="s">
        <v>26</v>
      </c>
    </row>
    <row r="262" spans="1:10" x14ac:dyDescent="0.3">
      <c r="A262" t="s">
        <v>332</v>
      </c>
      <c r="B262">
        <v>42037</v>
      </c>
      <c r="C262" t="s">
        <v>31</v>
      </c>
      <c r="D262" t="s">
        <v>45</v>
      </c>
      <c r="E262" t="s">
        <v>13</v>
      </c>
      <c r="F262" t="s">
        <v>56</v>
      </c>
      <c r="G262">
        <v>34.799999999999997</v>
      </c>
      <c r="H262">
        <v>10</v>
      </c>
      <c r="I262">
        <v>348</v>
      </c>
      <c r="J262" t="s">
        <v>26</v>
      </c>
    </row>
    <row r="263" spans="1:10" x14ac:dyDescent="0.3">
      <c r="A263" t="s">
        <v>333</v>
      </c>
      <c r="B263">
        <v>42047</v>
      </c>
      <c r="C263" t="s">
        <v>20</v>
      </c>
      <c r="D263" t="s">
        <v>12</v>
      </c>
      <c r="E263" t="s">
        <v>21</v>
      </c>
      <c r="F263" t="s">
        <v>87</v>
      </c>
      <c r="G263">
        <v>21.05</v>
      </c>
      <c r="H263">
        <v>35</v>
      </c>
      <c r="I263">
        <v>736.75</v>
      </c>
      <c r="J263" t="s">
        <v>26</v>
      </c>
    </row>
    <row r="264" spans="1:10" x14ac:dyDescent="0.3">
      <c r="A264" t="s">
        <v>334</v>
      </c>
      <c r="B264">
        <v>42047</v>
      </c>
      <c r="C264" t="s">
        <v>20</v>
      </c>
      <c r="D264" t="s">
        <v>12</v>
      </c>
      <c r="E264" t="s">
        <v>13</v>
      </c>
      <c r="F264" t="s">
        <v>124</v>
      </c>
      <c r="G264">
        <v>21.5</v>
      </c>
      <c r="H264">
        <v>2</v>
      </c>
      <c r="I264">
        <v>43</v>
      </c>
      <c r="J264" t="s">
        <v>26</v>
      </c>
    </row>
    <row r="265" spans="1:10" x14ac:dyDescent="0.3">
      <c r="A265" t="s">
        <v>335</v>
      </c>
      <c r="B265">
        <v>42047</v>
      </c>
      <c r="C265" t="s">
        <v>28</v>
      </c>
      <c r="D265" t="s">
        <v>12</v>
      </c>
      <c r="E265" t="s">
        <v>34</v>
      </c>
      <c r="F265" t="s">
        <v>188</v>
      </c>
      <c r="G265">
        <v>9.1999999999999993</v>
      </c>
      <c r="H265">
        <v>40</v>
      </c>
      <c r="I265">
        <v>368</v>
      </c>
      <c r="J265" t="s">
        <v>26</v>
      </c>
    </row>
    <row r="266" spans="1:10" x14ac:dyDescent="0.3">
      <c r="A266" t="s">
        <v>336</v>
      </c>
      <c r="B266">
        <v>42050</v>
      </c>
      <c r="C266" t="s">
        <v>11</v>
      </c>
      <c r="D266" t="s">
        <v>24</v>
      </c>
      <c r="E266" t="s">
        <v>51</v>
      </c>
      <c r="F266" t="s">
        <v>81</v>
      </c>
      <c r="G266">
        <v>18.399999999999999</v>
      </c>
      <c r="H266">
        <v>20</v>
      </c>
      <c r="I266">
        <v>368</v>
      </c>
      <c r="J266" t="s">
        <v>26</v>
      </c>
    </row>
    <row r="267" spans="1:10" x14ac:dyDescent="0.3">
      <c r="A267" t="s">
        <v>337</v>
      </c>
      <c r="B267">
        <v>42054</v>
      </c>
      <c r="C267" t="s">
        <v>11</v>
      </c>
      <c r="D267" t="s">
        <v>45</v>
      </c>
      <c r="E267" t="s">
        <v>17</v>
      </c>
      <c r="F267" t="s">
        <v>54</v>
      </c>
      <c r="G267">
        <v>15</v>
      </c>
      <c r="H267">
        <v>25</v>
      </c>
      <c r="I267">
        <v>375</v>
      </c>
      <c r="J267" t="s">
        <v>26</v>
      </c>
    </row>
    <row r="268" spans="1:10" x14ac:dyDescent="0.3">
      <c r="A268" t="s">
        <v>338</v>
      </c>
      <c r="B268">
        <v>42054</v>
      </c>
      <c r="C268" t="s">
        <v>31</v>
      </c>
      <c r="D268" t="s">
        <v>45</v>
      </c>
      <c r="E268" t="s">
        <v>34</v>
      </c>
      <c r="F268" t="s">
        <v>339</v>
      </c>
      <c r="G268">
        <v>12.75</v>
      </c>
      <c r="H268">
        <v>15</v>
      </c>
      <c r="I268">
        <v>191.25</v>
      </c>
      <c r="J268" t="s">
        <v>26</v>
      </c>
    </row>
    <row r="269" spans="1:10" x14ac:dyDescent="0.3">
      <c r="A269" t="s">
        <v>340</v>
      </c>
      <c r="B269">
        <v>42064</v>
      </c>
      <c r="C269" t="s">
        <v>28</v>
      </c>
      <c r="D269" t="s">
        <v>45</v>
      </c>
      <c r="E269" t="s">
        <v>17</v>
      </c>
      <c r="F269" t="s">
        <v>54</v>
      </c>
      <c r="G269">
        <v>9</v>
      </c>
      <c r="H269">
        <v>21</v>
      </c>
      <c r="I269">
        <v>189</v>
      </c>
      <c r="J269" t="s">
        <v>15</v>
      </c>
    </row>
    <row r="270" spans="1:10" x14ac:dyDescent="0.3">
      <c r="A270" t="s">
        <v>341</v>
      </c>
      <c r="B270">
        <v>42064</v>
      </c>
      <c r="C270" t="s">
        <v>11</v>
      </c>
      <c r="D270" t="s">
        <v>45</v>
      </c>
      <c r="E270" t="s">
        <v>21</v>
      </c>
      <c r="F270" t="s">
        <v>22</v>
      </c>
      <c r="G270">
        <v>6</v>
      </c>
      <c r="H270">
        <v>1</v>
      </c>
      <c r="I270">
        <v>6</v>
      </c>
      <c r="J270" t="s">
        <v>15</v>
      </c>
    </row>
    <row r="271" spans="1:10" x14ac:dyDescent="0.3">
      <c r="A271" t="s">
        <v>342</v>
      </c>
      <c r="B271">
        <v>42067</v>
      </c>
      <c r="C271" t="s">
        <v>28</v>
      </c>
      <c r="D271" t="s">
        <v>12</v>
      </c>
      <c r="E271" t="s">
        <v>13</v>
      </c>
      <c r="F271" t="s">
        <v>14</v>
      </c>
      <c r="G271">
        <v>21</v>
      </c>
      <c r="H271">
        <v>10</v>
      </c>
      <c r="I271">
        <v>210</v>
      </c>
      <c r="J271" t="s">
        <v>15</v>
      </c>
    </row>
    <row r="272" spans="1:10" x14ac:dyDescent="0.3">
      <c r="A272" t="s">
        <v>343</v>
      </c>
      <c r="B272">
        <v>42067</v>
      </c>
      <c r="C272" t="s">
        <v>20</v>
      </c>
      <c r="D272" t="s">
        <v>12</v>
      </c>
      <c r="E272" t="s">
        <v>21</v>
      </c>
      <c r="F272" t="s">
        <v>22</v>
      </c>
      <c r="G272">
        <v>12</v>
      </c>
      <c r="H272">
        <v>5</v>
      </c>
      <c r="I272">
        <v>60</v>
      </c>
      <c r="J272" t="s">
        <v>15</v>
      </c>
    </row>
    <row r="273" spans="1:10" x14ac:dyDescent="0.3">
      <c r="A273" t="s">
        <v>344</v>
      </c>
      <c r="B273">
        <v>42072</v>
      </c>
      <c r="C273" t="s">
        <v>28</v>
      </c>
      <c r="D273" t="s">
        <v>45</v>
      </c>
      <c r="E273" t="s">
        <v>34</v>
      </c>
      <c r="F273" t="s">
        <v>64</v>
      </c>
      <c r="G273">
        <v>30</v>
      </c>
      <c r="H273">
        <v>30</v>
      </c>
      <c r="I273">
        <v>900</v>
      </c>
      <c r="J273" t="s">
        <v>26</v>
      </c>
    </row>
    <row r="274" spans="1:10" x14ac:dyDescent="0.3">
      <c r="A274" t="s">
        <v>345</v>
      </c>
      <c r="B274">
        <v>42072</v>
      </c>
      <c r="C274" t="s">
        <v>11</v>
      </c>
      <c r="D274" t="s">
        <v>45</v>
      </c>
      <c r="E274" t="s">
        <v>51</v>
      </c>
      <c r="F274" t="s">
        <v>81</v>
      </c>
      <c r="G274">
        <v>38</v>
      </c>
      <c r="H274">
        <v>20</v>
      </c>
      <c r="I274">
        <v>760</v>
      </c>
      <c r="J274" t="s">
        <v>26</v>
      </c>
    </row>
    <row r="275" spans="1:10" x14ac:dyDescent="0.3">
      <c r="A275" t="s">
        <v>346</v>
      </c>
      <c r="B275">
        <v>42073</v>
      </c>
      <c r="C275" t="s">
        <v>11</v>
      </c>
      <c r="D275" t="s">
        <v>45</v>
      </c>
      <c r="E275" t="s">
        <v>17</v>
      </c>
      <c r="F275" t="s">
        <v>128</v>
      </c>
      <c r="G275">
        <v>4.5</v>
      </c>
      <c r="H275">
        <v>80</v>
      </c>
      <c r="I275">
        <v>360</v>
      </c>
      <c r="J275" t="s">
        <v>15</v>
      </c>
    </row>
    <row r="276" spans="1:10" x14ac:dyDescent="0.3">
      <c r="A276" t="s">
        <v>347</v>
      </c>
      <c r="B276">
        <v>42073</v>
      </c>
      <c r="C276" t="s">
        <v>20</v>
      </c>
      <c r="D276" t="s">
        <v>45</v>
      </c>
      <c r="E276" t="s">
        <v>21</v>
      </c>
      <c r="F276" t="s">
        <v>22</v>
      </c>
      <c r="G276">
        <v>53</v>
      </c>
      <c r="H276">
        <v>18</v>
      </c>
      <c r="I276">
        <v>954</v>
      </c>
      <c r="J276" t="s">
        <v>15</v>
      </c>
    </row>
    <row r="277" spans="1:10" x14ac:dyDescent="0.3">
      <c r="A277" t="s">
        <v>348</v>
      </c>
      <c r="B277">
        <v>42074</v>
      </c>
      <c r="C277" t="s">
        <v>20</v>
      </c>
      <c r="D277" t="s">
        <v>45</v>
      </c>
      <c r="E277" t="s">
        <v>13</v>
      </c>
      <c r="F277" t="s">
        <v>113</v>
      </c>
      <c r="G277">
        <v>2.5</v>
      </c>
      <c r="H277">
        <v>12</v>
      </c>
      <c r="I277">
        <v>30</v>
      </c>
      <c r="J277" t="s">
        <v>26</v>
      </c>
    </row>
    <row r="278" spans="1:10" x14ac:dyDescent="0.3">
      <c r="A278" t="s">
        <v>349</v>
      </c>
      <c r="B278">
        <v>42074</v>
      </c>
      <c r="C278" t="s">
        <v>20</v>
      </c>
      <c r="D278" t="s">
        <v>45</v>
      </c>
      <c r="E278" t="s">
        <v>13</v>
      </c>
      <c r="F278" t="s">
        <v>124</v>
      </c>
      <c r="G278">
        <v>21.5</v>
      </c>
      <c r="H278">
        <v>12</v>
      </c>
      <c r="I278">
        <v>258</v>
      </c>
      <c r="J278" t="s">
        <v>26</v>
      </c>
    </row>
    <row r="279" spans="1:10" x14ac:dyDescent="0.3">
      <c r="A279" t="s">
        <v>350</v>
      </c>
      <c r="B279">
        <v>42081</v>
      </c>
      <c r="C279" t="s">
        <v>31</v>
      </c>
      <c r="D279" t="s">
        <v>12</v>
      </c>
      <c r="E279" t="s">
        <v>13</v>
      </c>
      <c r="F279" t="s">
        <v>41</v>
      </c>
      <c r="G279">
        <v>34</v>
      </c>
      <c r="H279">
        <v>40</v>
      </c>
      <c r="I279">
        <v>1360</v>
      </c>
      <c r="J279" t="s">
        <v>26</v>
      </c>
    </row>
    <row r="280" spans="1:10" x14ac:dyDescent="0.3">
      <c r="A280" t="s">
        <v>351</v>
      </c>
      <c r="B280">
        <v>42081</v>
      </c>
      <c r="C280" t="s">
        <v>28</v>
      </c>
      <c r="D280" t="s">
        <v>12</v>
      </c>
      <c r="E280" t="s">
        <v>34</v>
      </c>
      <c r="F280" t="s">
        <v>75</v>
      </c>
      <c r="G280">
        <v>20</v>
      </c>
      <c r="H280">
        <v>24</v>
      </c>
      <c r="I280">
        <v>480</v>
      </c>
      <c r="J280" t="s">
        <v>26</v>
      </c>
    </row>
    <row r="281" spans="1:10" x14ac:dyDescent="0.3">
      <c r="A281" t="s">
        <v>352</v>
      </c>
      <c r="B281">
        <v>42085</v>
      </c>
      <c r="C281" t="s">
        <v>11</v>
      </c>
      <c r="D281" t="s">
        <v>45</v>
      </c>
      <c r="E281" t="s">
        <v>51</v>
      </c>
      <c r="F281" t="s">
        <v>81</v>
      </c>
      <c r="G281">
        <v>53</v>
      </c>
      <c r="H281">
        <v>3</v>
      </c>
      <c r="I281">
        <v>159</v>
      </c>
      <c r="J281" t="s">
        <v>26</v>
      </c>
    </row>
    <row r="282" spans="1:10" x14ac:dyDescent="0.3">
      <c r="A282" t="s">
        <v>353</v>
      </c>
      <c r="B282">
        <v>42085</v>
      </c>
      <c r="C282" t="s">
        <v>31</v>
      </c>
      <c r="D282" t="s">
        <v>45</v>
      </c>
      <c r="E282" t="s">
        <v>17</v>
      </c>
      <c r="F282" t="s">
        <v>54</v>
      </c>
      <c r="G282">
        <v>18.399999999999999</v>
      </c>
      <c r="H282">
        <v>10</v>
      </c>
      <c r="I282">
        <v>184</v>
      </c>
      <c r="J282" t="s">
        <v>26</v>
      </c>
    </row>
    <row r="283" spans="1:10" x14ac:dyDescent="0.3">
      <c r="A283" t="s">
        <v>354</v>
      </c>
      <c r="B283">
        <v>42085</v>
      </c>
      <c r="C283" t="s">
        <v>31</v>
      </c>
      <c r="D283" t="s">
        <v>45</v>
      </c>
      <c r="E283" t="s">
        <v>34</v>
      </c>
      <c r="F283" t="s">
        <v>241</v>
      </c>
      <c r="G283">
        <v>10</v>
      </c>
      <c r="H283">
        <v>14</v>
      </c>
      <c r="I283">
        <v>140</v>
      </c>
      <c r="J283" t="s">
        <v>26</v>
      </c>
    </row>
    <row r="284" spans="1:10" x14ac:dyDescent="0.3">
      <c r="A284" t="s">
        <v>355</v>
      </c>
      <c r="B284">
        <v>42087</v>
      </c>
      <c r="C284" t="s">
        <v>31</v>
      </c>
      <c r="D284" t="s">
        <v>12</v>
      </c>
      <c r="E284" t="s">
        <v>51</v>
      </c>
      <c r="F284" t="s">
        <v>268</v>
      </c>
      <c r="G284">
        <v>7.45</v>
      </c>
      <c r="H284">
        <v>24</v>
      </c>
      <c r="I284">
        <v>178.8</v>
      </c>
      <c r="J284" t="s">
        <v>26</v>
      </c>
    </row>
    <row r="285" spans="1:10" x14ac:dyDescent="0.3">
      <c r="A285" t="s">
        <v>356</v>
      </c>
      <c r="B285">
        <v>42087</v>
      </c>
      <c r="C285" t="s">
        <v>20</v>
      </c>
      <c r="D285" t="s">
        <v>12</v>
      </c>
      <c r="E285" t="s">
        <v>34</v>
      </c>
      <c r="F285" t="s">
        <v>188</v>
      </c>
      <c r="G285">
        <v>9.1999999999999993</v>
      </c>
      <c r="H285">
        <v>5</v>
      </c>
      <c r="I285">
        <v>46</v>
      </c>
      <c r="J285" t="s">
        <v>26</v>
      </c>
    </row>
    <row r="286" spans="1:10" x14ac:dyDescent="0.3">
      <c r="A286" t="s">
        <v>357</v>
      </c>
      <c r="B286">
        <v>42094</v>
      </c>
      <c r="C286" t="s">
        <v>20</v>
      </c>
      <c r="D286" t="s">
        <v>12</v>
      </c>
      <c r="E286" t="s">
        <v>17</v>
      </c>
      <c r="F286" t="s">
        <v>54</v>
      </c>
      <c r="G286">
        <v>38</v>
      </c>
      <c r="H286">
        <v>30</v>
      </c>
      <c r="I286">
        <v>1140</v>
      </c>
      <c r="J286" t="s">
        <v>26</v>
      </c>
    </row>
    <row r="287" spans="1:10" x14ac:dyDescent="0.3">
      <c r="A287" t="s">
        <v>358</v>
      </c>
      <c r="B287">
        <v>42096</v>
      </c>
      <c r="C287" t="s">
        <v>31</v>
      </c>
      <c r="D287" t="s">
        <v>12</v>
      </c>
      <c r="E287" t="s">
        <v>13</v>
      </c>
      <c r="F287" t="s">
        <v>99</v>
      </c>
      <c r="G287">
        <v>12.5</v>
      </c>
      <c r="H287">
        <v>20</v>
      </c>
      <c r="I287">
        <v>250</v>
      </c>
      <c r="J287" t="s">
        <v>26</v>
      </c>
    </row>
    <row r="288" spans="1:10" x14ac:dyDescent="0.3">
      <c r="A288" t="s">
        <v>359</v>
      </c>
      <c r="B288">
        <v>42113</v>
      </c>
      <c r="C288" t="s">
        <v>28</v>
      </c>
      <c r="D288" t="s">
        <v>12</v>
      </c>
      <c r="E288" t="s">
        <v>17</v>
      </c>
      <c r="F288" t="s">
        <v>128</v>
      </c>
      <c r="G288">
        <v>4.5</v>
      </c>
      <c r="H288">
        <v>10</v>
      </c>
      <c r="I288">
        <v>45</v>
      </c>
      <c r="J288" t="s">
        <v>26</v>
      </c>
    </row>
    <row r="289" spans="1:10" x14ac:dyDescent="0.3">
      <c r="A289" t="s">
        <v>360</v>
      </c>
      <c r="B289">
        <v>42113</v>
      </c>
      <c r="C289" t="s">
        <v>28</v>
      </c>
      <c r="D289" t="s">
        <v>12</v>
      </c>
      <c r="E289" t="s">
        <v>13</v>
      </c>
      <c r="F289" t="s">
        <v>41</v>
      </c>
      <c r="G289">
        <v>34</v>
      </c>
      <c r="H289">
        <v>12</v>
      </c>
      <c r="I289">
        <v>408</v>
      </c>
      <c r="J289" t="s">
        <v>26</v>
      </c>
    </row>
    <row r="290" spans="1:10" x14ac:dyDescent="0.3">
      <c r="A290" t="s">
        <v>361</v>
      </c>
      <c r="B290">
        <v>42113</v>
      </c>
      <c r="C290" t="s">
        <v>11</v>
      </c>
      <c r="D290" t="s">
        <v>12</v>
      </c>
      <c r="E290" t="s">
        <v>51</v>
      </c>
      <c r="F290" t="s">
        <v>81</v>
      </c>
      <c r="G290">
        <v>12</v>
      </c>
      <c r="H290">
        <v>9</v>
      </c>
      <c r="I290">
        <v>108</v>
      </c>
      <c r="J290" t="s">
        <v>26</v>
      </c>
    </row>
    <row r="291" spans="1:10" x14ac:dyDescent="0.3">
      <c r="A291" t="s">
        <v>362</v>
      </c>
      <c r="B291">
        <v>42113</v>
      </c>
      <c r="C291" t="s">
        <v>11</v>
      </c>
      <c r="D291" t="s">
        <v>12</v>
      </c>
      <c r="E291" t="s">
        <v>34</v>
      </c>
      <c r="F291" t="s">
        <v>136</v>
      </c>
      <c r="G291">
        <v>9.5</v>
      </c>
      <c r="H291">
        <v>6</v>
      </c>
      <c r="I291">
        <v>57</v>
      </c>
      <c r="J291" t="s">
        <v>26</v>
      </c>
    </row>
    <row r="292" spans="1:10" x14ac:dyDescent="0.3">
      <c r="A292" t="s">
        <v>363</v>
      </c>
      <c r="B292">
        <v>42116</v>
      </c>
      <c r="C292" t="s">
        <v>28</v>
      </c>
      <c r="D292" t="s">
        <v>45</v>
      </c>
      <c r="E292" t="s">
        <v>17</v>
      </c>
      <c r="F292" t="s">
        <v>54</v>
      </c>
      <c r="G292">
        <v>15</v>
      </c>
      <c r="H292">
        <v>6</v>
      </c>
      <c r="I292">
        <v>90</v>
      </c>
      <c r="J292" t="s">
        <v>26</v>
      </c>
    </row>
    <row r="293" spans="1:10" x14ac:dyDescent="0.3">
      <c r="A293" t="s">
        <v>364</v>
      </c>
      <c r="B293">
        <v>42116</v>
      </c>
      <c r="C293" t="s">
        <v>28</v>
      </c>
      <c r="D293" t="s">
        <v>45</v>
      </c>
      <c r="E293" t="s">
        <v>13</v>
      </c>
      <c r="F293" t="s">
        <v>14</v>
      </c>
      <c r="G293">
        <v>7</v>
      </c>
      <c r="H293">
        <v>6</v>
      </c>
      <c r="I293">
        <v>42</v>
      </c>
      <c r="J293" t="s">
        <v>26</v>
      </c>
    </row>
    <row r="294" spans="1:10" x14ac:dyDescent="0.3">
      <c r="A294" t="s">
        <v>365</v>
      </c>
      <c r="B294">
        <v>42116</v>
      </c>
      <c r="C294" t="s">
        <v>11</v>
      </c>
      <c r="D294" t="s">
        <v>45</v>
      </c>
      <c r="E294" t="s">
        <v>13</v>
      </c>
      <c r="F294" t="s">
        <v>66</v>
      </c>
      <c r="G294">
        <v>55</v>
      </c>
      <c r="H294">
        <v>4</v>
      </c>
      <c r="I294">
        <v>220</v>
      </c>
      <c r="J294" t="s">
        <v>26</v>
      </c>
    </row>
    <row r="295" spans="1:10" x14ac:dyDescent="0.3">
      <c r="A295" t="s">
        <v>366</v>
      </c>
      <c r="B295">
        <v>42121</v>
      </c>
      <c r="C295" t="s">
        <v>31</v>
      </c>
      <c r="D295" t="s">
        <v>24</v>
      </c>
      <c r="E295" t="s">
        <v>34</v>
      </c>
      <c r="F295" t="s">
        <v>64</v>
      </c>
      <c r="G295">
        <v>9.65</v>
      </c>
      <c r="H295">
        <v>10</v>
      </c>
      <c r="I295">
        <v>96.5</v>
      </c>
      <c r="J295" t="s">
        <v>26</v>
      </c>
    </row>
    <row r="296" spans="1:10" x14ac:dyDescent="0.3">
      <c r="A296" t="s">
        <v>367</v>
      </c>
      <c r="B296">
        <v>42121</v>
      </c>
      <c r="C296" t="s">
        <v>20</v>
      </c>
      <c r="D296" t="s">
        <v>24</v>
      </c>
      <c r="E296" t="s">
        <v>17</v>
      </c>
      <c r="F296" t="s">
        <v>72</v>
      </c>
      <c r="G296">
        <v>18</v>
      </c>
      <c r="H296">
        <v>3</v>
      </c>
      <c r="I296">
        <v>54</v>
      </c>
      <c r="J296" t="s">
        <v>26</v>
      </c>
    </row>
    <row r="297" spans="1:10" x14ac:dyDescent="0.3">
      <c r="A297" t="s">
        <v>368</v>
      </c>
      <c r="B297">
        <v>42121</v>
      </c>
      <c r="C297" t="s">
        <v>11</v>
      </c>
      <c r="D297" t="s">
        <v>24</v>
      </c>
      <c r="E297" t="s">
        <v>34</v>
      </c>
      <c r="F297" t="s">
        <v>43</v>
      </c>
      <c r="G297">
        <v>12.5</v>
      </c>
      <c r="H297">
        <v>60</v>
      </c>
      <c r="I297">
        <v>750</v>
      </c>
      <c r="J297" t="s">
        <v>26</v>
      </c>
    </row>
    <row r="298" spans="1:10" x14ac:dyDescent="0.3">
      <c r="A298" t="s">
        <v>369</v>
      </c>
      <c r="B298">
        <v>42123</v>
      </c>
      <c r="C298" t="s">
        <v>28</v>
      </c>
      <c r="D298" t="s">
        <v>45</v>
      </c>
      <c r="E298" t="s">
        <v>51</v>
      </c>
      <c r="F298" t="s">
        <v>118</v>
      </c>
      <c r="G298">
        <v>39</v>
      </c>
      <c r="H298">
        <v>25</v>
      </c>
      <c r="I298">
        <v>975</v>
      </c>
      <c r="J298" t="s">
        <v>26</v>
      </c>
    </row>
    <row r="299" spans="1:10" x14ac:dyDescent="0.3">
      <c r="A299" t="s">
        <v>370</v>
      </c>
      <c r="B299">
        <v>42123</v>
      </c>
      <c r="C299" t="s">
        <v>20</v>
      </c>
      <c r="D299" t="s">
        <v>45</v>
      </c>
      <c r="E299" t="s">
        <v>17</v>
      </c>
      <c r="F299" t="s">
        <v>54</v>
      </c>
      <c r="G299">
        <v>26</v>
      </c>
      <c r="H299">
        <v>18</v>
      </c>
      <c r="I299">
        <v>468</v>
      </c>
      <c r="J299" t="s">
        <v>26</v>
      </c>
    </row>
    <row r="300" spans="1:10" x14ac:dyDescent="0.3">
      <c r="A300" t="s">
        <v>371</v>
      </c>
      <c r="B300">
        <v>42123</v>
      </c>
      <c r="C300" t="s">
        <v>28</v>
      </c>
      <c r="D300" t="s">
        <v>45</v>
      </c>
      <c r="E300" t="s">
        <v>13</v>
      </c>
      <c r="F300" t="s">
        <v>14</v>
      </c>
      <c r="G300">
        <v>9.65</v>
      </c>
      <c r="H300">
        <v>6</v>
      </c>
      <c r="I300">
        <v>57.900000000000006</v>
      </c>
      <c r="J300" t="s">
        <v>26</v>
      </c>
    </row>
    <row r="301" spans="1:10" x14ac:dyDescent="0.3">
      <c r="A301" t="s">
        <v>372</v>
      </c>
      <c r="B301">
        <v>42123</v>
      </c>
      <c r="C301" t="s">
        <v>20</v>
      </c>
      <c r="D301" t="s">
        <v>45</v>
      </c>
      <c r="E301" t="s">
        <v>34</v>
      </c>
      <c r="F301" t="s">
        <v>35</v>
      </c>
      <c r="G301">
        <v>81</v>
      </c>
      <c r="H301">
        <v>15</v>
      </c>
      <c r="I301">
        <v>1215</v>
      </c>
      <c r="J301" t="s">
        <v>26</v>
      </c>
    </row>
    <row r="302" spans="1:10" x14ac:dyDescent="0.3">
      <c r="A302" t="s">
        <v>373</v>
      </c>
      <c r="B302">
        <v>42130</v>
      </c>
      <c r="C302" t="s">
        <v>31</v>
      </c>
      <c r="D302" t="s">
        <v>24</v>
      </c>
      <c r="E302" t="s">
        <v>13</v>
      </c>
      <c r="F302" t="s">
        <v>66</v>
      </c>
      <c r="G302">
        <v>55</v>
      </c>
      <c r="H302">
        <v>50</v>
      </c>
      <c r="I302">
        <v>2750</v>
      </c>
      <c r="J302" t="s">
        <v>15</v>
      </c>
    </row>
    <row r="303" spans="1:10" x14ac:dyDescent="0.3">
      <c r="A303" t="s">
        <v>374</v>
      </c>
      <c r="B303">
        <v>42131</v>
      </c>
      <c r="C303" t="s">
        <v>28</v>
      </c>
      <c r="D303" t="s">
        <v>45</v>
      </c>
      <c r="E303" t="s">
        <v>21</v>
      </c>
      <c r="F303" t="s">
        <v>375</v>
      </c>
      <c r="G303">
        <v>17</v>
      </c>
      <c r="H303">
        <v>24</v>
      </c>
      <c r="I303">
        <v>408</v>
      </c>
      <c r="J303" t="s">
        <v>26</v>
      </c>
    </row>
    <row r="304" spans="1:10" x14ac:dyDescent="0.3">
      <c r="A304" t="s">
        <v>376</v>
      </c>
      <c r="B304">
        <v>42131</v>
      </c>
      <c r="C304" t="s">
        <v>20</v>
      </c>
      <c r="D304" t="s">
        <v>45</v>
      </c>
      <c r="E304" t="s">
        <v>34</v>
      </c>
      <c r="F304" t="s">
        <v>64</v>
      </c>
      <c r="G304">
        <v>25.89</v>
      </c>
      <c r="H304">
        <v>15</v>
      </c>
      <c r="I304">
        <v>388.35</v>
      </c>
      <c r="J304" t="s">
        <v>26</v>
      </c>
    </row>
    <row r="305" spans="1:10" x14ac:dyDescent="0.3">
      <c r="A305" t="s">
        <v>377</v>
      </c>
      <c r="B305">
        <v>42137</v>
      </c>
      <c r="C305" t="s">
        <v>28</v>
      </c>
      <c r="D305" t="s">
        <v>45</v>
      </c>
      <c r="E305" t="s">
        <v>17</v>
      </c>
      <c r="F305" t="s">
        <v>54</v>
      </c>
      <c r="G305">
        <v>15</v>
      </c>
      <c r="H305">
        <v>7</v>
      </c>
      <c r="I305">
        <v>105</v>
      </c>
      <c r="J305" t="s">
        <v>26</v>
      </c>
    </row>
    <row r="306" spans="1:10" x14ac:dyDescent="0.3">
      <c r="A306" t="s">
        <v>378</v>
      </c>
      <c r="B306">
        <v>42137</v>
      </c>
      <c r="C306" t="s">
        <v>11</v>
      </c>
      <c r="D306" t="s">
        <v>45</v>
      </c>
      <c r="E306" t="s">
        <v>13</v>
      </c>
      <c r="F306" t="s">
        <v>56</v>
      </c>
      <c r="G306">
        <v>34.799999999999997</v>
      </c>
      <c r="H306">
        <v>1</v>
      </c>
      <c r="I306">
        <v>34.799999999999997</v>
      </c>
      <c r="J306" t="s">
        <v>26</v>
      </c>
    </row>
    <row r="307" spans="1:10" x14ac:dyDescent="0.3">
      <c r="A307" t="s">
        <v>379</v>
      </c>
      <c r="B307">
        <v>42138</v>
      </c>
      <c r="C307" t="s">
        <v>20</v>
      </c>
      <c r="D307" t="s">
        <v>45</v>
      </c>
      <c r="E307" t="s">
        <v>13</v>
      </c>
      <c r="F307" t="s">
        <v>113</v>
      </c>
      <c r="G307">
        <v>2.5</v>
      </c>
      <c r="H307">
        <v>15</v>
      </c>
      <c r="I307">
        <v>37.5</v>
      </c>
      <c r="J307" t="s">
        <v>26</v>
      </c>
    </row>
    <row r="308" spans="1:10" x14ac:dyDescent="0.3">
      <c r="A308" t="s">
        <v>380</v>
      </c>
      <c r="B308">
        <v>42138</v>
      </c>
      <c r="C308" t="s">
        <v>28</v>
      </c>
      <c r="D308" t="s">
        <v>45</v>
      </c>
      <c r="E308" t="s">
        <v>34</v>
      </c>
      <c r="F308" t="s">
        <v>64</v>
      </c>
      <c r="G308">
        <v>6</v>
      </c>
      <c r="H308">
        <v>8</v>
      </c>
      <c r="I308">
        <v>48</v>
      </c>
      <c r="J308" t="s">
        <v>26</v>
      </c>
    </row>
    <row r="309" spans="1:10" x14ac:dyDescent="0.3">
      <c r="A309" t="s">
        <v>381</v>
      </c>
      <c r="B309">
        <v>42138</v>
      </c>
      <c r="C309" t="s">
        <v>20</v>
      </c>
      <c r="D309" t="s">
        <v>45</v>
      </c>
      <c r="E309" t="s">
        <v>34</v>
      </c>
      <c r="F309" t="s">
        <v>241</v>
      </c>
      <c r="G309">
        <v>10</v>
      </c>
      <c r="H309">
        <v>15</v>
      </c>
      <c r="I309">
        <v>150</v>
      </c>
      <c r="J309" t="s">
        <v>26</v>
      </c>
    </row>
    <row r="310" spans="1:10" x14ac:dyDescent="0.3">
      <c r="A310" t="s">
        <v>382</v>
      </c>
      <c r="B310">
        <v>42138</v>
      </c>
      <c r="C310" t="s">
        <v>28</v>
      </c>
      <c r="D310" t="s">
        <v>45</v>
      </c>
      <c r="E310" t="s">
        <v>34</v>
      </c>
      <c r="F310" t="s">
        <v>75</v>
      </c>
      <c r="G310">
        <v>20</v>
      </c>
      <c r="H310">
        <v>6</v>
      </c>
      <c r="I310">
        <v>120</v>
      </c>
      <c r="J310" t="s">
        <v>26</v>
      </c>
    </row>
    <row r="311" spans="1:10" x14ac:dyDescent="0.3">
      <c r="A311" t="s">
        <v>383</v>
      </c>
      <c r="B311">
        <v>42141</v>
      </c>
      <c r="C311" t="s">
        <v>20</v>
      </c>
      <c r="D311" t="s">
        <v>24</v>
      </c>
      <c r="E311" t="s">
        <v>17</v>
      </c>
      <c r="F311" t="s">
        <v>32</v>
      </c>
      <c r="G311">
        <v>263.5</v>
      </c>
      <c r="H311">
        <v>4</v>
      </c>
      <c r="I311">
        <v>1054</v>
      </c>
      <c r="J311" t="s">
        <v>15</v>
      </c>
    </row>
    <row r="312" spans="1:10" x14ac:dyDescent="0.3">
      <c r="A312" t="s">
        <v>127</v>
      </c>
      <c r="B312">
        <v>42141</v>
      </c>
      <c r="C312" t="s">
        <v>20</v>
      </c>
      <c r="D312" t="s">
        <v>12</v>
      </c>
      <c r="E312" t="s">
        <v>17</v>
      </c>
      <c r="F312" t="s">
        <v>128</v>
      </c>
      <c r="G312">
        <v>4.5</v>
      </c>
      <c r="H312">
        <v>35</v>
      </c>
      <c r="I312">
        <v>157.5</v>
      </c>
      <c r="J312" t="s">
        <v>15</v>
      </c>
    </row>
    <row r="313" spans="1:10" x14ac:dyDescent="0.3">
      <c r="A313" t="s">
        <v>384</v>
      </c>
      <c r="B313">
        <v>42141</v>
      </c>
      <c r="C313" t="s">
        <v>31</v>
      </c>
      <c r="D313" t="s">
        <v>12</v>
      </c>
      <c r="E313" t="s">
        <v>21</v>
      </c>
      <c r="F313" t="s">
        <v>87</v>
      </c>
      <c r="G313">
        <v>21.05</v>
      </c>
      <c r="H313">
        <v>36</v>
      </c>
      <c r="I313">
        <v>757.80000000000007</v>
      </c>
      <c r="J313" t="s">
        <v>15</v>
      </c>
    </row>
    <row r="314" spans="1:10" x14ac:dyDescent="0.3">
      <c r="A314" t="s">
        <v>385</v>
      </c>
      <c r="B314">
        <v>42145</v>
      </c>
      <c r="C314" t="s">
        <v>28</v>
      </c>
      <c r="D314" t="s">
        <v>45</v>
      </c>
      <c r="E314" t="s">
        <v>13</v>
      </c>
      <c r="F314" t="s">
        <v>121</v>
      </c>
      <c r="G314">
        <v>32</v>
      </c>
      <c r="H314">
        <v>24</v>
      </c>
      <c r="I314">
        <v>768</v>
      </c>
      <c r="J314" t="s">
        <v>26</v>
      </c>
    </row>
    <row r="315" spans="1:10" x14ac:dyDescent="0.3">
      <c r="A315" t="s">
        <v>386</v>
      </c>
      <c r="B315">
        <v>42145</v>
      </c>
      <c r="C315" t="s">
        <v>11</v>
      </c>
      <c r="D315" t="s">
        <v>45</v>
      </c>
      <c r="E315" t="s">
        <v>21</v>
      </c>
      <c r="F315" t="s">
        <v>22</v>
      </c>
      <c r="G315">
        <v>19</v>
      </c>
      <c r="H315">
        <v>60</v>
      </c>
      <c r="I315">
        <v>1140</v>
      </c>
      <c r="J315" t="s">
        <v>26</v>
      </c>
    </row>
    <row r="316" spans="1:10" x14ac:dyDescent="0.3">
      <c r="A316" t="s">
        <v>387</v>
      </c>
      <c r="B316">
        <v>42150</v>
      </c>
      <c r="C316" t="s">
        <v>31</v>
      </c>
      <c r="D316" t="s">
        <v>85</v>
      </c>
      <c r="E316" t="s">
        <v>51</v>
      </c>
      <c r="F316" t="s">
        <v>118</v>
      </c>
      <c r="G316">
        <v>39</v>
      </c>
      <c r="H316">
        <v>8</v>
      </c>
      <c r="I316">
        <v>312</v>
      </c>
      <c r="J316" t="s">
        <v>26</v>
      </c>
    </row>
    <row r="317" spans="1:10" x14ac:dyDescent="0.3">
      <c r="A317" t="s">
        <v>388</v>
      </c>
      <c r="B317">
        <v>42150</v>
      </c>
      <c r="C317" t="s">
        <v>20</v>
      </c>
      <c r="D317" t="s">
        <v>85</v>
      </c>
      <c r="E317" t="s">
        <v>21</v>
      </c>
      <c r="F317" t="s">
        <v>22</v>
      </c>
      <c r="G317">
        <v>28.5</v>
      </c>
      <c r="H317">
        <v>10</v>
      </c>
      <c r="I317">
        <v>285</v>
      </c>
      <c r="J317" t="s">
        <v>26</v>
      </c>
    </row>
    <row r="318" spans="1:10" x14ac:dyDescent="0.3">
      <c r="A318" t="s">
        <v>389</v>
      </c>
      <c r="B318">
        <v>42150</v>
      </c>
      <c r="C318" t="s">
        <v>20</v>
      </c>
      <c r="D318" t="s">
        <v>85</v>
      </c>
      <c r="E318" t="s">
        <v>34</v>
      </c>
      <c r="F318" t="s">
        <v>188</v>
      </c>
      <c r="G318">
        <v>9.1999999999999993</v>
      </c>
      <c r="H318">
        <v>10</v>
      </c>
      <c r="I318">
        <v>92</v>
      </c>
      <c r="J318" t="s">
        <v>26</v>
      </c>
    </row>
    <row r="319" spans="1:10" x14ac:dyDescent="0.3">
      <c r="A319" t="s">
        <v>390</v>
      </c>
      <c r="B319">
        <v>42150</v>
      </c>
      <c r="C319" t="s">
        <v>31</v>
      </c>
      <c r="D319" t="s">
        <v>85</v>
      </c>
      <c r="E319" t="s">
        <v>34</v>
      </c>
      <c r="F319" t="s">
        <v>241</v>
      </c>
      <c r="G319">
        <v>10</v>
      </c>
      <c r="H319">
        <v>6</v>
      </c>
      <c r="I319">
        <v>60</v>
      </c>
      <c r="J319" t="s">
        <v>26</v>
      </c>
    </row>
    <row r="320" spans="1:10" x14ac:dyDescent="0.3">
      <c r="A320" t="s">
        <v>391</v>
      </c>
      <c r="B320">
        <v>42157</v>
      </c>
      <c r="C320" t="s">
        <v>20</v>
      </c>
      <c r="D320" t="s">
        <v>45</v>
      </c>
      <c r="E320" t="s">
        <v>51</v>
      </c>
      <c r="F320" t="s">
        <v>138</v>
      </c>
      <c r="G320">
        <v>32.799999999999997</v>
      </c>
      <c r="H320">
        <v>18</v>
      </c>
      <c r="I320">
        <v>590.4</v>
      </c>
      <c r="J320" t="s">
        <v>26</v>
      </c>
    </row>
    <row r="321" spans="1:10" x14ac:dyDescent="0.3">
      <c r="A321" t="s">
        <v>392</v>
      </c>
      <c r="B321">
        <v>42157</v>
      </c>
      <c r="C321" t="s">
        <v>20</v>
      </c>
      <c r="D321" t="s">
        <v>45</v>
      </c>
      <c r="E321" t="s">
        <v>34</v>
      </c>
      <c r="F321" t="s">
        <v>64</v>
      </c>
      <c r="G321">
        <v>53</v>
      </c>
      <c r="H321">
        <v>20</v>
      </c>
      <c r="I321">
        <v>1060</v>
      </c>
      <c r="J321" t="s">
        <v>26</v>
      </c>
    </row>
    <row r="322" spans="1:10" x14ac:dyDescent="0.3">
      <c r="A322" t="s">
        <v>393</v>
      </c>
      <c r="B322">
        <v>42157</v>
      </c>
      <c r="C322" t="s">
        <v>11</v>
      </c>
      <c r="D322" t="s">
        <v>45</v>
      </c>
      <c r="E322" t="s">
        <v>13</v>
      </c>
      <c r="F322" t="s">
        <v>14</v>
      </c>
      <c r="G322">
        <v>7</v>
      </c>
      <c r="H322">
        <v>30</v>
      </c>
      <c r="I322">
        <v>210</v>
      </c>
      <c r="J322" t="s">
        <v>26</v>
      </c>
    </row>
    <row r="323" spans="1:10" x14ac:dyDescent="0.3">
      <c r="A323" t="s">
        <v>394</v>
      </c>
      <c r="B323">
        <v>42157</v>
      </c>
      <c r="C323" t="s">
        <v>28</v>
      </c>
      <c r="D323" t="s">
        <v>45</v>
      </c>
      <c r="E323" t="s">
        <v>17</v>
      </c>
      <c r="F323" t="s">
        <v>54</v>
      </c>
      <c r="G323">
        <v>15</v>
      </c>
      <c r="H323">
        <v>3</v>
      </c>
      <c r="I323">
        <v>45</v>
      </c>
      <c r="J323" t="s">
        <v>26</v>
      </c>
    </row>
    <row r="324" spans="1:10" x14ac:dyDescent="0.3">
      <c r="A324" t="s">
        <v>395</v>
      </c>
      <c r="B324">
        <v>42157</v>
      </c>
      <c r="C324" t="s">
        <v>11</v>
      </c>
      <c r="D324" t="s">
        <v>45</v>
      </c>
      <c r="E324" t="s">
        <v>34</v>
      </c>
      <c r="F324" t="s">
        <v>136</v>
      </c>
      <c r="G324">
        <v>9.5</v>
      </c>
      <c r="H324">
        <v>25</v>
      </c>
      <c r="I324">
        <v>237.5</v>
      </c>
      <c r="J324" t="s">
        <v>26</v>
      </c>
    </row>
    <row r="325" spans="1:10" x14ac:dyDescent="0.3">
      <c r="A325" t="s">
        <v>396</v>
      </c>
      <c r="B325">
        <v>42163</v>
      </c>
      <c r="C325" t="s">
        <v>28</v>
      </c>
      <c r="D325" t="s">
        <v>12</v>
      </c>
      <c r="E325" t="s">
        <v>51</v>
      </c>
      <c r="F325" t="s">
        <v>81</v>
      </c>
      <c r="G325">
        <v>7</v>
      </c>
      <c r="H325">
        <v>70</v>
      </c>
      <c r="I325">
        <v>490</v>
      </c>
      <c r="J325" t="s">
        <v>26</v>
      </c>
    </row>
    <row r="326" spans="1:10" x14ac:dyDescent="0.3">
      <c r="A326" t="s">
        <v>397</v>
      </c>
      <c r="B326">
        <v>42163</v>
      </c>
      <c r="C326" t="s">
        <v>11</v>
      </c>
      <c r="D326" t="s">
        <v>12</v>
      </c>
      <c r="E326" t="s">
        <v>51</v>
      </c>
      <c r="F326" t="s">
        <v>81</v>
      </c>
      <c r="G326">
        <v>19</v>
      </c>
      <c r="H326">
        <v>25</v>
      </c>
      <c r="I326">
        <v>475</v>
      </c>
      <c r="J326" t="s">
        <v>26</v>
      </c>
    </row>
    <row r="327" spans="1:10" x14ac:dyDescent="0.3">
      <c r="A327" t="s">
        <v>398</v>
      </c>
      <c r="B327">
        <v>42166</v>
      </c>
      <c r="C327" t="s">
        <v>20</v>
      </c>
      <c r="D327" t="s">
        <v>85</v>
      </c>
      <c r="E327" t="s">
        <v>34</v>
      </c>
      <c r="F327" t="s">
        <v>64</v>
      </c>
      <c r="G327">
        <v>31</v>
      </c>
      <c r="H327">
        <v>5</v>
      </c>
      <c r="I327">
        <v>155</v>
      </c>
      <c r="J327" t="s">
        <v>26</v>
      </c>
    </row>
    <row r="328" spans="1:10" x14ac:dyDescent="0.3">
      <c r="A328" t="s">
        <v>399</v>
      </c>
      <c r="B328">
        <v>42177</v>
      </c>
      <c r="C328" t="s">
        <v>11</v>
      </c>
      <c r="D328" t="s">
        <v>45</v>
      </c>
      <c r="E328" t="s">
        <v>17</v>
      </c>
      <c r="F328" t="s">
        <v>72</v>
      </c>
      <c r="G328">
        <v>18</v>
      </c>
      <c r="H328">
        <v>20</v>
      </c>
      <c r="I328">
        <v>360</v>
      </c>
      <c r="J328" t="s">
        <v>26</v>
      </c>
    </row>
    <row r="329" spans="1:10" x14ac:dyDescent="0.3">
      <c r="A329" t="s">
        <v>400</v>
      </c>
      <c r="B329">
        <v>42177</v>
      </c>
      <c r="C329" t="s">
        <v>28</v>
      </c>
      <c r="D329" t="s">
        <v>45</v>
      </c>
      <c r="E329" t="s">
        <v>21</v>
      </c>
      <c r="F329" t="s">
        <v>22</v>
      </c>
      <c r="G329">
        <v>19.5</v>
      </c>
      <c r="H329">
        <v>6</v>
      </c>
      <c r="I329">
        <v>117</v>
      </c>
      <c r="J329" t="s">
        <v>26</v>
      </c>
    </row>
    <row r="330" spans="1:10" x14ac:dyDescent="0.3">
      <c r="A330" t="s">
        <v>401</v>
      </c>
      <c r="B330">
        <v>42179</v>
      </c>
      <c r="C330" t="s">
        <v>11</v>
      </c>
      <c r="D330" t="s">
        <v>12</v>
      </c>
      <c r="E330" t="s">
        <v>17</v>
      </c>
      <c r="F330" t="s">
        <v>25</v>
      </c>
      <c r="G330">
        <v>7.75</v>
      </c>
      <c r="H330">
        <v>50</v>
      </c>
      <c r="I330">
        <v>387.5</v>
      </c>
      <c r="J330" t="s">
        <v>15</v>
      </c>
    </row>
    <row r="331" spans="1:10" x14ac:dyDescent="0.3">
      <c r="A331" t="s">
        <v>402</v>
      </c>
      <c r="B331">
        <v>42184</v>
      </c>
      <c r="C331" t="s">
        <v>20</v>
      </c>
      <c r="D331" t="s">
        <v>12</v>
      </c>
      <c r="E331" t="s">
        <v>34</v>
      </c>
      <c r="F331" t="s">
        <v>136</v>
      </c>
      <c r="G331">
        <v>9.5</v>
      </c>
      <c r="H331">
        <v>15</v>
      </c>
      <c r="I331">
        <v>142.5</v>
      </c>
      <c r="J331" t="s">
        <v>15</v>
      </c>
    </row>
    <row r="332" spans="1:10" x14ac:dyDescent="0.3">
      <c r="A332" t="s">
        <v>403</v>
      </c>
      <c r="B332">
        <v>42185</v>
      </c>
      <c r="C332" t="s">
        <v>31</v>
      </c>
      <c r="D332" t="s">
        <v>12</v>
      </c>
      <c r="E332" t="s">
        <v>17</v>
      </c>
      <c r="F332" t="s">
        <v>72</v>
      </c>
      <c r="G332">
        <v>18</v>
      </c>
      <c r="H332">
        <v>20</v>
      </c>
      <c r="I332">
        <v>360</v>
      </c>
      <c r="J332" t="s">
        <v>15</v>
      </c>
    </row>
    <row r="333" spans="1:10" x14ac:dyDescent="0.3">
      <c r="A333" t="s">
        <v>404</v>
      </c>
      <c r="B333">
        <v>42185</v>
      </c>
      <c r="C333" t="s">
        <v>31</v>
      </c>
      <c r="D333" t="s">
        <v>12</v>
      </c>
      <c r="E333" t="s">
        <v>21</v>
      </c>
      <c r="F333" t="s">
        <v>97</v>
      </c>
      <c r="G333">
        <v>13</v>
      </c>
      <c r="H333">
        <v>20</v>
      </c>
      <c r="I333">
        <v>260</v>
      </c>
      <c r="J333" t="s">
        <v>15</v>
      </c>
    </row>
    <row r="334" spans="1:10" x14ac:dyDescent="0.3">
      <c r="A334" t="s">
        <v>405</v>
      </c>
      <c r="B334">
        <v>42198</v>
      </c>
      <c r="C334" t="s">
        <v>31</v>
      </c>
      <c r="D334" t="s">
        <v>45</v>
      </c>
      <c r="E334" t="s">
        <v>34</v>
      </c>
      <c r="F334" t="s">
        <v>90</v>
      </c>
      <c r="G334">
        <v>49.3</v>
      </c>
      <c r="H334">
        <v>10</v>
      </c>
      <c r="I334">
        <v>493</v>
      </c>
      <c r="J334" t="s">
        <v>26</v>
      </c>
    </row>
    <row r="335" spans="1:10" x14ac:dyDescent="0.3">
      <c r="A335" t="s">
        <v>406</v>
      </c>
      <c r="B335">
        <v>42205</v>
      </c>
      <c r="C335" t="s">
        <v>31</v>
      </c>
      <c r="D335" t="s">
        <v>12</v>
      </c>
      <c r="E335" t="s">
        <v>51</v>
      </c>
      <c r="F335" t="s">
        <v>81</v>
      </c>
      <c r="G335">
        <v>24</v>
      </c>
      <c r="H335">
        <v>20</v>
      </c>
      <c r="I335">
        <v>480</v>
      </c>
      <c r="J335" t="s">
        <v>26</v>
      </c>
    </row>
    <row r="336" spans="1:10" x14ac:dyDescent="0.3">
      <c r="A336" t="s">
        <v>407</v>
      </c>
      <c r="B336">
        <v>42205</v>
      </c>
      <c r="C336" t="s">
        <v>31</v>
      </c>
      <c r="D336" t="s">
        <v>12</v>
      </c>
      <c r="E336" t="s">
        <v>21</v>
      </c>
      <c r="F336" t="s">
        <v>111</v>
      </c>
      <c r="G336">
        <v>22</v>
      </c>
      <c r="H336">
        <v>20</v>
      </c>
      <c r="I336">
        <v>440</v>
      </c>
      <c r="J336" t="s">
        <v>26</v>
      </c>
    </row>
    <row r="337" spans="1:10" x14ac:dyDescent="0.3">
      <c r="A337" t="s">
        <v>408</v>
      </c>
      <c r="B337">
        <v>42205</v>
      </c>
      <c r="C337" t="s">
        <v>11</v>
      </c>
      <c r="D337" t="s">
        <v>12</v>
      </c>
      <c r="E337" t="s">
        <v>34</v>
      </c>
      <c r="F337" t="s">
        <v>90</v>
      </c>
      <c r="G337">
        <v>49.3</v>
      </c>
      <c r="H337">
        <v>10</v>
      </c>
      <c r="I337">
        <v>493</v>
      </c>
      <c r="J337" t="s">
        <v>26</v>
      </c>
    </row>
    <row r="338" spans="1:10" x14ac:dyDescent="0.3">
      <c r="A338" t="s">
        <v>409</v>
      </c>
      <c r="B338">
        <v>42219</v>
      </c>
      <c r="C338" t="s">
        <v>11</v>
      </c>
      <c r="D338" t="s">
        <v>45</v>
      </c>
      <c r="E338" t="s">
        <v>17</v>
      </c>
      <c r="F338" t="s">
        <v>54</v>
      </c>
      <c r="G338">
        <v>15</v>
      </c>
      <c r="H338">
        <v>20</v>
      </c>
      <c r="I338">
        <v>300</v>
      </c>
      <c r="J338" t="s">
        <v>26</v>
      </c>
    </row>
    <row r="339" spans="1:10" x14ac:dyDescent="0.3">
      <c r="A339" t="s">
        <v>410</v>
      </c>
      <c r="B339">
        <v>42219</v>
      </c>
      <c r="C339" t="s">
        <v>31</v>
      </c>
      <c r="D339" t="s">
        <v>45</v>
      </c>
      <c r="E339" t="s">
        <v>13</v>
      </c>
      <c r="F339" t="s">
        <v>14</v>
      </c>
      <c r="G339">
        <v>9</v>
      </c>
      <c r="H339">
        <v>10</v>
      </c>
      <c r="I339">
        <v>90</v>
      </c>
      <c r="J339" t="s">
        <v>26</v>
      </c>
    </row>
    <row r="340" spans="1:10" x14ac:dyDescent="0.3">
      <c r="A340" t="s">
        <v>411</v>
      </c>
      <c r="B340">
        <v>42219</v>
      </c>
      <c r="C340" t="s">
        <v>11</v>
      </c>
      <c r="D340" t="s">
        <v>45</v>
      </c>
      <c r="E340" t="s">
        <v>13</v>
      </c>
      <c r="F340" t="s">
        <v>124</v>
      </c>
      <c r="G340">
        <v>21.5</v>
      </c>
      <c r="H340">
        <v>15</v>
      </c>
      <c r="I340">
        <v>322.5</v>
      </c>
      <c r="J340" t="s">
        <v>26</v>
      </c>
    </row>
    <row r="341" spans="1:10" x14ac:dyDescent="0.3">
      <c r="A341" t="s">
        <v>412</v>
      </c>
      <c r="B341">
        <v>42219</v>
      </c>
      <c r="C341" t="s">
        <v>28</v>
      </c>
      <c r="D341" t="s">
        <v>45</v>
      </c>
      <c r="E341" t="s">
        <v>34</v>
      </c>
      <c r="F341" t="s">
        <v>188</v>
      </c>
      <c r="G341">
        <v>9.1999999999999993</v>
      </c>
      <c r="H341">
        <v>5</v>
      </c>
      <c r="I341">
        <v>46</v>
      </c>
      <c r="J341" t="s">
        <v>26</v>
      </c>
    </row>
    <row r="342" spans="1:10" x14ac:dyDescent="0.3">
      <c r="A342" t="s">
        <v>413</v>
      </c>
      <c r="B342">
        <v>42220</v>
      </c>
      <c r="C342" t="s">
        <v>28</v>
      </c>
      <c r="D342" t="s">
        <v>12</v>
      </c>
      <c r="E342" t="s">
        <v>17</v>
      </c>
      <c r="F342" t="s">
        <v>18</v>
      </c>
      <c r="G342">
        <v>19</v>
      </c>
      <c r="H342">
        <v>20</v>
      </c>
      <c r="I342">
        <v>380</v>
      </c>
      <c r="J342" t="s">
        <v>26</v>
      </c>
    </row>
    <row r="343" spans="1:10" x14ac:dyDescent="0.3">
      <c r="A343" t="s">
        <v>414</v>
      </c>
      <c r="B343">
        <v>42220</v>
      </c>
      <c r="C343" t="s">
        <v>31</v>
      </c>
      <c r="D343" t="s">
        <v>12</v>
      </c>
      <c r="E343" t="s">
        <v>34</v>
      </c>
      <c r="F343" t="s">
        <v>43</v>
      </c>
      <c r="G343">
        <v>12.5</v>
      </c>
      <c r="H343">
        <v>18</v>
      </c>
      <c r="I343">
        <v>225</v>
      </c>
      <c r="J343" t="s">
        <v>26</v>
      </c>
    </row>
    <row r="344" spans="1:10" x14ac:dyDescent="0.3">
      <c r="A344" t="s">
        <v>415</v>
      </c>
      <c r="B344">
        <v>42226</v>
      </c>
      <c r="C344" t="s">
        <v>11</v>
      </c>
      <c r="D344" t="s">
        <v>85</v>
      </c>
      <c r="E344" t="s">
        <v>51</v>
      </c>
      <c r="F344" t="s">
        <v>52</v>
      </c>
      <c r="G344">
        <v>123.79</v>
      </c>
      <c r="H344">
        <v>20</v>
      </c>
      <c r="I344">
        <v>2475.8000000000002</v>
      </c>
      <c r="J344" t="s">
        <v>26</v>
      </c>
    </row>
    <row r="345" spans="1:10" x14ac:dyDescent="0.3">
      <c r="A345" t="s">
        <v>416</v>
      </c>
      <c r="B345">
        <v>42226</v>
      </c>
      <c r="C345" t="s">
        <v>20</v>
      </c>
      <c r="D345" t="s">
        <v>85</v>
      </c>
      <c r="E345" t="s">
        <v>51</v>
      </c>
      <c r="F345" t="s">
        <v>81</v>
      </c>
      <c r="G345">
        <v>33.25</v>
      </c>
      <c r="H345">
        <v>9</v>
      </c>
      <c r="I345">
        <v>299.25</v>
      </c>
      <c r="J345" t="s">
        <v>26</v>
      </c>
    </row>
    <row r="346" spans="1:10" x14ac:dyDescent="0.3">
      <c r="A346" t="s">
        <v>417</v>
      </c>
      <c r="B346">
        <v>42233</v>
      </c>
      <c r="C346" t="s">
        <v>11</v>
      </c>
      <c r="D346" t="s">
        <v>12</v>
      </c>
      <c r="E346" t="s">
        <v>51</v>
      </c>
      <c r="F346" t="s">
        <v>81</v>
      </c>
      <c r="G346">
        <v>38</v>
      </c>
      <c r="H346">
        <v>60</v>
      </c>
      <c r="I346">
        <v>2280</v>
      </c>
      <c r="J346" t="s">
        <v>15</v>
      </c>
    </row>
    <row r="347" spans="1:10" x14ac:dyDescent="0.3">
      <c r="A347" t="s">
        <v>418</v>
      </c>
      <c r="B347">
        <v>42233</v>
      </c>
      <c r="C347" t="s">
        <v>28</v>
      </c>
      <c r="D347" t="s">
        <v>12</v>
      </c>
      <c r="E347" t="s">
        <v>13</v>
      </c>
      <c r="F347" t="s">
        <v>14</v>
      </c>
      <c r="G347">
        <v>21</v>
      </c>
      <c r="H347">
        <v>10</v>
      </c>
      <c r="I347">
        <v>210</v>
      </c>
      <c r="J347" t="s">
        <v>15</v>
      </c>
    </row>
    <row r="348" spans="1:10" x14ac:dyDescent="0.3">
      <c r="A348" t="s">
        <v>419</v>
      </c>
      <c r="B348">
        <v>42233</v>
      </c>
      <c r="C348" t="s">
        <v>31</v>
      </c>
      <c r="D348" t="s">
        <v>12</v>
      </c>
      <c r="E348" t="s">
        <v>34</v>
      </c>
      <c r="F348" t="s">
        <v>64</v>
      </c>
      <c r="G348">
        <v>16.25</v>
      </c>
      <c r="H348">
        <v>25</v>
      </c>
      <c r="I348">
        <v>406.25</v>
      </c>
      <c r="J348" t="s">
        <v>15</v>
      </c>
    </row>
    <row r="349" spans="1:10" x14ac:dyDescent="0.3">
      <c r="A349" t="s">
        <v>420</v>
      </c>
      <c r="B349">
        <v>42239</v>
      </c>
      <c r="C349" t="s">
        <v>11</v>
      </c>
      <c r="D349" t="s">
        <v>12</v>
      </c>
      <c r="E349" t="s">
        <v>17</v>
      </c>
      <c r="F349" t="s">
        <v>29</v>
      </c>
      <c r="G349">
        <v>46</v>
      </c>
      <c r="H349">
        <v>20</v>
      </c>
      <c r="I349">
        <v>920</v>
      </c>
      <c r="J349" t="s">
        <v>26</v>
      </c>
    </row>
    <row r="350" spans="1:10" x14ac:dyDescent="0.3">
      <c r="A350" t="s">
        <v>421</v>
      </c>
      <c r="B350">
        <v>42239</v>
      </c>
      <c r="C350" t="s">
        <v>11</v>
      </c>
      <c r="D350" t="s">
        <v>12</v>
      </c>
      <c r="E350" t="s">
        <v>17</v>
      </c>
      <c r="F350" t="s">
        <v>54</v>
      </c>
      <c r="G350">
        <v>12</v>
      </c>
      <c r="H350">
        <v>21</v>
      </c>
      <c r="I350">
        <v>252</v>
      </c>
      <c r="J350" t="s">
        <v>26</v>
      </c>
    </row>
    <row r="351" spans="1:10" x14ac:dyDescent="0.3">
      <c r="A351" t="s">
        <v>422</v>
      </c>
      <c r="B351">
        <v>42240</v>
      </c>
      <c r="C351" t="s">
        <v>20</v>
      </c>
      <c r="D351" t="s">
        <v>12</v>
      </c>
      <c r="E351" t="s">
        <v>13</v>
      </c>
      <c r="F351" t="s">
        <v>14</v>
      </c>
      <c r="G351">
        <v>19</v>
      </c>
      <c r="H351">
        <v>15</v>
      </c>
      <c r="I351">
        <v>285</v>
      </c>
      <c r="J351" t="s">
        <v>15</v>
      </c>
    </row>
    <row r="352" spans="1:10" x14ac:dyDescent="0.3">
      <c r="A352" t="s">
        <v>423</v>
      </c>
      <c r="B352">
        <v>42240</v>
      </c>
      <c r="C352" t="s">
        <v>31</v>
      </c>
      <c r="D352" t="s">
        <v>85</v>
      </c>
      <c r="E352" t="s">
        <v>17</v>
      </c>
      <c r="F352" t="s">
        <v>54</v>
      </c>
      <c r="G352">
        <v>62.5</v>
      </c>
      <c r="H352">
        <v>20</v>
      </c>
      <c r="I352">
        <v>1250</v>
      </c>
      <c r="J352" t="s">
        <v>15</v>
      </c>
    </row>
    <row r="353" spans="1:10" x14ac:dyDescent="0.3">
      <c r="A353" t="s">
        <v>424</v>
      </c>
      <c r="B353">
        <v>42241</v>
      </c>
      <c r="C353" t="s">
        <v>31</v>
      </c>
      <c r="D353" t="s">
        <v>12</v>
      </c>
      <c r="E353" t="s">
        <v>17</v>
      </c>
      <c r="F353" t="s">
        <v>37</v>
      </c>
      <c r="G353">
        <v>18</v>
      </c>
      <c r="H353">
        <v>20</v>
      </c>
      <c r="I353">
        <v>360</v>
      </c>
      <c r="J353" t="s">
        <v>26</v>
      </c>
    </row>
    <row r="354" spans="1:10" x14ac:dyDescent="0.3">
      <c r="A354" t="s">
        <v>425</v>
      </c>
      <c r="B354">
        <v>42241</v>
      </c>
      <c r="C354" t="s">
        <v>11</v>
      </c>
      <c r="D354" t="s">
        <v>12</v>
      </c>
      <c r="E354" t="s">
        <v>34</v>
      </c>
      <c r="F354" t="s">
        <v>188</v>
      </c>
      <c r="G354">
        <v>9.1999999999999993</v>
      </c>
      <c r="H354">
        <v>30</v>
      </c>
      <c r="I354">
        <v>276</v>
      </c>
      <c r="J354" t="s">
        <v>26</v>
      </c>
    </row>
    <row r="355" spans="1:10" x14ac:dyDescent="0.3">
      <c r="A355" t="s">
        <v>127</v>
      </c>
      <c r="B355">
        <v>42242</v>
      </c>
      <c r="C355" t="s">
        <v>20</v>
      </c>
      <c r="D355" t="s">
        <v>12</v>
      </c>
      <c r="E355" t="s">
        <v>17</v>
      </c>
      <c r="F355" t="s">
        <v>128</v>
      </c>
      <c r="G355">
        <v>4.5</v>
      </c>
      <c r="H355">
        <v>15</v>
      </c>
      <c r="I355">
        <v>67.5</v>
      </c>
      <c r="J355" t="s">
        <v>26</v>
      </c>
    </row>
    <row r="356" spans="1:10" x14ac:dyDescent="0.3">
      <c r="A356" t="s">
        <v>426</v>
      </c>
      <c r="B356">
        <v>42242</v>
      </c>
      <c r="C356" t="s">
        <v>20</v>
      </c>
      <c r="D356" t="s">
        <v>12</v>
      </c>
      <c r="E356" t="s">
        <v>21</v>
      </c>
      <c r="F356" t="s">
        <v>22</v>
      </c>
      <c r="G356">
        <v>21</v>
      </c>
      <c r="H356">
        <v>15</v>
      </c>
      <c r="I356">
        <v>315</v>
      </c>
      <c r="J356" t="s">
        <v>26</v>
      </c>
    </row>
    <row r="357" spans="1:10" x14ac:dyDescent="0.3">
      <c r="A357" t="s">
        <v>427</v>
      </c>
      <c r="B357">
        <v>42243</v>
      </c>
      <c r="C357" t="s">
        <v>20</v>
      </c>
      <c r="D357" t="s">
        <v>12</v>
      </c>
      <c r="E357" t="s">
        <v>51</v>
      </c>
      <c r="F357" t="s">
        <v>268</v>
      </c>
      <c r="G357">
        <v>7.45</v>
      </c>
      <c r="H357">
        <v>30</v>
      </c>
      <c r="I357">
        <v>223.5</v>
      </c>
      <c r="J357" t="s">
        <v>26</v>
      </c>
    </row>
    <row r="358" spans="1:10" x14ac:dyDescent="0.3">
      <c r="A358" t="s">
        <v>428</v>
      </c>
      <c r="B358">
        <v>42243</v>
      </c>
      <c r="C358" t="s">
        <v>31</v>
      </c>
      <c r="D358" t="s">
        <v>12</v>
      </c>
      <c r="E358" t="s">
        <v>51</v>
      </c>
      <c r="F358" t="s">
        <v>138</v>
      </c>
      <c r="G358">
        <v>32.799999999999997</v>
      </c>
      <c r="H358">
        <v>25</v>
      </c>
      <c r="I358">
        <v>819.99999999999989</v>
      </c>
      <c r="J358" t="s">
        <v>26</v>
      </c>
    </row>
    <row r="359" spans="1:10" x14ac:dyDescent="0.3">
      <c r="A359" t="s">
        <v>429</v>
      </c>
      <c r="B359">
        <v>42243</v>
      </c>
      <c r="C359" t="s">
        <v>20</v>
      </c>
      <c r="D359" t="s">
        <v>12</v>
      </c>
      <c r="E359" t="s">
        <v>17</v>
      </c>
      <c r="F359" t="s">
        <v>54</v>
      </c>
      <c r="G359">
        <v>25.89</v>
      </c>
      <c r="H359">
        <v>30</v>
      </c>
      <c r="I359">
        <v>776.7</v>
      </c>
      <c r="J359" t="s">
        <v>26</v>
      </c>
    </row>
    <row r="360" spans="1:10" x14ac:dyDescent="0.3">
      <c r="A360" t="s">
        <v>430</v>
      </c>
      <c r="B360">
        <v>42246</v>
      </c>
      <c r="C360" t="s">
        <v>11</v>
      </c>
      <c r="D360" t="s">
        <v>12</v>
      </c>
      <c r="E360" t="s">
        <v>17</v>
      </c>
      <c r="F360" t="s">
        <v>54</v>
      </c>
      <c r="G360">
        <v>14</v>
      </c>
      <c r="H360">
        <v>20</v>
      </c>
      <c r="I360">
        <v>280</v>
      </c>
      <c r="J360" t="s">
        <v>26</v>
      </c>
    </row>
    <row r="361" spans="1:10" x14ac:dyDescent="0.3">
      <c r="A361" t="s">
        <v>431</v>
      </c>
      <c r="B361">
        <v>42246</v>
      </c>
      <c r="C361" t="s">
        <v>31</v>
      </c>
      <c r="D361" t="s">
        <v>12</v>
      </c>
      <c r="E361" t="s">
        <v>21</v>
      </c>
      <c r="F361" t="s">
        <v>22</v>
      </c>
      <c r="G361">
        <v>25.89</v>
      </c>
      <c r="H361">
        <v>2</v>
      </c>
      <c r="I361">
        <v>51.78</v>
      </c>
      <c r="J361" t="s">
        <v>26</v>
      </c>
    </row>
    <row r="362" spans="1:10" x14ac:dyDescent="0.3">
      <c r="A362" t="s">
        <v>432</v>
      </c>
      <c r="B362">
        <v>42250</v>
      </c>
      <c r="C362" t="s">
        <v>11</v>
      </c>
      <c r="D362" t="s">
        <v>12</v>
      </c>
      <c r="E362" t="s">
        <v>17</v>
      </c>
      <c r="F362" t="s">
        <v>54</v>
      </c>
      <c r="G362">
        <v>15</v>
      </c>
      <c r="H362">
        <v>40</v>
      </c>
      <c r="I362">
        <v>600</v>
      </c>
      <c r="J362" t="s">
        <v>26</v>
      </c>
    </row>
    <row r="363" spans="1:10" x14ac:dyDescent="0.3">
      <c r="A363" t="s">
        <v>358</v>
      </c>
      <c r="B363">
        <v>42250</v>
      </c>
      <c r="C363" t="s">
        <v>31</v>
      </c>
      <c r="D363" t="s">
        <v>12</v>
      </c>
      <c r="E363" t="s">
        <v>13</v>
      </c>
      <c r="F363" t="s">
        <v>99</v>
      </c>
      <c r="G363">
        <v>12.5</v>
      </c>
      <c r="H363">
        <v>20</v>
      </c>
      <c r="I363">
        <v>250</v>
      </c>
      <c r="J363" t="s">
        <v>26</v>
      </c>
    </row>
    <row r="364" spans="1:10" x14ac:dyDescent="0.3">
      <c r="A364" t="s">
        <v>433</v>
      </c>
      <c r="B364">
        <v>42250</v>
      </c>
      <c r="C364" t="s">
        <v>31</v>
      </c>
      <c r="D364" t="s">
        <v>12</v>
      </c>
      <c r="E364" t="s">
        <v>17</v>
      </c>
      <c r="F364" t="s">
        <v>54</v>
      </c>
      <c r="G364">
        <v>18.399999999999999</v>
      </c>
      <c r="H364">
        <v>24</v>
      </c>
      <c r="I364">
        <v>441.59999999999997</v>
      </c>
      <c r="J364" t="s">
        <v>26</v>
      </c>
    </row>
    <row r="365" spans="1:10" x14ac:dyDescent="0.3">
      <c r="A365" t="s">
        <v>434</v>
      </c>
      <c r="B365">
        <v>42263</v>
      </c>
      <c r="C365" t="s">
        <v>28</v>
      </c>
      <c r="D365" t="s">
        <v>45</v>
      </c>
      <c r="E365" t="s">
        <v>21</v>
      </c>
      <c r="F365" t="s">
        <v>22</v>
      </c>
      <c r="G365">
        <v>9</v>
      </c>
      <c r="H365">
        <v>5</v>
      </c>
      <c r="I365">
        <v>45</v>
      </c>
      <c r="J365" t="s">
        <v>26</v>
      </c>
    </row>
    <row r="366" spans="1:10" x14ac:dyDescent="0.3">
      <c r="A366" t="s">
        <v>435</v>
      </c>
      <c r="B366">
        <v>42274</v>
      </c>
      <c r="C366" t="s">
        <v>11</v>
      </c>
      <c r="D366" t="s">
        <v>12</v>
      </c>
      <c r="E366" t="s">
        <v>17</v>
      </c>
      <c r="F366" t="s">
        <v>54</v>
      </c>
      <c r="G366">
        <v>31</v>
      </c>
      <c r="H366">
        <v>20</v>
      </c>
      <c r="I366">
        <v>620</v>
      </c>
      <c r="J366" t="s">
        <v>26</v>
      </c>
    </row>
    <row r="367" spans="1:10" x14ac:dyDescent="0.3">
      <c r="A367" t="s">
        <v>436</v>
      </c>
      <c r="B367">
        <v>42274</v>
      </c>
      <c r="C367" t="s">
        <v>20</v>
      </c>
      <c r="D367" t="s">
        <v>12</v>
      </c>
      <c r="E367" t="s">
        <v>34</v>
      </c>
      <c r="F367" t="s">
        <v>136</v>
      </c>
      <c r="G367">
        <v>9.5</v>
      </c>
      <c r="H367">
        <v>15</v>
      </c>
      <c r="I367">
        <v>142.5</v>
      </c>
      <c r="J367" t="s">
        <v>26</v>
      </c>
    </row>
    <row r="368" spans="1:10" x14ac:dyDescent="0.3">
      <c r="A368" t="s">
        <v>437</v>
      </c>
      <c r="B368">
        <v>42277</v>
      </c>
      <c r="C368" t="s">
        <v>20</v>
      </c>
      <c r="D368" t="s">
        <v>12</v>
      </c>
      <c r="E368" t="s">
        <v>21</v>
      </c>
      <c r="F368" t="s">
        <v>97</v>
      </c>
      <c r="G368">
        <v>13</v>
      </c>
      <c r="H368">
        <v>30</v>
      </c>
      <c r="I368">
        <v>390</v>
      </c>
      <c r="J368" t="s">
        <v>15</v>
      </c>
    </row>
    <row r="369" spans="1:10" x14ac:dyDescent="0.3">
      <c r="A369" t="s">
        <v>438</v>
      </c>
      <c r="B369">
        <v>42277</v>
      </c>
      <c r="C369" t="s">
        <v>31</v>
      </c>
      <c r="D369" t="s">
        <v>12</v>
      </c>
      <c r="E369" t="s">
        <v>51</v>
      </c>
      <c r="F369" t="s">
        <v>81</v>
      </c>
      <c r="G369">
        <v>38</v>
      </c>
      <c r="H369">
        <v>20</v>
      </c>
      <c r="I369">
        <v>760</v>
      </c>
      <c r="J369" t="s">
        <v>15</v>
      </c>
    </row>
    <row r="370" spans="1:10" x14ac:dyDescent="0.3">
      <c r="A370" t="s">
        <v>127</v>
      </c>
      <c r="B370">
        <v>42289</v>
      </c>
      <c r="C370" t="s">
        <v>20</v>
      </c>
      <c r="D370" t="s">
        <v>12</v>
      </c>
      <c r="E370" t="s">
        <v>17</v>
      </c>
      <c r="F370" t="s">
        <v>128</v>
      </c>
      <c r="G370">
        <v>4.5</v>
      </c>
      <c r="H370">
        <v>35</v>
      </c>
      <c r="I370">
        <v>157.5</v>
      </c>
      <c r="J370" t="s">
        <v>15</v>
      </c>
    </row>
    <row r="371" spans="1:10" x14ac:dyDescent="0.3">
      <c r="A371" t="s">
        <v>439</v>
      </c>
      <c r="B371">
        <v>42289</v>
      </c>
      <c r="C371" t="s">
        <v>11</v>
      </c>
      <c r="D371" t="s">
        <v>12</v>
      </c>
      <c r="E371" t="s">
        <v>21</v>
      </c>
      <c r="F371" t="s">
        <v>111</v>
      </c>
      <c r="G371">
        <v>22</v>
      </c>
      <c r="H371">
        <v>6</v>
      </c>
      <c r="I371">
        <v>132</v>
      </c>
      <c r="J371" t="s">
        <v>15</v>
      </c>
    </row>
    <row r="372" spans="1:10" x14ac:dyDescent="0.3">
      <c r="A372" t="s">
        <v>440</v>
      </c>
      <c r="B372">
        <v>42289</v>
      </c>
      <c r="C372" t="s">
        <v>31</v>
      </c>
      <c r="D372" t="s">
        <v>12</v>
      </c>
      <c r="E372" t="s">
        <v>34</v>
      </c>
      <c r="F372" t="s">
        <v>339</v>
      </c>
      <c r="G372">
        <v>12.75</v>
      </c>
      <c r="H372">
        <v>24</v>
      </c>
      <c r="I372">
        <v>306</v>
      </c>
      <c r="J372" t="s">
        <v>15</v>
      </c>
    </row>
    <row r="373" spans="1:10" x14ac:dyDescent="0.3">
      <c r="A373" t="s">
        <v>441</v>
      </c>
      <c r="B373">
        <v>42291</v>
      </c>
      <c r="C373" t="s">
        <v>11</v>
      </c>
      <c r="D373" t="s">
        <v>45</v>
      </c>
      <c r="E373" t="s">
        <v>17</v>
      </c>
      <c r="F373" t="s">
        <v>54</v>
      </c>
      <c r="G373">
        <v>15</v>
      </c>
      <c r="H373">
        <v>28</v>
      </c>
      <c r="I373">
        <v>420</v>
      </c>
      <c r="J373" t="s">
        <v>26</v>
      </c>
    </row>
    <row r="374" spans="1:10" x14ac:dyDescent="0.3">
      <c r="A374" t="s">
        <v>442</v>
      </c>
      <c r="B374">
        <v>42291</v>
      </c>
      <c r="C374" t="s">
        <v>20</v>
      </c>
      <c r="D374" t="s">
        <v>45</v>
      </c>
      <c r="E374" t="s">
        <v>51</v>
      </c>
      <c r="F374" t="s">
        <v>81</v>
      </c>
      <c r="G374">
        <v>24</v>
      </c>
      <c r="H374">
        <v>21</v>
      </c>
      <c r="I374">
        <v>504</v>
      </c>
      <c r="J374" t="s">
        <v>26</v>
      </c>
    </row>
    <row r="375" spans="1:10" x14ac:dyDescent="0.3">
      <c r="A375" t="s">
        <v>443</v>
      </c>
      <c r="B375">
        <v>42291</v>
      </c>
      <c r="C375" t="s">
        <v>11</v>
      </c>
      <c r="D375" t="s">
        <v>45</v>
      </c>
      <c r="E375" t="s">
        <v>34</v>
      </c>
      <c r="F375" t="s">
        <v>64</v>
      </c>
      <c r="G375">
        <v>19.5</v>
      </c>
      <c r="H375">
        <v>40</v>
      </c>
      <c r="I375">
        <v>780</v>
      </c>
      <c r="J375" t="s">
        <v>26</v>
      </c>
    </row>
    <row r="376" spans="1:10" x14ac:dyDescent="0.3">
      <c r="A376" t="s">
        <v>444</v>
      </c>
      <c r="B376">
        <v>42292</v>
      </c>
      <c r="C376" t="s">
        <v>11</v>
      </c>
      <c r="D376" t="s">
        <v>12</v>
      </c>
      <c r="E376" t="s">
        <v>21</v>
      </c>
      <c r="F376" t="s">
        <v>47</v>
      </c>
      <c r="G376">
        <v>40</v>
      </c>
      <c r="H376">
        <v>40</v>
      </c>
      <c r="I376">
        <v>1600</v>
      </c>
      <c r="J376" t="s">
        <v>26</v>
      </c>
    </row>
    <row r="377" spans="1:10" x14ac:dyDescent="0.3">
      <c r="A377" t="s">
        <v>445</v>
      </c>
      <c r="B377">
        <v>42292</v>
      </c>
      <c r="C377" t="s">
        <v>11</v>
      </c>
      <c r="D377" t="s">
        <v>12</v>
      </c>
      <c r="E377" t="s">
        <v>34</v>
      </c>
      <c r="F377" t="s">
        <v>64</v>
      </c>
      <c r="G377">
        <v>53</v>
      </c>
      <c r="H377">
        <v>28</v>
      </c>
      <c r="I377">
        <v>1484</v>
      </c>
      <c r="J377" t="s">
        <v>26</v>
      </c>
    </row>
    <row r="378" spans="1:10" x14ac:dyDescent="0.3">
      <c r="A378" t="s">
        <v>446</v>
      </c>
      <c r="B378">
        <v>42292</v>
      </c>
      <c r="C378" t="s">
        <v>20</v>
      </c>
      <c r="D378" t="s">
        <v>12</v>
      </c>
      <c r="E378" t="s">
        <v>13</v>
      </c>
      <c r="F378" t="s">
        <v>41</v>
      </c>
      <c r="G378">
        <v>34</v>
      </c>
      <c r="H378">
        <v>10</v>
      </c>
      <c r="I378">
        <v>340</v>
      </c>
      <c r="J378" t="s">
        <v>26</v>
      </c>
    </row>
    <row r="379" spans="1:10" x14ac:dyDescent="0.3">
      <c r="A379" t="s">
        <v>447</v>
      </c>
      <c r="B379">
        <v>42299</v>
      </c>
      <c r="C379" t="s">
        <v>28</v>
      </c>
      <c r="D379" t="s">
        <v>24</v>
      </c>
      <c r="E379" t="s">
        <v>21</v>
      </c>
      <c r="F379" t="s">
        <v>22</v>
      </c>
      <c r="G379">
        <v>28.5</v>
      </c>
      <c r="H379">
        <v>10</v>
      </c>
      <c r="I379">
        <v>285</v>
      </c>
      <c r="J379" t="s">
        <v>26</v>
      </c>
    </row>
    <row r="380" spans="1:10" x14ac:dyDescent="0.3">
      <c r="A380" t="s">
        <v>448</v>
      </c>
      <c r="B380">
        <v>42299</v>
      </c>
      <c r="C380" t="s">
        <v>20</v>
      </c>
      <c r="D380" t="s">
        <v>24</v>
      </c>
      <c r="E380" t="s">
        <v>34</v>
      </c>
      <c r="F380" t="s">
        <v>241</v>
      </c>
      <c r="G380">
        <v>10</v>
      </c>
      <c r="H380">
        <v>5</v>
      </c>
      <c r="I380">
        <v>50</v>
      </c>
      <c r="J380" t="s">
        <v>26</v>
      </c>
    </row>
    <row r="381" spans="1:10" x14ac:dyDescent="0.3">
      <c r="A381" t="s">
        <v>449</v>
      </c>
      <c r="B381">
        <v>42303</v>
      </c>
      <c r="C381" t="s">
        <v>28</v>
      </c>
      <c r="D381" t="s">
        <v>12</v>
      </c>
      <c r="E381" t="s">
        <v>17</v>
      </c>
      <c r="F381" t="s">
        <v>72</v>
      </c>
      <c r="G381">
        <v>18</v>
      </c>
      <c r="H381">
        <v>21</v>
      </c>
      <c r="I381">
        <v>378</v>
      </c>
      <c r="J381" t="s">
        <v>26</v>
      </c>
    </row>
    <row r="382" spans="1:10" x14ac:dyDescent="0.3">
      <c r="A382" t="s">
        <v>450</v>
      </c>
      <c r="B382">
        <v>42303</v>
      </c>
      <c r="C382" t="s">
        <v>11</v>
      </c>
      <c r="D382" t="s">
        <v>12</v>
      </c>
      <c r="E382" t="s">
        <v>13</v>
      </c>
      <c r="F382" t="s">
        <v>124</v>
      </c>
      <c r="G382">
        <v>21.5</v>
      </c>
      <c r="H382">
        <v>8</v>
      </c>
      <c r="I382">
        <v>172</v>
      </c>
      <c r="J382" t="s">
        <v>26</v>
      </c>
    </row>
    <row r="383" spans="1:10" x14ac:dyDescent="0.3">
      <c r="A383" t="s">
        <v>451</v>
      </c>
      <c r="B383">
        <v>42306</v>
      </c>
      <c r="C383" t="s">
        <v>11</v>
      </c>
      <c r="D383" t="s">
        <v>12</v>
      </c>
      <c r="E383" t="s">
        <v>51</v>
      </c>
      <c r="F383" t="s">
        <v>81</v>
      </c>
      <c r="G383">
        <v>24</v>
      </c>
      <c r="H383">
        <v>6</v>
      </c>
      <c r="I383">
        <v>144</v>
      </c>
      <c r="J383" t="s">
        <v>26</v>
      </c>
    </row>
    <row r="384" spans="1:10" x14ac:dyDescent="0.3">
      <c r="A384" t="s">
        <v>452</v>
      </c>
      <c r="B384">
        <v>42306</v>
      </c>
      <c r="C384" t="s">
        <v>20</v>
      </c>
      <c r="D384" t="s">
        <v>12</v>
      </c>
      <c r="E384" t="s">
        <v>51</v>
      </c>
      <c r="F384" t="s">
        <v>81</v>
      </c>
      <c r="G384">
        <v>7</v>
      </c>
      <c r="H384">
        <v>4</v>
      </c>
      <c r="I384">
        <v>28</v>
      </c>
      <c r="J384" t="s">
        <v>26</v>
      </c>
    </row>
    <row r="385" spans="1:10" x14ac:dyDescent="0.3">
      <c r="A385" t="s">
        <v>453</v>
      </c>
      <c r="B385">
        <v>42306</v>
      </c>
      <c r="C385" t="s">
        <v>28</v>
      </c>
      <c r="D385" t="s">
        <v>12</v>
      </c>
      <c r="E385" t="s">
        <v>51</v>
      </c>
      <c r="F385" t="s">
        <v>81</v>
      </c>
      <c r="G385">
        <v>9.65</v>
      </c>
      <c r="H385">
        <v>12</v>
      </c>
      <c r="I385">
        <v>115.80000000000001</v>
      </c>
      <c r="J385" t="s">
        <v>26</v>
      </c>
    </row>
    <row r="386" spans="1:10" x14ac:dyDescent="0.3">
      <c r="A386" t="s">
        <v>454</v>
      </c>
      <c r="B386">
        <v>42309</v>
      </c>
      <c r="C386" t="s">
        <v>28</v>
      </c>
      <c r="D386" t="s">
        <v>45</v>
      </c>
      <c r="E386" t="s">
        <v>13</v>
      </c>
      <c r="F386" t="s">
        <v>14</v>
      </c>
      <c r="G386">
        <v>21</v>
      </c>
      <c r="H386">
        <v>5</v>
      </c>
      <c r="I386">
        <v>105</v>
      </c>
      <c r="J386" t="s">
        <v>15</v>
      </c>
    </row>
    <row r="387" spans="1:10" x14ac:dyDescent="0.3">
      <c r="A387" t="s">
        <v>455</v>
      </c>
      <c r="B387">
        <v>42310</v>
      </c>
      <c r="C387" t="s">
        <v>28</v>
      </c>
      <c r="D387" t="s">
        <v>12</v>
      </c>
      <c r="E387" t="s">
        <v>51</v>
      </c>
      <c r="F387" t="s">
        <v>81</v>
      </c>
      <c r="G387">
        <v>24</v>
      </c>
      <c r="H387">
        <v>12</v>
      </c>
      <c r="I387">
        <v>288</v>
      </c>
      <c r="J387" t="s">
        <v>26</v>
      </c>
    </row>
    <row r="388" spans="1:10" x14ac:dyDescent="0.3">
      <c r="A388" t="s">
        <v>456</v>
      </c>
      <c r="B388">
        <v>42310</v>
      </c>
      <c r="C388" t="s">
        <v>28</v>
      </c>
      <c r="D388" t="s">
        <v>12</v>
      </c>
      <c r="E388" t="s">
        <v>21</v>
      </c>
      <c r="F388" t="s">
        <v>22</v>
      </c>
      <c r="G388">
        <v>25.89</v>
      </c>
      <c r="H388">
        <v>15</v>
      </c>
      <c r="I388">
        <v>388.35</v>
      </c>
      <c r="J388" t="s">
        <v>26</v>
      </c>
    </row>
    <row r="389" spans="1:10" x14ac:dyDescent="0.3">
      <c r="A389" t="s">
        <v>457</v>
      </c>
      <c r="B389">
        <v>42310</v>
      </c>
      <c r="C389" t="s">
        <v>11</v>
      </c>
      <c r="D389" t="s">
        <v>12</v>
      </c>
      <c r="E389" t="s">
        <v>51</v>
      </c>
      <c r="F389" t="s">
        <v>81</v>
      </c>
      <c r="G389">
        <v>18.399999999999999</v>
      </c>
      <c r="H389">
        <v>6</v>
      </c>
      <c r="I389">
        <v>110.39999999999999</v>
      </c>
      <c r="J389" t="s">
        <v>26</v>
      </c>
    </row>
    <row r="390" spans="1:10" x14ac:dyDescent="0.3">
      <c r="A390" t="s">
        <v>458</v>
      </c>
      <c r="B390">
        <v>42313</v>
      </c>
      <c r="C390" t="s">
        <v>20</v>
      </c>
      <c r="D390" t="s">
        <v>12</v>
      </c>
      <c r="E390" t="s">
        <v>17</v>
      </c>
      <c r="F390" t="s">
        <v>134</v>
      </c>
      <c r="G390">
        <v>18</v>
      </c>
      <c r="H390">
        <v>20</v>
      </c>
      <c r="I390">
        <v>360</v>
      </c>
      <c r="J390" t="s">
        <v>26</v>
      </c>
    </row>
    <row r="391" spans="1:10" x14ac:dyDescent="0.3">
      <c r="A391" t="s">
        <v>459</v>
      </c>
      <c r="B391">
        <v>42313</v>
      </c>
      <c r="C391" t="s">
        <v>11</v>
      </c>
      <c r="D391" t="s">
        <v>12</v>
      </c>
      <c r="E391" t="s">
        <v>21</v>
      </c>
      <c r="F391" t="s">
        <v>39</v>
      </c>
      <c r="G391">
        <v>25</v>
      </c>
      <c r="H391">
        <v>30</v>
      </c>
      <c r="I391">
        <v>750</v>
      </c>
      <c r="J391" t="s">
        <v>26</v>
      </c>
    </row>
    <row r="392" spans="1:10" x14ac:dyDescent="0.3">
      <c r="A392" t="s">
        <v>460</v>
      </c>
      <c r="B392">
        <v>42313</v>
      </c>
      <c r="C392" t="s">
        <v>20</v>
      </c>
      <c r="D392" t="s">
        <v>12</v>
      </c>
      <c r="E392" t="s">
        <v>13</v>
      </c>
      <c r="F392" t="s">
        <v>14</v>
      </c>
      <c r="G392">
        <v>25.89</v>
      </c>
      <c r="H392">
        <v>15</v>
      </c>
      <c r="I392">
        <v>388.35</v>
      </c>
      <c r="J392" t="s">
        <v>26</v>
      </c>
    </row>
    <row r="393" spans="1:10" x14ac:dyDescent="0.3">
      <c r="A393" t="s">
        <v>461</v>
      </c>
      <c r="B393">
        <v>42326</v>
      </c>
      <c r="C393" t="s">
        <v>31</v>
      </c>
      <c r="D393" t="s">
        <v>45</v>
      </c>
      <c r="E393" t="s">
        <v>17</v>
      </c>
      <c r="F393" t="s">
        <v>134</v>
      </c>
      <c r="G393">
        <v>18</v>
      </c>
      <c r="H393">
        <v>10</v>
      </c>
      <c r="I393">
        <v>180</v>
      </c>
      <c r="J393" t="s">
        <v>26</v>
      </c>
    </row>
    <row r="394" spans="1:10" x14ac:dyDescent="0.3">
      <c r="A394" t="s">
        <v>462</v>
      </c>
      <c r="B394">
        <v>42326</v>
      </c>
      <c r="C394" t="s">
        <v>11</v>
      </c>
      <c r="D394" t="s">
        <v>45</v>
      </c>
      <c r="E394" t="s">
        <v>34</v>
      </c>
      <c r="F394" t="s">
        <v>64</v>
      </c>
      <c r="G394">
        <v>38</v>
      </c>
      <c r="H394">
        <v>15</v>
      </c>
      <c r="I394">
        <v>570</v>
      </c>
      <c r="J394" t="s">
        <v>26</v>
      </c>
    </row>
    <row r="395" spans="1:10" x14ac:dyDescent="0.3">
      <c r="A395" t="s">
        <v>463</v>
      </c>
      <c r="B395">
        <v>42326</v>
      </c>
      <c r="C395" t="s">
        <v>28</v>
      </c>
      <c r="D395" t="s">
        <v>45</v>
      </c>
      <c r="E395" t="s">
        <v>13</v>
      </c>
      <c r="F395" t="s">
        <v>66</v>
      </c>
      <c r="G395">
        <v>55</v>
      </c>
      <c r="H395">
        <v>6</v>
      </c>
      <c r="I395">
        <v>330</v>
      </c>
      <c r="J395" t="s">
        <v>26</v>
      </c>
    </row>
    <row r="396" spans="1:10" x14ac:dyDescent="0.3">
      <c r="A396" t="s">
        <v>464</v>
      </c>
      <c r="B396">
        <v>42330</v>
      </c>
      <c r="C396" t="s">
        <v>28</v>
      </c>
      <c r="D396" t="s">
        <v>45</v>
      </c>
      <c r="E396" t="s">
        <v>17</v>
      </c>
      <c r="F396" t="s">
        <v>79</v>
      </c>
      <c r="G396">
        <v>18</v>
      </c>
      <c r="H396">
        <v>8</v>
      </c>
      <c r="I396">
        <v>144</v>
      </c>
      <c r="J396" t="s">
        <v>26</v>
      </c>
    </row>
    <row r="397" spans="1:10" x14ac:dyDescent="0.3">
      <c r="A397" t="s">
        <v>465</v>
      </c>
      <c r="B397">
        <v>42330</v>
      </c>
      <c r="C397" t="s">
        <v>11</v>
      </c>
      <c r="D397" t="s">
        <v>45</v>
      </c>
      <c r="E397" t="s">
        <v>13</v>
      </c>
      <c r="F397" t="s">
        <v>186</v>
      </c>
      <c r="G397">
        <v>36</v>
      </c>
      <c r="H397">
        <v>3</v>
      </c>
      <c r="I397">
        <v>108</v>
      </c>
      <c r="J397" t="s">
        <v>26</v>
      </c>
    </row>
    <row r="398" spans="1:10" x14ac:dyDescent="0.3">
      <c r="A398" t="s">
        <v>466</v>
      </c>
      <c r="B398">
        <v>42344</v>
      </c>
      <c r="C398" t="s">
        <v>28</v>
      </c>
      <c r="D398" t="s">
        <v>45</v>
      </c>
      <c r="E398" t="s">
        <v>13</v>
      </c>
      <c r="F398" t="s">
        <v>14</v>
      </c>
      <c r="G398">
        <v>21</v>
      </c>
      <c r="H398">
        <v>4</v>
      </c>
      <c r="I398">
        <v>84</v>
      </c>
      <c r="J398" t="s">
        <v>26</v>
      </c>
    </row>
    <row r="399" spans="1:10" x14ac:dyDescent="0.3">
      <c r="A399" t="s">
        <v>467</v>
      </c>
      <c r="B399">
        <v>42344</v>
      </c>
      <c r="C399" t="s">
        <v>11</v>
      </c>
      <c r="D399" t="s">
        <v>45</v>
      </c>
      <c r="E399" t="s">
        <v>13</v>
      </c>
      <c r="F399" t="s">
        <v>99</v>
      </c>
      <c r="G399">
        <v>12.5</v>
      </c>
      <c r="H399">
        <v>50</v>
      </c>
      <c r="I399">
        <v>625</v>
      </c>
      <c r="J399" t="s">
        <v>26</v>
      </c>
    </row>
    <row r="400" spans="1:10" x14ac:dyDescent="0.3">
      <c r="A400" t="s">
        <v>468</v>
      </c>
      <c r="B400">
        <v>42344</v>
      </c>
      <c r="C400" t="s">
        <v>28</v>
      </c>
      <c r="D400" t="s">
        <v>45</v>
      </c>
      <c r="E400" t="s">
        <v>13</v>
      </c>
      <c r="F400" t="s">
        <v>124</v>
      </c>
      <c r="G400">
        <v>21.5</v>
      </c>
      <c r="H400">
        <v>12</v>
      </c>
      <c r="I400">
        <v>258</v>
      </c>
      <c r="J400" t="s">
        <v>26</v>
      </c>
    </row>
    <row r="401" spans="1:10" x14ac:dyDescent="0.3">
      <c r="A401" t="s">
        <v>469</v>
      </c>
      <c r="B401">
        <v>42345</v>
      </c>
      <c r="C401" t="s">
        <v>20</v>
      </c>
      <c r="D401" t="s">
        <v>12</v>
      </c>
      <c r="E401" t="s">
        <v>13</v>
      </c>
      <c r="F401" t="s">
        <v>14</v>
      </c>
      <c r="G401">
        <v>21</v>
      </c>
      <c r="H401">
        <v>15</v>
      </c>
      <c r="I401">
        <v>315</v>
      </c>
      <c r="J401" t="s">
        <v>26</v>
      </c>
    </row>
    <row r="402" spans="1:10" x14ac:dyDescent="0.3">
      <c r="A402" t="s">
        <v>470</v>
      </c>
      <c r="B402">
        <v>42351</v>
      </c>
      <c r="C402" t="s">
        <v>20</v>
      </c>
      <c r="D402" t="s">
        <v>12</v>
      </c>
      <c r="E402" t="s">
        <v>51</v>
      </c>
      <c r="F402" t="s">
        <v>81</v>
      </c>
      <c r="G402">
        <v>14</v>
      </c>
      <c r="H402">
        <v>20</v>
      </c>
      <c r="I402">
        <v>280</v>
      </c>
      <c r="J402" t="s">
        <v>26</v>
      </c>
    </row>
    <row r="403" spans="1:10" x14ac:dyDescent="0.3">
      <c r="A403" t="s">
        <v>471</v>
      </c>
      <c r="B403">
        <v>42353</v>
      </c>
      <c r="C403" t="s">
        <v>31</v>
      </c>
      <c r="D403" t="s">
        <v>24</v>
      </c>
      <c r="E403" t="s">
        <v>13</v>
      </c>
      <c r="F403" t="s">
        <v>99</v>
      </c>
      <c r="G403">
        <v>12.5</v>
      </c>
      <c r="H403">
        <v>1</v>
      </c>
      <c r="I403">
        <v>12.5</v>
      </c>
      <c r="J403" t="s">
        <v>26</v>
      </c>
    </row>
    <row r="404" spans="1:10" x14ac:dyDescent="0.3">
      <c r="A404" t="s">
        <v>472</v>
      </c>
      <c r="B404">
        <v>42354</v>
      </c>
      <c r="C404" t="s">
        <v>11</v>
      </c>
      <c r="D404" t="s">
        <v>12</v>
      </c>
      <c r="E404" t="s">
        <v>17</v>
      </c>
      <c r="F404" t="s">
        <v>32</v>
      </c>
      <c r="G404">
        <v>263.5</v>
      </c>
      <c r="H404">
        <v>5</v>
      </c>
      <c r="I404">
        <v>1317.5</v>
      </c>
      <c r="J404" t="s">
        <v>26</v>
      </c>
    </row>
    <row r="405" spans="1:10" x14ac:dyDescent="0.3">
      <c r="A405" t="s">
        <v>473</v>
      </c>
      <c r="B405">
        <v>42354</v>
      </c>
      <c r="C405" t="s">
        <v>11</v>
      </c>
      <c r="D405" t="s">
        <v>12</v>
      </c>
      <c r="E405" t="s">
        <v>13</v>
      </c>
      <c r="F405" t="s">
        <v>99</v>
      </c>
      <c r="G405">
        <v>12.5</v>
      </c>
      <c r="H405">
        <v>10</v>
      </c>
      <c r="I405">
        <v>125</v>
      </c>
      <c r="J405" t="s">
        <v>26</v>
      </c>
    </row>
    <row r="406" spans="1:10" x14ac:dyDescent="0.3">
      <c r="A406" t="s">
        <v>474</v>
      </c>
      <c r="B406">
        <v>42355</v>
      </c>
      <c r="C406" t="s">
        <v>20</v>
      </c>
      <c r="D406" t="s">
        <v>12</v>
      </c>
      <c r="E406" t="s">
        <v>21</v>
      </c>
      <c r="F406" t="s">
        <v>47</v>
      </c>
      <c r="G406">
        <v>40</v>
      </c>
      <c r="H406">
        <v>30</v>
      </c>
      <c r="I406">
        <v>1200</v>
      </c>
      <c r="J406" t="s">
        <v>15</v>
      </c>
    </row>
    <row r="407" spans="1:10" x14ac:dyDescent="0.3">
      <c r="A407" t="s">
        <v>475</v>
      </c>
      <c r="B407">
        <v>42355</v>
      </c>
      <c r="C407" t="s">
        <v>28</v>
      </c>
      <c r="D407" t="s">
        <v>12</v>
      </c>
      <c r="E407" t="s">
        <v>21</v>
      </c>
      <c r="F407" t="s">
        <v>22</v>
      </c>
      <c r="G407">
        <v>25.89</v>
      </c>
      <c r="H407">
        <v>15</v>
      </c>
      <c r="I407">
        <v>388.35</v>
      </c>
      <c r="J407" t="s">
        <v>15</v>
      </c>
    </row>
    <row r="408" spans="1:10" x14ac:dyDescent="0.3">
      <c r="A408" t="s">
        <v>476</v>
      </c>
      <c r="B408">
        <v>42358</v>
      </c>
      <c r="C408" t="s">
        <v>31</v>
      </c>
      <c r="D408" t="s">
        <v>12</v>
      </c>
      <c r="E408" t="s">
        <v>17</v>
      </c>
      <c r="F408" t="s">
        <v>54</v>
      </c>
      <c r="G408">
        <v>30</v>
      </c>
      <c r="H408">
        <v>3</v>
      </c>
      <c r="I408">
        <v>90</v>
      </c>
      <c r="J408" t="s">
        <v>15</v>
      </c>
    </row>
    <row r="409" spans="1:10" x14ac:dyDescent="0.3">
      <c r="A409" t="s">
        <v>477</v>
      </c>
      <c r="B409">
        <v>42358</v>
      </c>
      <c r="C409" t="s">
        <v>20</v>
      </c>
      <c r="D409" t="s">
        <v>12</v>
      </c>
      <c r="E409" t="s">
        <v>21</v>
      </c>
      <c r="F409" t="s">
        <v>22</v>
      </c>
      <c r="G409">
        <v>38</v>
      </c>
      <c r="H409">
        <v>20</v>
      </c>
      <c r="I409">
        <v>760</v>
      </c>
      <c r="J409" t="s">
        <v>15</v>
      </c>
    </row>
    <row r="410" spans="1:10" x14ac:dyDescent="0.3">
      <c r="A410" t="s">
        <v>478</v>
      </c>
      <c r="B410">
        <v>42360</v>
      </c>
      <c r="C410" t="s">
        <v>11</v>
      </c>
      <c r="D410" t="s">
        <v>12</v>
      </c>
      <c r="E410" t="s">
        <v>51</v>
      </c>
      <c r="F410" t="s">
        <v>268</v>
      </c>
      <c r="G410">
        <v>7.45</v>
      </c>
      <c r="H410">
        <v>6</v>
      </c>
      <c r="I410">
        <v>44.7</v>
      </c>
      <c r="J410" t="s">
        <v>15</v>
      </c>
    </row>
    <row r="411" spans="1:10" x14ac:dyDescent="0.3">
      <c r="A411" t="s">
        <v>479</v>
      </c>
      <c r="B411">
        <v>42360</v>
      </c>
      <c r="C411" t="s">
        <v>11</v>
      </c>
      <c r="D411" t="s">
        <v>12</v>
      </c>
      <c r="E411" t="s">
        <v>51</v>
      </c>
      <c r="F411" t="s">
        <v>81</v>
      </c>
      <c r="G411">
        <v>23.25</v>
      </c>
      <c r="H411">
        <v>15</v>
      </c>
      <c r="I411">
        <v>348.75</v>
      </c>
      <c r="J411" t="s">
        <v>15</v>
      </c>
    </row>
    <row r="412" spans="1:10" x14ac:dyDescent="0.3">
      <c r="A412" t="s">
        <v>480</v>
      </c>
      <c r="B412">
        <v>42360</v>
      </c>
      <c r="C412" t="s">
        <v>28</v>
      </c>
      <c r="D412" t="s">
        <v>45</v>
      </c>
      <c r="E412" t="s">
        <v>17</v>
      </c>
      <c r="F412" t="s">
        <v>54</v>
      </c>
      <c r="G412">
        <v>7</v>
      </c>
      <c r="H412">
        <v>8</v>
      </c>
      <c r="I412">
        <v>56</v>
      </c>
      <c r="J412" t="s">
        <v>26</v>
      </c>
    </row>
    <row r="413" spans="1:10" x14ac:dyDescent="0.3">
      <c r="A413" t="s">
        <v>481</v>
      </c>
      <c r="B413">
        <v>42360</v>
      </c>
      <c r="C413" t="s">
        <v>28</v>
      </c>
      <c r="D413" t="s">
        <v>45</v>
      </c>
      <c r="E413" t="s">
        <v>51</v>
      </c>
      <c r="F413" t="s">
        <v>81</v>
      </c>
      <c r="G413">
        <v>9.65</v>
      </c>
      <c r="H413">
        <v>14</v>
      </c>
      <c r="I413">
        <v>135.1</v>
      </c>
      <c r="J413" t="s">
        <v>26</v>
      </c>
    </row>
    <row r="414" spans="1:10" x14ac:dyDescent="0.3">
      <c r="A414" t="s">
        <v>482</v>
      </c>
      <c r="B414">
        <v>42362</v>
      </c>
      <c r="C414" t="s">
        <v>31</v>
      </c>
      <c r="D414" t="s">
        <v>45</v>
      </c>
      <c r="E414" t="s">
        <v>13</v>
      </c>
      <c r="F414" t="s">
        <v>56</v>
      </c>
      <c r="G414">
        <v>34.799999999999997</v>
      </c>
      <c r="H414">
        <v>10</v>
      </c>
      <c r="I414">
        <v>348</v>
      </c>
      <c r="J414" t="s">
        <v>15</v>
      </c>
    </row>
    <row r="415" spans="1:10" x14ac:dyDescent="0.3">
      <c r="A415" t="s">
        <v>483</v>
      </c>
      <c r="B415">
        <v>42362</v>
      </c>
      <c r="C415" t="s">
        <v>28</v>
      </c>
      <c r="D415" t="s">
        <v>45</v>
      </c>
      <c r="E415" t="s">
        <v>34</v>
      </c>
      <c r="F415" t="s">
        <v>90</v>
      </c>
      <c r="G415">
        <v>49.3</v>
      </c>
      <c r="H415">
        <v>2</v>
      </c>
      <c r="I415">
        <v>98.6</v>
      </c>
      <c r="J415" t="s">
        <v>15</v>
      </c>
    </row>
    <row r="416" spans="1:10" x14ac:dyDescent="0.3">
      <c r="A416" t="s">
        <v>484</v>
      </c>
      <c r="B416">
        <v>42362</v>
      </c>
      <c r="C416" t="s">
        <v>28</v>
      </c>
      <c r="D416" t="s">
        <v>45</v>
      </c>
      <c r="E416" t="s">
        <v>51</v>
      </c>
      <c r="F416" t="s">
        <v>268</v>
      </c>
      <c r="G416">
        <v>7.45</v>
      </c>
      <c r="H416">
        <v>7</v>
      </c>
      <c r="I416">
        <v>52.15</v>
      </c>
      <c r="J416" t="s">
        <v>26</v>
      </c>
    </row>
    <row r="417" spans="1:10" x14ac:dyDescent="0.3">
      <c r="A417" t="s">
        <v>485</v>
      </c>
      <c r="B417">
        <v>42362</v>
      </c>
      <c r="C417" t="s">
        <v>31</v>
      </c>
      <c r="D417" t="s">
        <v>45</v>
      </c>
      <c r="E417" t="s">
        <v>34</v>
      </c>
      <c r="F417" t="s">
        <v>64</v>
      </c>
      <c r="G417">
        <v>53</v>
      </c>
      <c r="H417">
        <v>10</v>
      </c>
      <c r="I417">
        <v>530</v>
      </c>
      <c r="J417" t="s">
        <v>26</v>
      </c>
    </row>
    <row r="418" spans="1:10" x14ac:dyDescent="0.3">
      <c r="A418" t="s">
        <v>486</v>
      </c>
      <c r="B418">
        <v>42362</v>
      </c>
      <c r="C418" t="s">
        <v>20</v>
      </c>
      <c r="D418" t="s">
        <v>45</v>
      </c>
      <c r="E418" t="s">
        <v>13</v>
      </c>
      <c r="F418" t="s">
        <v>14</v>
      </c>
      <c r="G418">
        <v>21</v>
      </c>
      <c r="H418">
        <v>50</v>
      </c>
      <c r="I418">
        <v>1050</v>
      </c>
      <c r="J418" t="s">
        <v>26</v>
      </c>
    </row>
    <row r="419" spans="1:10" x14ac:dyDescent="0.3">
      <c r="A419" t="s">
        <v>487</v>
      </c>
      <c r="B419">
        <v>42365</v>
      </c>
      <c r="C419" t="s">
        <v>11</v>
      </c>
      <c r="D419" t="s">
        <v>85</v>
      </c>
      <c r="E419" t="s">
        <v>51</v>
      </c>
      <c r="F419" t="s">
        <v>118</v>
      </c>
      <c r="G419">
        <v>39</v>
      </c>
      <c r="H419">
        <v>40</v>
      </c>
      <c r="I419">
        <v>1560</v>
      </c>
      <c r="J419" t="s">
        <v>26</v>
      </c>
    </row>
    <row r="420" spans="1:10" x14ac:dyDescent="0.3">
      <c r="A420" t="s">
        <v>488</v>
      </c>
      <c r="B420">
        <v>42365</v>
      </c>
      <c r="C420" t="s">
        <v>11</v>
      </c>
      <c r="D420" t="s">
        <v>85</v>
      </c>
      <c r="E420" t="s">
        <v>51</v>
      </c>
      <c r="F420" t="s">
        <v>52</v>
      </c>
      <c r="G420">
        <v>123.79</v>
      </c>
      <c r="H420">
        <v>20</v>
      </c>
      <c r="I420">
        <v>2475.8000000000002</v>
      </c>
      <c r="J420" t="s">
        <v>26</v>
      </c>
    </row>
    <row r="421" spans="1:10" x14ac:dyDescent="0.3">
      <c r="A421" t="s">
        <v>489</v>
      </c>
      <c r="B421">
        <v>42366</v>
      </c>
      <c r="C421" t="s">
        <v>20</v>
      </c>
      <c r="D421" t="s">
        <v>12</v>
      </c>
      <c r="E421" t="s">
        <v>13</v>
      </c>
      <c r="F421" t="s">
        <v>66</v>
      </c>
      <c r="G421">
        <v>55</v>
      </c>
      <c r="H421">
        <v>15</v>
      </c>
      <c r="I421">
        <v>825</v>
      </c>
      <c r="J421" t="s">
        <v>15</v>
      </c>
    </row>
    <row r="422" spans="1:10" x14ac:dyDescent="0.3">
      <c r="A422" t="s">
        <v>490</v>
      </c>
      <c r="B422">
        <v>42366</v>
      </c>
      <c r="C422" t="s">
        <v>11</v>
      </c>
      <c r="D422" t="s">
        <v>12</v>
      </c>
      <c r="E422" t="s">
        <v>34</v>
      </c>
      <c r="F422" t="s">
        <v>188</v>
      </c>
      <c r="G422">
        <v>9.1999999999999993</v>
      </c>
      <c r="H422">
        <v>24</v>
      </c>
      <c r="I422">
        <v>220.79999999999998</v>
      </c>
      <c r="J422" t="s">
        <v>15</v>
      </c>
    </row>
    <row r="423" spans="1:10" x14ac:dyDescent="0.3">
      <c r="A423" t="s">
        <v>491</v>
      </c>
      <c r="B423">
        <v>42366</v>
      </c>
      <c r="C423" t="s">
        <v>20</v>
      </c>
      <c r="D423" t="s">
        <v>12</v>
      </c>
      <c r="E423" t="s">
        <v>34</v>
      </c>
      <c r="F423" t="s">
        <v>68</v>
      </c>
      <c r="G423">
        <v>14</v>
      </c>
      <c r="H423">
        <v>15</v>
      </c>
      <c r="I423">
        <v>210</v>
      </c>
      <c r="J423" t="s">
        <v>15</v>
      </c>
    </row>
    <row r="424" spans="1:10" x14ac:dyDescent="0.3">
      <c r="A424" t="s">
        <v>492</v>
      </c>
      <c r="B424">
        <v>42366</v>
      </c>
      <c r="C424" t="s">
        <v>28</v>
      </c>
      <c r="D424" t="s">
        <v>45</v>
      </c>
      <c r="E424" t="s">
        <v>51</v>
      </c>
      <c r="F424" t="s">
        <v>81</v>
      </c>
      <c r="G424">
        <v>45.6</v>
      </c>
      <c r="H424">
        <v>24</v>
      </c>
      <c r="I424">
        <v>1094.4000000000001</v>
      </c>
      <c r="J424" t="s">
        <v>26</v>
      </c>
    </row>
    <row r="425" spans="1:10" x14ac:dyDescent="0.3">
      <c r="A425" t="s">
        <v>493</v>
      </c>
      <c r="B425">
        <v>42366</v>
      </c>
      <c r="C425" t="s">
        <v>31</v>
      </c>
      <c r="D425" t="s">
        <v>45</v>
      </c>
      <c r="E425" t="s">
        <v>51</v>
      </c>
      <c r="F425" t="s">
        <v>81</v>
      </c>
      <c r="G425">
        <v>31</v>
      </c>
      <c r="H425">
        <v>36</v>
      </c>
      <c r="I425">
        <v>1116</v>
      </c>
      <c r="J425" t="s">
        <v>26</v>
      </c>
    </row>
    <row r="426" spans="1:10" x14ac:dyDescent="0.3">
      <c r="A426" t="s">
        <v>494</v>
      </c>
      <c r="B426">
        <v>42366</v>
      </c>
      <c r="C426" t="s">
        <v>11</v>
      </c>
      <c r="D426" t="s">
        <v>45</v>
      </c>
      <c r="E426" t="s">
        <v>34</v>
      </c>
      <c r="F426" t="s">
        <v>75</v>
      </c>
      <c r="G426">
        <v>20</v>
      </c>
      <c r="H426">
        <v>4</v>
      </c>
      <c r="I426">
        <v>80</v>
      </c>
      <c r="J426" t="s">
        <v>26</v>
      </c>
    </row>
    <row r="427" spans="1:10" x14ac:dyDescent="0.3">
      <c r="A427" t="s">
        <v>495</v>
      </c>
      <c r="B427">
        <v>42005</v>
      </c>
      <c r="C427" t="s">
        <v>11</v>
      </c>
      <c r="D427" t="s">
        <v>12</v>
      </c>
      <c r="E427" t="s">
        <v>13</v>
      </c>
      <c r="F427" t="s">
        <v>14</v>
      </c>
      <c r="G427">
        <v>45.6</v>
      </c>
      <c r="H427">
        <v>126</v>
      </c>
      <c r="I427">
        <v>5745.6</v>
      </c>
      <c r="J427" t="s">
        <v>15</v>
      </c>
    </row>
    <row r="428" spans="1:10" x14ac:dyDescent="0.3">
      <c r="A428" t="s">
        <v>496</v>
      </c>
      <c r="B428">
        <v>42005</v>
      </c>
      <c r="C428" t="s">
        <v>20</v>
      </c>
      <c r="D428" t="s">
        <v>12</v>
      </c>
      <c r="E428" t="s">
        <v>21</v>
      </c>
      <c r="F428" t="s">
        <v>22</v>
      </c>
      <c r="G428">
        <v>19</v>
      </c>
      <c r="H428">
        <v>45</v>
      </c>
      <c r="I428">
        <v>855</v>
      </c>
      <c r="J428" t="s">
        <v>15</v>
      </c>
    </row>
    <row r="429" spans="1:10" x14ac:dyDescent="0.3">
      <c r="A429" t="s">
        <v>497</v>
      </c>
      <c r="B429">
        <v>42005</v>
      </c>
      <c r="C429" t="s">
        <v>20</v>
      </c>
      <c r="D429" t="s">
        <v>12</v>
      </c>
      <c r="E429" t="s">
        <v>21</v>
      </c>
      <c r="F429" t="s">
        <v>22</v>
      </c>
      <c r="G429">
        <v>18.399999999999999</v>
      </c>
      <c r="H429">
        <v>14</v>
      </c>
      <c r="I429">
        <v>257.59999999999997</v>
      </c>
      <c r="J429" t="s">
        <v>15</v>
      </c>
    </row>
    <row r="430" spans="1:10" x14ac:dyDescent="0.3">
      <c r="A430" t="s">
        <v>498</v>
      </c>
      <c r="B430">
        <v>42005</v>
      </c>
      <c r="C430" t="s">
        <v>20</v>
      </c>
      <c r="D430" t="s">
        <v>12</v>
      </c>
      <c r="E430" t="s">
        <v>34</v>
      </c>
      <c r="F430" t="s">
        <v>241</v>
      </c>
      <c r="G430">
        <v>10</v>
      </c>
      <c r="H430">
        <v>120</v>
      </c>
      <c r="I430">
        <v>1200</v>
      </c>
      <c r="J430" t="s">
        <v>15</v>
      </c>
    </row>
    <row r="431" spans="1:10" x14ac:dyDescent="0.3">
      <c r="A431" t="s">
        <v>499</v>
      </c>
      <c r="B431">
        <v>42007</v>
      </c>
      <c r="C431" t="s">
        <v>20</v>
      </c>
      <c r="D431" t="s">
        <v>24</v>
      </c>
      <c r="E431" t="s">
        <v>17</v>
      </c>
      <c r="F431" t="s">
        <v>54</v>
      </c>
      <c r="G431">
        <v>23.25</v>
      </c>
      <c r="H431">
        <v>36</v>
      </c>
      <c r="I431">
        <v>837</v>
      </c>
      <c r="J431" t="s">
        <v>15</v>
      </c>
    </row>
    <row r="432" spans="1:10" x14ac:dyDescent="0.3">
      <c r="A432" t="s">
        <v>500</v>
      </c>
      <c r="B432">
        <v>42007</v>
      </c>
      <c r="C432" t="s">
        <v>20</v>
      </c>
      <c r="D432" t="s">
        <v>24</v>
      </c>
      <c r="E432" t="s">
        <v>34</v>
      </c>
      <c r="F432" t="s">
        <v>241</v>
      </c>
      <c r="G432">
        <v>10</v>
      </c>
      <c r="H432">
        <v>24</v>
      </c>
      <c r="I432">
        <v>240</v>
      </c>
      <c r="J432" t="s">
        <v>15</v>
      </c>
    </row>
    <row r="433" spans="1:10" x14ac:dyDescent="0.3">
      <c r="A433" t="s">
        <v>501</v>
      </c>
      <c r="B433">
        <v>42012</v>
      </c>
      <c r="C433" t="s">
        <v>11</v>
      </c>
      <c r="D433" t="s">
        <v>12</v>
      </c>
      <c r="E433" t="s">
        <v>13</v>
      </c>
      <c r="F433" t="s">
        <v>113</v>
      </c>
      <c r="G433">
        <v>2.5</v>
      </c>
      <c r="H433">
        <v>350</v>
      </c>
      <c r="I433">
        <v>875</v>
      </c>
      <c r="J433" t="s">
        <v>26</v>
      </c>
    </row>
    <row r="434" spans="1:10" x14ac:dyDescent="0.3">
      <c r="A434" t="s">
        <v>318</v>
      </c>
      <c r="B434">
        <v>42012</v>
      </c>
      <c r="C434" t="s">
        <v>28</v>
      </c>
      <c r="D434" t="s">
        <v>12</v>
      </c>
      <c r="E434" t="s">
        <v>34</v>
      </c>
      <c r="F434" t="s">
        <v>188</v>
      </c>
      <c r="G434">
        <v>9.1999999999999993</v>
      </c>
      <c r="H434">
        <v>18</v>
      </c>
      <c r="I434">
        <v>165.6</v>
      </c>
      <c r="J434" t="s">
        <v>26</v>
      </c>
    </row>
    <row r="435" spans="1:10" x14ac:dyDescent="0.3">
      <c r="A435" t="s">
        <v>502</v>
      </c>
      <c r="B435">
        <v>42019</v>
      </c>
      <c r="C435" t="s">
        <v>31</v>
      </c>
      <c r="D435" t="s">
        <v>12</v>
      </c>
      <c r="E435" t="s">
        <v>17</v>
      </c>
      <c r="F435" t="s">
        <v>54</v>
      </c>
      <c r="G435">
        <v>15</v>
      </c>
      <c r="H435">
        <v>64</v>
      </c>
      <c r="I435">
        <v>960</v>
      </c>
      <c r="J435" t="s">
        <v>15</v>
      </c>
    </row>
    <row r="436" spans="1:10" x14ac:dyDescent="0.3">
      <c r="A436" t="s">
        <v>503</v>
      </c>
      <c r="B436">
        <v>42019</v>
      </c>
      <c r="C436" t="s">
        <v>11</v>
      </c>
      <c r="D436" t="s">
        <v>12</v>
      </c>
      <c r="E436" t="s">
        <v>21</v>
      </c>
      <c r="F436" t="s">
        <v>22</v>
      </c>
      <c r="G436">
        <v>15</v>
      </c>
      <c r="H436">
        <v>160</v>
      </c>
      <c r="I436">
        <v>2400</v>
      </c>
      <c r="J436" t="s">
        <v>15</v>
      </c>
    </row>
    <row r="437" spans="1:10" x14ac:dyDescent="0.3">
      <c r="A437" t="s">
        <v>504</v>
      </c>
      <c r="B437">
        <v>42019</v>
      </c>
      <c r="C437" t="s">
        <v>28</v>
      </c>
      <c r="D437" t="s">
        <v>12</v>
      </c>
      <c r="E437" t="s">
        <v>34</v>
      </c>
      <c r="F437" t="s">
        <v>64</v>
      </c>
      <c r="G437">
        <v>6</v>
      </c>
      <c r="H437">
        <v>6</v>
      </c>
      <c r="I437">
        <v>36</v>
      </c>
      <c r="J437" t="s">
        <v>15</v>
      </c>
    </row>
    <row r="438" spans="1:10" x14ac:dyDescent="0.3">
      <c r="A438" t="s">
        <v>505</v>
      </c>
      <c r="B438">
        <v>42019</v>
      </c>
      <c r="C438" t="s">
        <v>20</v>
      </c>
      <c r="D438" t="s">
        <v>12</v>
      </c>
      <c r="E438" t="s">
        <v>51</v>
      </c>
      <c r="F438" t="s">
        <v>138</v>
      </c>
      <c r="G438">
        <v>32.799999999999997</v>
      </c>
      <c r="H438">
        <v>105</v>
      </c>
      <c r="I438">
        <v>3443.9999999999995</v>
      </c>
      <c r="J438" t="s">
        <v>15</v>
      </c>
    </row>
    <row r="439" spans="1:10" x14ac:dyDescent="0.3">
      <c r="A439" t="s">
        <v>506</v>
      </c>
      <c r="B439">
        <v>42019</v>
      </c>
      <c r="C439" t="s">
        <v>11</v>
      </c>
      <c r="D439" t="s">
        <v>12</v>
      </c>
      <c r="E439" t="s">
        <v>21</v>
      </c>
      <c r="F439" t="s">
        <v>97</v>
      </c>
      <c r="G439">
        <v>13</v>
      </c>
      <c r="H439">
        <v>40</v>
      </c>
      <c r="I439">
        <v>520</v>
      </c>
      <c r="J439" t="s">
        <v>15</v>
      </c>
    </row>
    <row r="440" spans="1:10" x14ac:dyDescent="0.3">
      <c r="A440" t="s">
        <v>507</v>
      </c>
      <c r="B440">
        <v>42019</v>
      </c>
      <c r="C440" t="s">
        <v>11</v>
      </c>
      <c r="D440" t="s">
        <v>12</v>
      </c>
      <c r="E440" t="s">
        <v>34</v>
      </c>
      <c r="F440" t="s">
        <v>77</v>
      </c>
      <c r="G440">
        <v>31.23</v>
      </c>
      <c r="H440">
        <v>300</v>
      </c>
      <c r="I440">
        <v>9369</v>
      </c>
      <c r="J440" t="s">
        <v>15</v>
      </c>
    </row>
    <row r="441" spans="1:10" x14ac:dyDescent="0.3">
      <c r="A441" t="s">
        <v>508</v>
      </c>
      <c r="B441">
        <v>42019</v>
      </c>
      <c r="C441" t="s">
        <v>20</v>
      </c>
      <c r="D441" t="s">
        <v>12</v>
      </c>
      <c r="E441" t="s">
        <v>34</v>
      </c>
      <c r="F441" t="s">
        <v>188</v>
      </c>
      <c r="G441">
        <v>9.1999999999999993</v>
      </c>
      <c r="H441">
        <v>24</v>
      </c>
      <c r="I441">
        <v>220.79999999999998</v>
      </c>
      <c r="J441" t="s">
        <v>15</v>
      </c>
    </row>
    <row r="442" spans="1:10" x14ac:dyDescent="0.3">
      <c r="A442" t="s">
        <v>509</v>
      </c>
      <c r="B442">
        <v>42021</v>
      </c>
      <c r="C442" t="s">
        <v>11</v>
      </c>
      <c r="D442" t="s">
        <v>12</v>
      </c>
      <c r="E442" t="s">
        <v>13</v>
      </c>
      <c r="F442" t="s">
        <v>66</v>
      </c>
      <c r="G442">
        <v>55</v>
      </c>
      <c r="H442">
        <v>200</v>
      </c>
      <c r="I442">
        <v>11000</v>
      </c>
      <c r="J442" t="s">
        <v>26</v>
      </c>
    </row>
    <row r="443" spans="1:10" x14ac:dyDescent="0.3">
      <c r="A443" t="s">
        <v>510</v>
      </c>
      <c r="B443">
        <v>42021</v>
      </c>
      <c r="C443" t="s">
        <v>20</v>
      </c>
      <c r="D443" t="s">
        <v>12</v>
      </c>
      <c r="E443" t="s">
        <v>13</v>
      </c>
      <c r="F443" t="s">
        <v>99</v>
      </c>
      <c r="G443">
        <v>12.5</v>
      </c>
      <c r="H443">
        <v>112</v>
      </c>
      <c r="I443">
        <v>1400</v>
      </c>
      <c r="J443" t="s">
        <v>26</v>
      </c>
    </row>
    <row r="444" spans="1:10" x14ac:dyDescent="0.3">
      <c r="A444" t="s">
        <v>511</v>
      </c>
      <c r="B444">
        <v>42025</v>
      </c>
      <c r="C444" t="s">
        <v>11</v>
      </c>
      <c r="D444" t="s">
        <v>85</v>
      </c>
      <c r="E444" t="s">
        <v>34</v>
      </c>
      <c r="F444" t="s">
        <v>64</v>
      </c>
      <c r="G444">
        <v>33.25</v>
      </c>
      <c r="H444">
        <v>21</v>
      </c>
      <c r="I444">
        <v>698.25</v>
      </c>
      <c r="J444" t="s">
        <v>15</v>
      </c>
    </row>
    <row r="445" spans="1:10" x14ac:dyDescent="0.3">
      <c r="A445" t="s">
        <v>512</v>
      </c>
      <c r="B445">
        <v>42025</v>
      </c>
      <c r="C445" t="s">
        <v>11</v>
      </c>
      <c r="D445" t="s">
        <v>85</v>
      </c>
      <c r="E445" t="s">
        <v>13</v>
      </c>
      <c r="F445" t="s">
        <v>14</v>
      </c>
      <c r="G445">
        <v>38</v>
      </c>
      <c r="H445">
        <v>45</v>
      </c>
      <c r="I445">
        <v>1710</v>
      </c>
      <c r="J445" t="s">
        <v>15</v>
      </c>
    </row>
    <row r="446" spans="1:10" x14ac:dyDescent="0.3">
      <c r="A446" t="s">
        <v>513</v>
      </c>
      <c r="B446">
        <v>42033</v>
      </c>
      <c r="C446" t="s">
        <v>31</v>
      </c>
      <c r="D446" t="s">
        <v>45</v>
      </c>
      <c r="E446" t="s">
        <v>17</v>
      </c>
      <c r="F446" t="s">
        <v>18</v>
      </c>
      <c r="G446">
        <v>19</v>
      </c>
      <c r="H446">
        <v>50</v>
      </c>
      <c r="I446">
        <v>950</v>
      </c>
      <c r="J446" t="s">
        <v>26</v>
      </c>
    </row>
    <row r="447" spans="1:10" x14ac:dyDescent="0.3">
      <c r="A447" t="s">
        <v>514</v>
      </c>
      <c r="B447">
        <v>42033</v>
      </c>
      <c r="C447" t="s">
        <v>31</v>
      </c>
      <c r="D447" t="s">
        <v>45</v>
      </c>
      <c r="E447" t="s">
        <v>13</v>
      </c>
      <c r="F447" t="s">
        <v>14</v>
      </c>
      <c r="G447">
        <v>21</v>
      </c>
      <c r="H447">
        <v>48</v>
      </c>
      <c r="I447">
        <v>1008</v>
      </c>
      <c r="J447" t="s">
        <v>26</v>
      </c>
    </row>
    <row r="448" spans="1:10" x14ac:dyDescent="0.3">
      <c r="A448" t="s">
        <v>515</v>
      </c>
      <c r="B448">
        <v>42033</v>
      </c>
      <c r="C448" t="s">
        <v>31</v>
      </c>
      <c r="D448" t="s">
        <v>45</v>
      </c>
      <c r="E448" t="s">
        <v>13</v>
      </c>
      <c r="F448" t="s">
        <v>56</v>
      </c>
      <c r="G448">
        <v>34.799999999999997</v>
      </c>
      <c r="H448">
        <v>70</v>
      </c>
      <c r="I448">
        <v>2436</v>
      </c>
      <c r="J448" t="s">
        <v>26</v>
      </c>
    </row>
    <row r="449" spans="1:10" x14ac:dyDescent="0.3">
      <c r="A449" t="s">
        <v>516</v>
      </c>
      <c r="B449">
        <v>42043</v>
      </c>
      <c r="C449" t="s">
        <v>20</v>
      </c>
      <c r="D449" t="s">
        <v>12</v>
      </c>
      <c r="E449" t="s">
        <v>21</v>
      </c>
      <c r="F449" t="s">
        <v>87</v>
      </c>
      <c r="G449">
        <v>21.05</v>
      </c>
      <c r="H449">
        <v>280</v>
      </c>
      <c r="I449">
        <v>5894</v>
      </c>
      <c r="J449" t="s">
        <v>26</v>
      </c>
    </row>
    <row r="450" spans="1:10" x14ac:dyDescent="0.3">
      <c r="A450" t="s">
        <v>334</v>
      </c>
      <c r="B450">
        <v>42043</v>
      </c>
      <c r="C450" t="s">
        <v>20</v>
      </c>
      <c r="D450" t="s">
        <v>12</v>
      </c>
      <c r="E450" t="s">
        <v>13</v>
      </c>
      <c r="F450" t="s">
        <v>124</v>
      </c>
      <c r="G450">
        <v>21.5</v>
      </c>
      <c r="H450">
        <v>2</v>
      </c>
      <c r="I450">
        <v>43</v>
      </c>
      <c r="J450" t="s">
        <v>26</v>
      </c>
    </row>
    <row r="451" spans="1:10" x14ac:dyDescent="0.3">
      <c r="A451" t="s">
        <v>335</v>
      </c>
      <c r="B451">
        <v>42043</v>
      </c>
      <c r="C451" t="s">
        <v>28</v>
      </c>
      <c r="D451" t="s">
        <v>12</v>
      </c>
      <c r="E451" t="s">
        <v>34</v>
      </c>
      <c r="F451" t="s">
        <v>188</v>
      </c>
      <c r="G451">
        <v>9.1999999999999993</v>
      </c>
      <c r="H451">
        <v>40</v>
      </c>
      <c r="I451">
        <v>368</v>
      </c>
      <c r="J451" t="s">
        <v>26</v>
      </c>
    </row>
    <row r="452" spans="1:10" x14ac:dyDescent="0.3">
      <c r="A452" t="s">
        <v>517</v>
      </c>
      <c r="B452">
        <v>42046</v>
      </c>
      <c r="C452" t="s">
        <v>11</v>
      </c>
      <c r="D452" t="s">
        <v>24</v>
      </c>
      <c r="E452" t="s">
        <v>51</v>
      </c>
      <c r="F452" t="s">
        <v>81</v>
      </c>
      <c r="G452">
        <v>18.399999999999999</v>
      </c>
      <c r="H452">
        <v>200</v>
      </c>
      <c r="I452">
        <v>3679.9999999999995</v>
      </c>
      <c r="J452" t="s">
        <v>26</v>
      </c>
    </row>
    <row r="453" spans="1:10" x14ac:dyDescent="0.3">
      <c r="A453" t="s">
        <v>518</v>
      </c>
      <c r="B453">
        <v>42050</v>
      </c>
      <c r="C453" t="s">
        <v>11</v>
      </c>
      <c r="D453" t="s">
        <v>45</v>
      </c>
      <c r="E453" t="s">
        <v>17</v>
      </c>
      <c r="F453" t="s">
        <v>54</v>
      </c>
      <c r="G453">
        <v>15</v>
      </c>
      <c r="H453">
        <v>150</v>
      </c>
      <c r="I453">
        <v>2250</v>
      </c>
      <c r="J453" t="s">
        <v>26</v>
      </c>
    </row>
    <row r="454" spans="1:10" x14ac:dyDescent="0.3">
      <c r="A454" t="s">
        <v>338</v>
      </c>
      <c r="B454">
        <v>42050</v>
      </c>
      <c r="C454" t="s">
        <v>31</v>
      </c>
      <c r="D454" t="s">
        <v>45</v>
      </c>
      <c r="E454" t="s">
        <v>34</v>
      </c>
      <c r="F454" t="s">
        <v>339</v>
      </c>
      <c r="G454">
        <v>12.75</v>
      </c>
      <c r="H454">
        <v>135</v>
      </c>
      <c r="I454">
        <v>1721.25</v>
      </c>
      <c r="J454" t="s">
        <v>26</v>
      </c>
    </row>
    <row r="455" spans="1:10" x14ac:dyDescent="0.3">
      <c r="A455" t="s">
        <v>519</v>
      </c>
      <c r="B455">
        <v>42060</v>
      </c>
      <c r="C455" t="s">
        <v>28</v>
      </c>
      <c r="D455" t="s">
        <v>45</v>
      </c>
      <c r="E455" t="s">
        <v>17</v>
      </c>
      <c r="F455" t="s">
        <v>54</v>
      </c>
      <c r="G455">
        <v>9</v>
      </c>
      <c r="H455">
        <v>168</v>
      </c>
      <c r="I455">
        <v>1512</v>
      </c>
      <c r="J455" t="s">
        <v>15</v>
      </c>
    </row>
    <row r="456" spans="1:10" x14ac:dyDescent="0.3">
      <c r="A456" t="s">
        <v>520</v>
      </c>
      <c r="B456">
        <v>42060</v>
      </c>
      <c r="C456" t="s">
        <v>11</v>
      </c>
      <c r="D456" t="s">
        <v>45</v>
      </c>
      <c r="E456" t="s">
        <v>21</v>
      </c>
      <c r="F456" t="s">
        <v>22</v>
      </c>
      <c r="G456">
        <v>6</v>
      </c>
      <c r="H456">
        <v>10</v>
      </c>
      <c r="I456">
        <v>60</v>
      </c>
      <c r="J456" t="s">
        <v>15</v>
      </c>
    </row>
    <row r="457" spans="1:10" x14ac:dyDescent="0.3">
      <c r="A457" t="s">
        <v>342</v>
      </c>
      <c r="B457">
        <v>42063</v>
      </c>
      <c r="C457" t="s">
        <v>28</v>
      </c>
      <c r="D457" t="s">
        <v>12</v>
      </c>
      <c r="E457" t="s">
        <v>13</v>
      </c>
      <c r="F457" t="s">
        <v>14</v>
      </c>
      <c r="G457">
        <v>21</v>
      </c>
      <c r="H457">
        <v>10</v>
      </c>
      <c r="I457">
        <v>210</v>
      </c>
      <c r="J457" t="s">
        <v>15</v>
      </c>
    </row>
    <row r="458" spans="1:10" x14ac:dyDescent="0.3">
      <c r="A458" t="s">
        <v>521</v>
      </c>
      <c r="B458">
        <v>42063</v>
      </c>
      <c r="C458" t="s">
        <v>20</v>
      </c>
      <c r="D458" t="s">
        <v>12</v>
      </c>
      <c r="E458" t="s">
        <v>21</v>
      </c>
      <c r="F458" t="s">
        <v>22</v>
      </c>
      <c r="G458">
        <v>12</v>
      </c>
      <c r="H458">
        <v>10</v>
      </c>
      <c r="I458">
        <v>120</v>
      </c>
      <c r="J458" t="s">
        <v>15</v>
      </c>
    </row>
    <row r="459" spans="1:10" x14ac:dyDescent="0.3">
      <c r="A459" t="s">
        <v>522</v>
      </c>
      <c r="B459">
        <v>42067</v>
      </c>
      <c r="C459" t="s">
        <v>28</v>
      </c>
      <c r="D459" t="s">
        <v>45</v>
      </c>
      <c r="E459" t="s">
        <v>34</v>
      </c>
      <c r="F459" t="s">
        <v>64</v>
      </c>
      <c r="G459">
        <v>30</v>
      </c>
      <c r="H459">
        <v>300</v>
      </c>
      <c r="I459">
        <v>9000</v>
      </c>
      <c r="J459" t="s">
        <v>26</v>
      </c>
    </row>
    <row r="460" spans="1:10" x14ac:dyDescent="0.3">
      <c r="A460" t="s">
        <v>523</v>
      </c>
      <c r="B460">
        <v>42067</v>
      </c>
      <c r="C460" t="s">
        <v>11</v>
      </c>
      <c r="D460" t="s">
        <v>45</v>
      </c>
      <c r="E460" t="s">
        <v>51</v>
      </c>
      <c r="F460" t="s">
        <v>81</v>
      </c>
      <c r="G460">
        <v>38</v>
      </c>
      <c r="H460">
        <v>100</v>
      </c>
      <c r="I460">
        <v>3800</v>
      </c>
      <c r="J460" t="s">
        <v>26</v>
      </c>
    </row>
    <row r="461" spans="1:10" x14ac:dyDescent="0.3">
      <c r="A461" t="s">
        <v>524</v>
      </c>
      <c r="B461">
        <v>42068</v>
      </c>
      <c r="C461" t="s">
        <v>11</v>
      </c>
      <c r="D461" t="s">
        <v>45</v>
      </c>
      <c r="E461" t="s">
        <v>17</v>
      </c>
      <c r="F461" t="s">
        <v>128</v>
      </c>
      <c r="G461">
        <v>4.5</v>
      </c>
      <c r="H461">
        <v>480</v>
      </c>
      <c r="I461">
        <v>2160</v>
      </c>
      <c r="J461" t="s">
        <v>15</v>
      </c>
    </row>
    <row r="462" spans="1:10" x14ac:dyDescent="0.3">
      <c r="A462" t="s">
        <v>525</v>
      </c>
      <c r="B462">
        <v>42068</v>
      </c>
      <c r="C462" t="s">
        <v>20</v>
      </c>
      <c r="D462" t="s">
        <v>45</v>
      </c>
      <c r="E462" t="s">
        <v>21</v>
      </c>
      <c r="F462" t="s">
        <v>22</v>
      </c>
      <c r="G462">
        <v>53</v>
      </c>
      <c r="H462">
        <v>36</v>
      </c>
      <c r="I462">
        <v>1908</v>
      </c>
      <c r="J462" t="s">
        <v>15</v>
      </c>
    </row>
    <row r="463" spans="1:10" x14ac:dyDescent="0.3">
      <c r="A463" t="s">
        <v>526</v>
      </c>
      <c r="B463">
        <v>42069</v>
      </c>
      <c r="C463" t="s">
        <v>20</v>
      </c>
      <c r="D463" t="s">
        <v>45</v>
      </c>
      <c r="E463" t="s">
        <v>13</v>
      </c>
      <c r="F463" t="s">
        <v>113</v>
      </c>
      <c r="G463">
        <v>2.5</v>
      </c>
      <c r="H463">
        <v>60</v>
      </c>
      <c r="I463">
        <v>150</v>
      </c>
      <c r="J463" t="s">
        <v>26</v>
      </c>
    </row>
    <row r="464" spans="1:10" x14ac:dyDescent="0.3">
      <c r="A464" t="s">
        <v>527</v>
      </c>
      <c r="B464">
        <v>42069</v>
      </c>
      <c r="C464" t="s">
        <v>20</v>
      </c>
      <c r="D464" t="s">
        <v>45</v>
      </c>
      <c r="E464" t="s">
        <v>13</v>
      </c>
      <c r="F464" t="s">
        <v>124</v>
      </c>
      <c r="G464">
        <v>21.5</v>
      </c>
      <c r="H464">
        <v>96</v>
      </c>
      <c r="I464">
        <v>2064</v>
      </c>
      <c r="J464" t="s">
        <v>26</v>
      </c>
    </row>
    <row r="465" spans="1:10" x14ac:dyDescent="0.3">
      <c r="A465" t="s">
        <v>528</v>
      </c>
      <c r="B465">
        <v>42076</v>
      </c>
      <c r="C465" t="s">
        <v>31</v>
      </c>
      <c r="D465" t="s">
        <v>12</v>
      </c>
      <c r="E465" t="s">
        <v>13</v>
      </c>
      <c r="F465" t="s">
        <v>41</v>
      </c>
      <c r="G465">
        <v>34</v>
      </c>
      <c r="H465">
        <v>80</v>
      </c>
      <c r="I465">
        <v>2720</v>
      </c>
      <c r="J465" t="s">
        <v>26</v>
      </c>
    </row>
    <row r="466" spans="1:10" x14ac:dyDescent="0.3">
      <c r="A466" t="s">
        <v>529</v>
      </c>
      <c r="B466">
        <v>42076</v>
      </c>
      <c r="C466" t="s">
        <v>28</v>
      </c>
      <c r="D466" t="s">
        <v>12</v>
      </c>
      <c r="E466" t="s">
        <v>34</v>
      </c>
      <c r="F466" t="s">
        <v>75</v>
      </c>
      <c r="G466">
        <v>20</v>
      </c>
      <c r="H466">
        <v>240</v>
      </c>
      <c r="I466">
        <v>4800</v>
      </c>
      <c r="J466" t="s">
        <v>26</v>
      </c>
    </row>
    <row r="467" spans="1:10" x14ac:dyDescent="0.3">
      <c r="A467" t="s">
        <v>530</v>
      </c>
      <c r="B467">
        <v>42080</v>
      </c>
      <c r="C467" t="s">
        <v>11</v>
      </c>
      <c r="D467" t="s">
        <v>45</v>
      </c>
      <c r="E467" t="s">
        <v>51</v>
      </c>
      <c r="F467" t="s">
        <v>81</v>
      </c>
      <c r="G467">
        <v>53</v>
      </c>
      <c r="H467">
        <v>9</v>
      </c>
      <c r="I467">
        <v>477</v>
      </c>
      <c r="J467" t="s">
        <v>26</v>
      </c>
    </row>
    <row r="468" spans="1:10" x14ac:dyDescent="0.3">
      <c r="A468" t="s">
        <v>353</v>
      </c>
      <c r="B468">
        <v>42080</v>
      </c>
      <c r="C468" t="s">
        <v>31</v>
      </c>
      <c r="D468" t="s">
        <v>45</v>
      </c>
      <c r="E468" t="s">
        <v>17</v>
      </c>
      <c r="F468" t="s">
        <v>54</v>
      </c>
      <c r="G468">
        <v>18.399999999999999</v>
      </c>
      <c r="H468">
        <v>10</v>
      </c>
      <c r="I468">
        <v>184</v>
      </c>
      <c r="J468" t="s">
        <v>26</v>
      </c>
    </row>
    <row r="469" spans="1:10" x14ac:dyDescent="0.3">
      <c r="A469" t="s">
        <v>531</v>
      </c>
      <c r="B469">
        <v>42080</v>
      </c>
      <c r="C469" t="s">
        <v>31</v>
      </c>
      <c r="D469" t="s">
        <v>45</v>
      </c>
      <c r="E469" t="s">
        <v>34</v>
      </c>
      <c r="F469" t="s">
        <v>241</v>
      </c>
      <c r="G469">
        <v>10</v>
      </c>
      <c r="H469">
        <v>28</v>
      </c>
      <c r="I469">
        <v>280</v>
      </c>
      <c r="J469" t="s">
        <v>26</v>
      </c>
    </row>
    <row r="470" spans="1:10" x14ac:dyDescent="0.3">
      <c r="A470" t="s">
        <v>532</v>
      </c>
      <c r="B470">
        <v>42082</v>
      </c>
      <c r="C470" t="s">
        <v>31</v>
      </c>
      <c r="D470" t="s">
        <v>12</v>
      </c>
      <c r="E470" t="s">
        <v>51</v>
      </c>
      <c r="F470" t="s">
        <v>268</v>
      </c>
      <c r="G470">
        <v>7.45</v>
      </c>
      <c r="H470">
        <v>144</v>
      </c>
      <c r="I470">
        <v>1072.8</v>
      </c>
      <c r="J470" t="s">
        <v>26</v>
      </c>
    </row>
    <row r="471" spans="1:10" x14ac:dyDescent="0.3">
      <c r="A471" t="s">
        <v>533</v>
      </c>
      <c r="B471">
        <v>42082</v>
      </c>
      <c r="C471" t="s">
        <v>20</v>
      </c>
      <c r="D471" t="s">
        <v>12</v>
      </c>
      <c r="E471" t="s">
        <v>34</v>
      </c>
      <c r="F471" t="s">
        <v>188</v>
      </c>
      <c r="G471">
        <v>9.1999999999999993</v>
      </c>
      <c r="H471">
        <v>10</v>
      </c>
      <c r="I471">
        <v>92</v>
      </c>
      <c r="J471" t="s">
        <v>26</v>
      </c>
    </row>
    <row r="472" spans="1:10" x14ac:dyDescent="0.3">
      <c r="A472" t="s">
        <v>534</v>
      </c>
      <c r="B472">
        <v>42089</v>
      </c>
      <c r="C472" t="s">
        <v>20</v>
      </c>
      <c r="D472" t="s">
        <v>12</v>
      </c>
      <c r="E472" t="s">
        <v>17</v>
      </c>
      <c r="F472" t="s">
        <v>54</v>
      </c>
      <c r="G472">
        <v>38</v>
      </c>
      <c r="H472">
        <v>240</v>
      </c>
      <c r="I472">
        <v>9120</v>
      </c>
      <c r="J472" t="s">
        <v>26</v>
      </c>
    </row>
    <row r="473" spans="1:10" x14ac:dyDescent="0.3">
      <c r="A473" t="s">
        <v>535</v>
      </c>
      <c r="B473">
        <v>42091</v>
      </c>
      <c r="C473" t="s">
        <v>31</v>
      </c>
      <c r="D473" t="s">
        <v>12</v>
      </c>
      <c r="E473" t="s">
        <v>13</v>
      </c>
      <c r="F473" t="s">
        <v>99</v>
      </c>
      <c r="G473">
        <v>12.5</v>
      </c>
      <c r="H473">
        <v>120</v>
      </c>
      <c r="I473">
        <v>1500</v>
      </c>
      <c r="J473" t="s">
        <v>26</v>
      </c>
    </row>
    <row r="474" spans="1:10" x14ac:dyDescent="0.3">
      <c r="A474" t="s">
        <v>359</v>
      </c>
      <c r="B474">
        <v>42108</v>
      </c>
      <c r="C474" t="s">
        <v>28</v>
      </c>
      <c r="D474" t="s">
        <v>12</v>
      </c>
      <c r="E474" t="s">
        <v>17</v>
      </c>
      <c r="F474" t="s">
        <v>128</v>
      </c>
      <c r="G474">
        <v>4.5</v>
      </c>
      <c r="H474">
        <v>10</v>
      </c>
      <c r="I474">
        <v>45</v>
      </c>
      <c r="J474" t="s">
        <v>26</v>
      </c>
    </row>
    <row r="475" spans="1:10" x14ac:dyDescent="0.3">
      <c r="A475" t="s">
        <v>536</v>
      </c>
      <c r="B475">
        <v>42108</v>
      </c>
      <c r="C475" t="s">
        <v>28</v>
      </c>
      <c r="D475" t="s">
        <v>12</v>
      </c>
      <c r="E475" t="s">
        <v>13</v>
      </c>
      <c r="F475" t="s">
        <v>41</v>
      </c>
      <c r="G475">
        <v>34</v>
      </c>
      <c r="H475">
        <v>96</v>
      </c>
      <c r="I475">
        <v>3264</v>
      </c>
      <c r="J475" t="s">
        <v>26</v>
      </c>
    </row>
    <row r="476" spans="1:10" x14ac:dyDescent="0.3">
      <c r="A476" t="s">
        <v>537</v>
      </c>
      <c r="B476">
        <v>42108</v>
      </c>
      <c r="C476" t="s">
        <v>11</v>
      </c>
      <c r="D476" t="s">
        <v>12</v>
      </c>
      <c r="E476" t="s">
        <v>51</v>
      </c>
      <c r="F476" t="s">
        <v>81</v>
      </c>
      <c r="G476">
        <v>12</v>
      </c>
      <c r="H476">
        <v>36</v>
      </c>
      <c r="I476">
        <v>432</v>
      </c>
      <c r="J476" t="s">
        <v>26</v>
      </c>
    </row>
    <row r="477" spans="1:10" x14ac:dyDescent="0.3">
      <c r="A477" t="s">
        <v>538</v>
      </c>
      <c r="B477">
        <v>42108</v>
      </c>
      <c r="C477" t="s">
        <v>11</v>
      </c>
      <c r="D477" t="s">
        <v>12</v>
      </c>
      <c r="E477" t="s">
        <v>34</v>
      </c>
      <c r="F477" t="s">
        <v>136</v>
      </c>
      <c r="G477">
        <v>9.5</v>
      </c>
      <c r="H477">
        <v>54</v>
      </c>
      <c r="I477">
        <v>513</v>
      </c>
      <c r="J477" t="s">
        <v>26</v>
      </c>
    </row>
    <row r="478" spans="1:10" x14ac:dyDescent="0.3">
      <c r="A478" t="s">
        <v>539</v>
      </c>
      <c r="B478">
        <v>42111</v>
      </c>
      <c r="C478" t="s">
        <v>28</v>
      </c>
      <c r="D478" t="s">
        <v>45</v>
      </c>
      <c r="E478" t="s">
        <v>17</v>
      </c>
      <c r="F478" t="s">
        <v>54</v>
      </c>
      <c r="G478">
        <v>15</v>
      </c>
      <c r="H478">
        <v>30</v>
      </c>
      <c r="I478">
        <v>450</v>
      </c>
      <c r="J478" t="s">
        <v>26</v>
      </c>
    </row>
    <row r="479" spans="1:10" x14ac:dyDescent="0.3">
      <c r="A479" t="s">
        <v>540</v>
      </c>
      <c r="B479">
        <v>42111</v>
      </c>
      <c r="C479" t="s">
        <v>28</v>
      </c>
      <c r="D479" t="s">
        <v>45</v>
      </c>
      <c r="E479" t="s">
        <v>13</v>
      </c>
      <c r="F479" t="s">
        <v>14</v>
      </c>
      <c r="G479">
        <v>7</v>
      </c>
      <c r="H479">
        <v>60</v>
      </c>
      <c r="I479">
        <v>420</v>
      </c>
      <c r="J479" t="s">
        <v>26</v>
      </c>
    </row>
    <row r="480" spans="1:10" x14ac:dyDescent="0.3">
      <c r="A480" t="s">
        <v>541</v>
      </c>
      <c r="B480">
        <v>42111</v>
      </c>
      <c r="C480" t="s">
        <v>11</v>
      </c>
      <c r="D480" t="s">
        <v>45</v>
      </c>
      <c r="E480" t="s">
        <v>13</v>
      </c>
      <c r="F480" t="s">
        <v>66</v>
      </c>
      <c r="G480">
        <v>55</v>
      </c>
      <c r="H480">
        <v>16</v>
      </c>
      <c r="I480">
        <v>880</v>
      </c>
      <c r="J480" t="s">
        <v>26</v>
      </c>
    </row>
    <row r="481" spans="1:10" x14ac:dyDescent="0.3">
      <c r="A481" t="s">
        <v>542</v>
      </c>
      <c r="B481">
        <v>42116</v>
      </c>
      <c r="C481" t="s">
        <v>31</v>
      </c>
      <c r="D481" t="s">
        <v>24</v>
      </c>
      <c r="E481" t="s">
        <v>34</v>
      </c>
      <c r="F481" t="s">
        <v>64</v>
      </c>
      <c r="G481">
        <v>9.65</v>
      </c>
      <c r="H481">
        <v>90</v>
      </c>
      <c r="I481">
        <v>868.5</v>
      </c>
      <c r="J481" t="s">
        <v>26</v>
      </c>
    </row>
    <row r="482" spans="1:10" x14ac:dyDescent="0.3">
      <c r="A482" t="s">
        <v>543</v>
      </c>
      <c r="B482">
        <v>42116</v>
      </c>
      <c r="C482" t="s">
        <v>20</v>
      </c>
      <c r="D482" t="s">
        <v>24</v>
      </c>
      <c r="E482" t="s">
        <v>17</v>
      </c>
      <c r="F482" t="s">
        <v>72</v>
      </c>
      <c r="G482">
        <v>18</v>
      </c>
      <c r="H482">
        <v>18</v>
      </c>
      <c r="I482">
        <v>324</v>
      </c>
      <c r="J482" t="s">
        <v>26</v>
      </c>
    </row>
    <row r="483" spans="1:10" x14ac:dyDescent="0.3">
      <c r="A483" t="s">
        <v>544</v>
      </c>
      <c r="B483">
        <v>42116</v>
      </c>
      <c r="C483" t="s">
        <v>11</v>
      </c>
      <c r="D483" t="s">
        <v>24</v>
      </c>
      <c r="E483" t="s">
        <v>34</v>
      </c>
      <c r="F483" t="s">
        <v>43</v>
      </c>
      <c r="G483">
        <v>12.5</v>
      </c>
      <c r="H483">
        <v>240</v>
      </c>
      <c r="I483">
        <v>3000</v>
      </c>
      <c r="J483" t="s">
        <v>26</v>
      </c>
    </row>
    <row r="484" spans="1:10" x14ac:dyDescent="0.3">
      <c r="A484" t="s">
        <v>545</v>
      </c>
      <c r="B484">
        <v>42118</v>
      </c>
      <c r="C484" t="s">
        <v>28</v>
      </c>
      <c r="D484" t="s">
        <v>45</v>
      </c>
      <c r="E484" t="s">
        <v>51</v>
      </c>
      <c r="F484" t="s">
        <v>118</v>
      </c>
      <c r="G484">
        <v>39</v>
      </c>
      <c r="H484">
        <v>250</v>
      </c>
      <c r="I484">
        <v>9750</v>
      </c>
      <c r="J484" t="s">
        <v>26</v>
      </c>
    </row>
    <row r="485" spans="1:10" x14ac:dyDescent="0.3">
      <c r="A485" t="s">
        <v>546</v>
      </c>
      <c r="B485">
        <v>42118</v>
      </c>
      <c r="C485" t="s">
        <v>20</v>
      </c>
      <c r="D485" t="s">
        <v>45</v>
      </c>
      <c r="E485" t="s">
        <v>17</v>
      </c>
      <c r="F485" t="s">
        <v>54</v>
      </c>
      <c r="G485">
        <v>26</v>
      </c>
      <c r="H485">
        <v>72</v>
      </c>
      <c r="I485">
        <v>1872</v>
      </c>
      <c r="J485" t="s">
        <v>26</v>
      </c>
    </row>
    <row r="486" spans="1:10" x14ac:dyDescent="0.3">
      <c r="A486" t="s">
        <v>547</v>
      </c>
      <c r="B486">
        <v>42118</v>
      </c>
      <c r="C486" t="s">
        <v>28</v>
      </c>
      <c r="D486" t="s">
        <v>45</v>
      </c>
      <c r="E486" t="s">
        <v>13</v>
      </c>
      <c r="F486" t="s">
        <v>14</v>
      </c>
      <c r="G486">
        <v>9.65</v>
      </c>
      <c r="H486">
        <v>18</v>
      </c>
      <c r="I486">
        <v>173.70000000000002</v>
      </c>
      <c r="J486" t="s">
        <v>26</v>
      </c>
    </row>
    <row r="487" spans="1:10" x14ac:dyDescent="0.3">
      <c r="A487" t="s">
        <v>548</v>
      </c>
      <c r="B487">
        <v>42118</v>
      </c>
      <c r="C487" t="s">
        <v>20</v>
      </c>
      <c r="D487" t="s">
        <v>45</v>
      </c>
      <c r="E487" t="s">
        <v>34</v>
      </c>
      <c r="F487" t="s">
        <v>35</v>
      </c>
      <c r="G487">
        <v>81</v>
      </c>
      <c r="H487">
        <v>45</v>
      </c>
      <c r="I487">
        <v>3645</v>
      </c>
      <c r="J487" t="s">
        <v>26</v>
      </c>
    </row>
    <row r="488" spans="1:10" x14ac:dyDescent="0.3">
      <c r="A488" t="s">
        <v>549</v>
      </c>
      <c r="B488">
        <v>42125</v>
      </c>
      <c r="C488" t="s">
        <v>31</v>
      </c>
      <c r="D488" t="s">
        <v>24</v>
      </c>
      <c r="E488" t="s">
        <v>13</v>
      </c>
      <c r="F488" t="s">
        <v>66</v>
      </c>
      <c r="G488">
        <v>55</v>
      </c>
      <c r="H488">
        <v>300</v>
      </c>
      <c r="I488">
        <v>16500</v>
      </c>
      <c r="J488" t="s">
        <v>15</v>
      </c>
    </row>
    <row r="489" spans="1:10" x14ac:dyDescent="0.3">
      <c r="A489" t="s">
        <v>550</v>
      </c>
      <c r="B489">
        <v>42126</v>
      </c>
      <c r="C489" t="s">
        <v>28</v>
      </c>
      <c r="D489" t="s">
        <v>45</v>
      </c>
      <c r="E489" t="s">
        <v>21</v>
      </c>
      <c r="F489" t="s">
        <v>375</v>
      </c>
      <c r="G489">
        <v>17</v>
      </c>
      <c r="H489">
        <v>216</v>
      </c>
      <c r="I489">
        <v>3672</v>
      </c>
      <c r="J489" t="s">
        <v>26</v>
      </c>
    </row>
    <row r="490" spans="1:10" x14ac:dyDescent="0.3">
      <c r="A490" t="s">
        <v>551</v>
      </c>
      <c r="B490">
        <v>42126</v>
      </c>
      <c r="C490" t="s">
        <v>20</v>
      </c>
      <c r="D490" t="s">
        <v>45</v>
      </c>
      <c r="E490" t="s">
        <v>34</v>
      </c>
      <c r="F490" t="s">
        <v>64</v>
      </c>
      <c r="G490">
        <v>25.89</v>
      </c>
      <c r="H490">
        <v>150</v>
      </c>
      <c r="I490">
        <v>3883.5</v>
      </c>
      <c r="J490" t="s">
        <v>26</v>
      </c>
    </row>
    <row r="491" spans="1:10" x14ac:dyDescent="0.3">
      <c r="A491" t="s">
        <v>552</v>
      </c>
      <c r="B491">
        <v>42132</v>
      </c>
      <c r="C491" t="s">
        <v>28</v>
      </c>
      <c r="D491" t="s">
        <v>45</v>
      </c>
      <c r="E491" t="s">
        <v>17</v>
      </c>
      <c r="F491" t="s">
        <v>54</v>
      </c>
      <c r="G491">
        <v>15</v>
      </c>
      <c r="H491">
        <v>28</v>
      </c>
      <c r="I491">
        <v>420</v>
      </c>
      <c r="J491" t="s">
        <v>26</v>
      </c>
    </row>
    <row r="492" spans="1:10" x14ac:dyDescent="0.3">
      <c r="A492" t="s">
        <v>553</v>
      </c>
      <c r="B492">
        <v>42132</v>
      </c>
      <c r="C492" t="s">
        <v>11</v>
      </c>
      <c r="D492" t="s">
        <v>45</v>
      </c>
      <c r="E492" t="s">
        <v>13</v>
      </c>
      <c r="F492" t="s">
        <v>56</v>
      </c>
      <c r="G492">
        <v>34.799999999999997</v>
      </c>
      <c r="H492">
        <v>7</v>
      </c>
      <c r="I492">
        <v>243.59999999999997</v>
      </c>
      <c r="J492" t="s">
        <v>26</v>
      </c>
    </row>
    <row r="493" spans="1:10" x14ac:dyDescent="0.3">
      <c r="A493" t="s">
        <v>379</v>
      </c>
      <c r="B493">
        <v>42133</v>
      </c>
      <c r="C493" t="s">
        <v>20</v>
      </c>
      <c r="D493" t="s">
        <v>45</v>
      </c>
      <c r="E493" t="s">
        <v>13</v>
      </c>
      <c r="F493" t="s">
        <v>113</v>
      </c>
      <c r="G493">
        <v>2.5</v>
      </c>
      <c r="H493">
        <v>15</v>
      </c>
      <c r="I493">
        <v>37.5</v>
      </c>
      <c r="J493" t="s">
        <v>26</v>
      </c>
    </row>
    <row r="494" spans="1:10" x14ac:dyDescent="0.3">
      <c r="A494" t="s">
        <v>380</v>
      </c>
      <c r="B494">
        <v>42133</v>
      </c>
      <c r="C494" t="s">
        <v>28</v>
      </c>
      <c r="D494" t="s">
        <v>45</v>
      </c>
      <c r="E494" t="s">
        <v>34</v>
      </c>
      <c r="F494" t="s">
        <v>64</v>
      </c>
      <c r="G494">
        <v>6</v>
      </c>
      <c r="H494">
        <v>8</v>
      </c>
      <c r="I494">
        <v>48</v>
      </c>
      <c r="J494" t="s">
        <v>26</v>
      </c>
    </row>
    <row r="495" spans="1:10" x14ac:dyDescent="0.3">
      <c r="A495" t="s">
        <v>554</v>
      </c>
      <c r="B495">
        <v>42133</v>
      </c>
      <c r="C495" t="s">
        <v>20</v>
      </c>
      <c r="D495" t="s">
        <v>45</v>
      </c>
      <c r="E495" t="s">
        <v>34</v>
      </c>
      <c r="F495" t="s">
        <v>241</v>
      </c>
      <c r="G495">
        <v>10</v>
      </c>
      <c r="H495">
        <v>135</v>
      </c>
      <c r="I495">
        <v>1350</v>
      </c>
      <c r="J495" t="s">
        <v>26</v>
      </c>
    </row>
    <row r="496" spans="1:10" x14ac:dyDescent="0.3">
      <c r="A496" t="s">
        <v>382</v>
      </c>
      <c r="B496">
        <v>42133</v>
      </c>
      <c r="C496" t="s">
        <v>28</v>
      </c>
      <c r="D496" t="s">
        <v>45</v>
      </c>
      <c r="E496" t="s">
        <v>34</v>
      </c>
      <c r="F496" t="s">
        <v>75</v>
      </c>
      <c r="G496">
        <v>20</v>
      </c>
      <c r="H496">
        <v>6</v>
      </c>
      <c r="I496">
        <v>120</v>
      </c>
      <c r="J496" t="s">
        <v>26</v>
      </c>
    </row>
    <row r="497" spans="1:10" x14ac:dyDescent="0.3">
      <c r="A497" t="s">
        <v>555</v>
      </c>
      <c r="B497">
        <v>42136</v>
      </c>
      <c r="C497" t="s">
        <v>20</v>
      </c>
      <c r="D497" t="s">
        <v>24</v>
      </c>
      <c r="E497" t="s">
        <v>17</v>
      </c>
      <c r="F497" t="s">
        <v>32</v>
      </c>
      <c r="G497">
        <v>263.5</v>
      </c>
      <c r="H497">
        <v>12</v>
      </c>
      <c r="I497">
        <v>3162</v>
      </c>
      <c r="J497" t="s">
        <v>15</v>
      </c>
    </row>
    <row r="498" spans="1:10" x14ac:dyDescent="0.3">
      <c r="A498" t="s">
        <v>556</v>
      </c>
      <c r="B498">
        <v>42136</v>
      </c>
      <c r="C498" t="s">
        <v>20</v>
      </c>
      <c r="D498" t="s">
        <v>12</v>
      </c>
      <c r="E498" t="s">
        <v>17</v>
      </c>
      <c r="F498" t="s">
        <v>128</v>
      </c>
      <c r="G498">
        <v>4.5</v>
      </c>
      <c r="H498">
        <v>70</v>
      </c>
      <c r="I498">
        <v>315</v>
      </c>
      <c r="J498" t="s">
        <v>15</v>
      </c>
    </row>
    <row r="499" spans="1:10" x14ac:dyDescent="0.3">
      <c r="A499" t="s">
        <v>557</v>
      </c>
      <c r="B499">
        <v>42136</v>
      </c>
      <c r="C499" t="s">
        <v>31</v>
      </c>
      <c r="D499" t="s">
        <v>12</v>
      </c>
      <c r="E499" t="s">
        <v>21</v>
      </c>
      <c r="F499" t="s">
        <v>87</v>
      </c>
      <c r="G499">
        <v>21.05</v>
      </c>
      <c r="H499">
        <v>324</v>
      </c>
      <c r="I499">
        <v>6820.2</v>
      </c>
      <c r="J499" t="s">
        <v>15</v>
      </c>
    </row>
    <row r="500" spans="1:10" x14ac:dyDescent="0.3">
      <c r="A500" t="s">
        <v>558</v>
      </c>
      <c r="B500">
        <v>42140</v>
      </c>
      <c r="C500" t="s">
        <v>28</v>
      </c>
      <c r="D500" t="s">
        <v>45</v>
      </c>
      <c r="E500" t="s">
        <v>13</v>
      </c>
      <c r="F500" t="s">
        <v>121</v>
      </c>
      <c r="G500">
        <v>32</v>
      </c>
      <c r="H500">
        <v>96</v>
      </c>
      <c r="I500">
        <v>3072</v>
      </c>
      <c r="J500" t="s">
        <v>26</v>
      </c>
    </row>
    <row r="501" spans="1:10" x14ac:dyDescent="0.3">
      <c r="A501" t="s">
        <v>559</v>
      </c>
      <c r="B501">
        <v>42140</v>
      </c>
      <c r="C501" t="s">
        <v>11</v>
      </c>
      <c r="D501" t="s">
        <v>45</v>
      </c>
      <c r="E501" t="s">
        <v>21</v>
      </c>
      <c r="F501" t="s">
        <v>22</v>
      </c>
      <c r="G501">
        <v>19</v>
      </c>
      <c r="H501">
        <v>240</v>
      </c>
      <c r="I501">
        <v>4560</v>
      </c>
      <c r="J501" t="s">
        <v>26</v>
      </c>
    </row>
    <row r="502" spans="1:10" x14ac:dyDescent="0.3">
      <c r="A502" t="s">
        <v>560</v>
      </c>
      <c r="B502">
        <v>42145</v>
      </c>
      <c r="C502" t="s">
        <v>31</v>
      </c>
      <c r="D502" t="s">
        <v>85</v>
      </c>
      <c r="E502" t="s">
        <v>51</v>
      </c>
      <c r="F502" t="s">
        <v>118</v>
      </c>
      <c r="G502">
        <v>39</v>
      </c>
      <c r="H502">
        <v>80</v>
      </c>
      <c r="I502">
        <v>3120</v>
      </c>
      <c r="J502" t="s">
        <v>26</v>
      </c>
    </row>
    <row r="503" spans="1:10" x14ac:dyDescent="0.3">
      <c r="A503" t="s">
        <v>561</v>
      </c>
      <c r="B503">
        <v>42145</v>
      </c>
      <c r="C503" t="s">
        <v>20</v>
      </c>
      <c r="D503" t="s">
        <v>85</v>
      </c>
      <c r="E503" t="s">
        <v>21</v>
      </c>
      <c r="F503" t="s">
        <v>22</v>
      </c>
      <c r="G503">
        <v>28.5</v>
      </c>
      <c r="H503">
        <v>70</v>
      </c>
      <c r="I503">
        <v>1995</v>
      </c>
      <c r="J503" t="s">
        <v>26</v>
      </c>
    </row>
    <row r="504" spans="1:10" x14ac:dyDescent="0.3">
      <c r="A504" t="s">
        <v>562</v>
      </c>
      <c r="B504">
        <v>42145</v>
      </c>
      <c r="C504" t="s">
        <v>20</v>
      </c>
      <c r="D504" t="s">
        <v>85</v>
      </c>
      <c r="E504" t="s">
        <v>34</v>
      </c>
      <c r="F504" t="s">
        <v>188</v>
      </c>
      <c r="G504">
        <v>9.1999999999999993</v>
      </c>
      <c r="H504">
        <v>70</v>
      </c>
      <c r="I504">
        <v>644</v>
      </c>
      <c r="J504" t="s">
        <v>26</v>
      </c>
    </row>
    <row r="505" spans="1:10" x14ac:dyDescent="0.3">
      <c r="A505" t="s">
        <v>563</v>
      </c>
      <c r="B505">
        <v>42145</v>
      </c>
      <c r="C505" t="s">
        <v>31</v>
      </c>
      <c r="D505" t="s">
        <v>85</v>
      </c>
      <c r="E505" t="s">
        <v>34</v>
      </c>
      <c r="F505" t="s">
        <v>241</v>
      </c>
      <c r="G505">
        <v>10</v>
      </c>
      <c r="H505">
        <v>24</v>
      </c>
      <c r="I505">
        <v>240</v>
      </c>
      <c r="J505" t="s">
        <v>26</v>
      </c>
    </row>
    <row r="506" spans="1:10" x14ac:dyDescent="0.3">
      <c r="A506" t="s">
        <v>564</v>
      </c>
      <c r="B506">
        <v>42152</v>
      </c>
      <c r="C506" t="s">
        <v>20</v>
      </c>
      <c r="D506" t="s">
        <v>45</v>
      </c>
      <c r="E506" t="s">
        <v>51</v>
      </c>
      <c r="F506" t="s">
        <v>138</v>
      </c>
      <c r="G506">
        <v>32.799999999999997</v>
      </c>
      <c r="H506">
        <v>36</v>
      </c>
      <c r="I506">
        <v>1180.8</v>
      </c>
      <c r="J506" t="s">
        <v>26</v>
      </c>
    </row>
    <row r="507" spans="1:10" x14ac:dyDescent="0.3">
      <c r="A507" t="s">
        <v>565</v>
      </c>
      <c r="B507">
        <v>42152</v>
      </c>
      <c r="C507" t="s">
        <v>20</v>
      </c>
      <c r="D507" t="s">
        <v>45</v>
      </c>
      <c r="E507" t="s">
        <v>34</v>
      </c>
      <c r="F507" t="s">
        <v>64</v>
      </c>
      <c r="G507">
        <v>53</v>
      </c>
      <c r="H507">
        <v>80</v>
      </c>
      <c r="I507">
        <v>4240</v>
      </c>
      <c r="J507" t="s">
        <v>26</v>
      </c>
    </row>
    <row r="508" spans="1:10" x14ac:dyDescent="0.3">
      <c r="A508" t="s">
        <v>566</v>
      </c>
      <c r="B508">
        <v>42152</v>
      </c>
      <c r="C508" t="s">
        <v>11</v>
      </c>
      <c r="D508" t="s">
        <v>45</v>
      </c>
      <c r="E508" t="s">
        <v>13</v>
      </c>
      <c r="F508" t="s">
        <v>14</v>
      </c>
      <c r="G508">
        <v>7</v>
      </c>
      <c r="H508">
        <v>120</v>
      </c>
      <c r="I508">
        <v>840</v>
      </c>
      <c r="J508" t="s">
        <v>26</v>
      </c>
    </row>
    <row r="509" spans="1:10" x14ac:dyDescent="0.3">
      <c r="A509" t="s">
        <v>567</v>
      </c>
      <c r="B509">
        <v>42152</v>
      </c>
      <c r="C509" t="s">
        <v>28</v>
      </c>
      <c r="D509" t="s">
        <v>45</v>
      </c>
      <c r="E509" t="s">
        <v>17</v>
      </c>
      <c r="F509" t="s">
        <v>54</v>
      </c>
      <c r="G509">
        <v>15</v>
      </c>
      <c r="H509">
        <v>24</v>
      </c>
      <c r="I509">
        <v>360</v>
      </c>
      <c r="J509" t="s">
        <v>26</v>
      </c>
    </row>
    <row r="510" spans="1:10" x14ac:dyDescent="0.3">
      <c r="A510" t="s">
        <v>395</v>
      </c>
      <c r="B510">
        <v>42152</v>
      </c>
      <c r="C510" t="s">
        <v>11</v>
      </c>
      <c r="D510" t="s">
        <v>45</v>
      </c>
      <c r="E510" t="s">
        <v>34</v>
      </c>
      <c r="F510" t="s">
        <v>136</v>
      </c>
      <c r="G510">
        <v>9.5</v>
      </c>
      <c r="H510">
        <v>25</v>
      </c>
      <c r="I510">
        <v>237.5</v>
      </c>
      <c r="J510" t="s">
        <v>26</v>
      </c>
    </row>
    <row r="511" spans="1:10" x14ac:dyDescent="0.3">
      <c r="A511" t="s">
        <v>568</v>
      </c>
      <c r="B511">
        <v>42158</v>
      </c>
      <c r="C511" t="s">
        <v>28</v>
      </c>
      <c r="D511" t="s">
        <v>12</v>
      </c>
      <c r="E511" t="s">
        <v>51</v>
      </c>
      <c r="F511" t="s">
        <v>81</v>
      </c>
      <c r="G511">
        <v>7</v>
      </c>
      <c r="H511">
        <v>210</v>
      </c>
      <c r="I511">
        <v>1470</v>
      </c>
      <c r="J511" t="s">
        <v>26</v>
      </c>
    </row>
    <row r="512" spans="1:10" x14ac:dyDescent="0.3">
      <c r="A512" t="s">
        <v>569</v>
      </c>
      <c r="B512">
        <v>42158</v>
      </c>
      <c r="C512" t="s">
        <v>11</v>
      </c>
      <c r="D512" t="s">
        <v>12</v>
      </c>
      <c r="E512" t="s">
        <v>51</v>
      </c>
      <c r="F512" t="s">
        <v>81</v>
      </c>
      <c r="G512">
        <v>19</v>
      </c>
      <c r="H512">
        <v>75</v>
      </c>
      <c r="I512">
        <v>1425</v>
      </c>
      <c r="J512" t="s">
        <v>26</v>
      </c>
    </row>
    <row r="513" spans="1:10" x14ac:dyDescent="0.3">
      <c r="A513" t="s">
        <v>570</v>
      </c>
      <c r="B513">
        <v>42161</v>
      </c>
      <c r="C513" t="s">
        <v>20</v>
      </c>
      <c r="D513" t="s">
        <v>85</v>
      </c>
      <c r="E513" t="s">
        <v>34</v>
      </c>
      <c r="F513" t="s">
        <v>64</v>
      </c>
      <c r="G513">
        <v>31</v>
      </c>
      <c r="H513">
        <v>40</v>
      </c>
      <c r="I513">
        <v>1240</v>
      </c>
      <c r="J513" t="s">
        <v>26</v>
      </c>
    </row>
    <row r="514" spans="1:10" x14ac:dyDescent="0.3">
      <c r="A514" t="s">
        <v>399</v>
      </c>
      <c r="B514">
        <v>42172</v>
      </c>
      <c r="C514" t="s">
        <v>11</v>
      </c>
      <c r="D514" t="s">
        <v>45</v>
      </c>
      <c r="E514" t="s">
        <v>17</v>
      </c>
      <c r="F514" t="s">
        <v>72</v>
      </c>
      <c r="G514">
        <v>18</v>
      </c>
      <c r="H514">
        <v>20</v>
      </c>
      <c r="I514">
        <v>360</v>
      </c>
      <c r="J514" t="s">
        <v>26</v>
      </c>
    </row>
    <row r="515" spans="1:10" x14ac:dyDescent="0.3">
      <c r="A515" t="s">
        <v>571</v>
      </c>
      <c r="B515">
        <v>42172</v>
      </c>
      <c r="C515" t="s">
        <v>28</v>
      </c>
      <c r="D515" t="s">
        <v>45</v>
      </c>
      <c r="E515" t="s">
        <v>21</v>
      </c>
      <c r="F515" t="s">
        <v>22</v>
      </c>
      <c r="G515">
        <v>19.5</v>
      </c>
      <c r="H515">
        <v>12</v>
      </c>
      <c r="I515">
        <v>234</v>
      </c>
      <c r="J515" t="s">
        <v>26</v>
      </c>
    </row>
    <row r="516" spans="1:10" x14ac:dyDescent="0.3">
      <c r="A516" t="s">
        <v>572</v>
      </c>
      <c r="B516">
        <v>42174</v>
      </c>
      <c r="C516" t="s">
        <v>11</v>
      </c>
      <c r="D516" t="s">
        <v>12</v>
      </c>
      <c r="E516" t="s">
        <v>17</v>
      </c>
      <c r="F516" t="s">
        <v>25</v>
      </c>
      <c r="G516">
        <v>7.75</v>
      </c>
      <c r="H516">
        <v>100</v>
      </c>
      <c r="I516">
        <v>775</v>
      </c>
      <c r="J516" t="s">
        <v>15</v>
      </c>
    </row>
    <row r="517" spans="1:10" x14ac:dyDescent="0.3">
      <c r="A517" t="s">
        <v>402</v>
      </c>
      <c r="B517">
        <v>42179</v>
      </c>
      <c r="C517" t="s">
        <v>20</v>
      </c>
      <c r="D517" t="s">
        <v>12</v>
      </c>
      <c r="E517" t="s">
        <v>34</v>
      </c>
      <c r="F517" t="s">
        <v>136</v>
      </c>
      <c r="G517">
        <v>9.5</v>
      </c>
      <c r="H517">
        <v>75</v>
      </c>
      <c r="I517">
        <v>712.5</v>
      </c>
      <c r="J517" t="s">
        <v>15</v>
      </c>
    </row>
    <row r="518" spans="1:10" x14ac:dyDescent="0.3">
      <c r="A518" t="s">
        <v>573</v>
      </c>
      <c r="B518">
        <v>42180</v>
      </c>
      <c r="C518" t="s">
        <v>31</v>
      </c>
      <c r="D518" t="s">
        <v>12</v>
      </c>
      <c r="E518" t="s">
        <v>17</v>
      </c>
      <c r="F518" t="s">
        <v>72</v>
      </c>
      <c r="G518">
        <v>18</v>
      </c>
      <c r="H518">
        <v>40</v>
      </c>
      <c r="I518">
        <v>720</v>
      </c>
      <c r="J518" t="s">
        <v>15</v>
      </c>
    </row>
    <row r="519" spans="1:10" x14ac:dyDescent="0.3">
      <c r="A519" t="s">
        <v>574</v>
      </c>
      <c r="B519">
        <v>42180</v>
      </c>
      <c r="C519" t="s">
        <v>31</v>
      </c>
      <c r="D519" t="s">
        <v>12</v>
      </c>
      <c r="E519" t="s">
        <v>21</v>
      </c>
      <c r="F519" t="s">
        <v>97</v>
      </c>
      <c r="G519">
        <v>13</v>
      </c>
      <c r="H519">
        <v>160</v>
      </c>
      <c r="I519">
        <v>2080</v>
      </c>
      <c r="J519" t="s">
        <v>15</v>
      </c>
    </row>
    <row r="520" spans="1:10" x14ac:dyDescent="0.3">
      <c r="A520" t="s">
        <v>575</v>
      </c>
      <c r="B520">
        <v>42193</v>
      </c>
      <c r="C520" t="s">
        <v>31</v>
      </c>
      <c r="D520" t="s">
        <v>45</v>
      </c>
      <c r="E520" t="s">
        <v>34</v>
      </c>
      <c r="F520" t="s">
        <v>90</v>
      </c>
      <c r="G520">
        <v>49.3</v>
      </c>
      <c r="H520">
        <v>100</v>
      </c>
      <c r="I520">
        <v>4930</v>
      </c>
      <c r="J520" t="s">
        <v>26</v>
      </c>
    </row>
    <row r="521" spans="1:10" x14ac:dyDescent="0.3">
      <c r="A521" t="s">
        <v>576</v>
      </c>
      <c r="B521">
        <v>42200</v>
      </c>
      <c r="C521" t="s">
        <v>31</v>
      </c>
      <c r="D521" t="s">
        <v>12</v>
      </c>
      <c r="E521" t="s">
        <v>51</v>
      </c>
      <c r="F521" t="s">
        <v>81</v>
      </c>
      <c r="G521">
        <v>24</v>
      </c>
      <c r="H521">
        <v>180</v>
      </c>
      <c r="I521">
        <v>4320</v>
      </c>
      <c r="J521" t="s">
        <v>26</v>
      </c>
    </row>
    <row r="522" spans="1:10" x14ac:dyDescent="0.3">
      <c r="A522" t="s">
        <v>577</v>
      </c>
      <c r="B522">
        <v>42200</v>
      </c>
      <c r="C522" t="s">
        <v>31</v>
      </c>
      <c r="D522" t="s">
        <v>12</v>
      </c>
      <c r="E522" t="s">
        <v>21</v>
      </c>
      <c r="F522" t="s">
        <v>111</v>
      </c>
      <c r="G522">
        <v>22</v>
      </c>
      <c r="H522">
        <v>180</v>
      </c>
      <c r="I522">
        <v>3960</v>
      </c>
      <c r="J522" t="s">
        <v>26</v>
      </c>
    </row>
    <row r="523" spans="1:10" x14ac:dyDescent="0.3">
      <c r="A523" t="s">
        <v>578</v>
      </c>
      <c r="B523">
        <v>42200</v>
      </c>
      <c r="C523" t="s">
        <v>11</v>
      </c>
      <c r="D523" t="s">
        <v>12</v>
      </c>
      <c r="E523" t="s">
        <v>34</v>
      </c>
      <c r="F523" t="s">
        <v>90</v>
      </c>
      <c r="G523">
        <v>49.3</v>
      </c>
      <c r="H523">
        <v>80</v>
      </c>
      <c r="I523">
        <v>3944</v>
      </c>
      <c r="J523" t="s">
        <v>26</v>
      </c>
    </row>
    <row r="524" spans="1:10" x14ac:dyDescent="0.3">
      <c r="A524" t="s">
        <v>579</v>
      </c>
      <c r="B524">
        <v>42214</v>
      </c>
      <c r="C524" t="s">
        <v>11</v>
      </c>
      <c r="D524" t="s">
        <v>45</v>
      </c>
      <c r="E524" t="s">
        <v>17</v>
      </c>
      <c r="F524" t="s">
        <v>54</v>
      </c>
      <c r="G524">
        <v>15</v>
      </c>
      <c r="H524">
        <v>40</v>
      </c>
      <c r="I524">
        <v>600</v>
      </c>
      <c r="J524" t="s">
        <v>26</v>
      </c>
    </row>
    <row r="525" spans="1:10" x14ac:dyDescent="0.3">
      <c r="A525" t="s">
        <v>580</v>
      </c>
      <c r="B525">
        <v>42214</v>
      </c>
      <c r="C525" t="s">
        <v>31</v>
      </c>
      <c r="D525" t="s">
        <v>45</v>
      </c>
      <c r="E525" t="s">
        <v>13</v>
      </c>
      <c r="F525" t="s">
        <v>14</v>
      </c>
      <c r="G525">
        <v>9</v>
      </c>
      <c r="H525">
        <v>90</v>
      </c>
      <c r="I525">
        <v>810</v>
      </c>
      <c r="J525" t="s">
        <v>26</v>
      </c>
    </row>
    <row r="526" spans="1:10" x14ac:dyDescent="0.3">
      <c r="A526" t="s">
        <v>581</v>
      </c>
      <c r="B526">
        <v>42214</v>
      </c>
      <c r="C526" t="s">
        <v>11</v>
      </c>
      <c r="D526" t="s">
        <v>45</v>
      </c>
      <c r="E526" t="s">
        <v>13</v>
      </c>
      <c r="F526" t="s">
        <v>124</v>
      </c>
      <c r="G526">
        <v>21.5</v>
      </c>
      <c r="H526">
        <v>45</v>
      </c>
      <c r="I526">
        <v>967.5</v>
      </c>
      <c r="J526" t="s">
        <v>26</v>
      </c>
    </row>
    <row r="527" spans="1:10" x14ac:dyDescent="0.3">
      <c r="A527" t="s">
        <v>582</v>
      </c>
      <c r="B527">
        <v>42214</v>
      </c>
      <c r="C527" t="s">
        <v>28</v>
      </c>
      <c r="D527" t="s">
        <v>45</v>
      </c>
      <c r="E527" t="s">
        <v>34</v>
      </c>
      <c r="F527" t="s">
        <v>188</v>
      </c>
      <c r="G527">
        <v>9.1999999999999993</v>
      </c>
      <c r="H527">
        <v>50</v>
      </c>
      <c r="I527">
        <v>459.99999999999994</v>
      </c>
      <c r="J527" t="s">
        <v>26</v>
      </c>
    </row>
    <row r="528" spans="1:10" x14ac:dyDescent="0.3">
      <c r="A528" t="s">
        <v>583</v>
      </c>
      <c r="B528">
        <v>42215</v>
      </c>
      <c r="C528" t="s">
        <v>28</v>
      </c>
      <c r="D528" t="s">
        <v>12</v>
      </c>
      <c r="E528" t="s">
        <v>17</v>
      </c>
      <c r="F528" t="s">
        <v>18</v>
      </c>
      <c r="G528">
        <v>19</v>
      </c>
      <c r="H528">
        <v>120</v>
      </c>
      <c r="I528">
        <v>2280</v>
      </c>
      <c r="J528" t="s">
        <v>26</v>
      </c>
    </row>
    <row r="529" spans="1:10" x14ac:dyDescent="0.3">
      <c r="A529" t="s">
        <v>109</v>
      </c>
      <c r="B529">
        <v>42215</v>
      </c>
      <c r="C529" t="s">
        <v>31</v>
      </c>
      <c r="D529" t="s">
        <v>12</v>
      </c>
      <c r="E529" t="s">
        <v>34</v>
      </c>
      <c r="F529" t="s">
        <v>43</v>
      </c>
      <c r="G529">
        <v>12.5</v>
      </c>
      <c r="H529">
        <v>180</v>
      </c>
      <c r="I529">
        <v>2250</v>
      </c>
      <c r="J529" t="s">
        <v>26</v>
      </c>
    </row>
    <row r="530" spans="1:10" x14ac:dyDescent="0.3">
      <c r="A530" t="s">
        <v>584</v>
      </c>
      <c r="B530">
        <v>42221</v>
      </c>
      <c r="C530" t="s">
        <v>11</v>
      </c>
      <c r="D530" t="s">
        <v>85</v>
      </c>
      <c r="E530" t="s">
        <v>51</v>
      </c>
      <c r="F530" t="s">
        <v>52</v>
      </c>
      <c r="G530">
        <v>123.79</v>
      </c>
      <c r="H530">
        <v>100</v>
      </c>
      <c r="I530">
        <v>12379</v>
      </c>
      <c r="J530" t="s">
        <v>26</v>
      </c>
    </row>
    <row r="531" spans="1:10" x14ac:dyDescent="0.3">
      <c r="A531" t="s">
        <v>585</v>
      </c>
      <c r="B531">
        <v>42221</v>
      </c>
      <c r="C531" t="s">
        <v>20</v>
      </c>
      <c r="D531" t="s">
        <v>85</v>
      </c>
      <c r="E531" t="s">
        <v>51</v>
      </c>
      <c r="F531" t="s">
        <v>81</v>
      </c>
      <c r="G531">
        <v>33.25</v>
      </c>
      <c r="H531">
        <v>18</v>
      </c>
      <c r="I531">
        <v>598.5</v>
      </c>
      <c r="J531" t="s">
        <v>26</v>
      </c>
    </row>
    <row r="532" spans="1:10" x14ac:dyDescent="0.3">
      <c r="A532" t="s">
        <v>417</v>
      </c>
      <c r="B532">
        <v>42228</v>
      </c>
      <c r="C532" t="s">
        <v>11</v>
      </c>
      <c r="D532" t="s">
        <v>12</v>
      </c>
      <c r="E532" t="s">
        <v>51</v>
      </c>
      <c r="F532" t="s">
        <v>81</v>
      </c>
      <c r="G532">
        <v>38</v>
      </c>
      <c r="H532">
        <v>60</v>
      </c>
      <c r="I532">
        <v>2280</v>
      </c>
      <c r="J532" t="s">
        <v>15</v>
      </c>
    </row>
    <row r="533" spans="1:10" x14ac:dyDescent="0.3">
      <c r="A533" t="s">
        <v>586</v>
      </c>
      <c r="B533">
        <v>42228</v>
      </c>
      <c r="C533" t="s">
        <v>28</v>
      </c>
      <c r="D533" t="s">
        <v>12</v>
      </c>
      <c r="E533" t="s">
        <v>13</v>
      </c>
      <c r="F533" t="s">
        <v>14</v>
      </c>
      <c r="G533">
        <v>21</v>
      </c>
      <c r="H533">
        <v>100</v>
      </c>
      <c r="I533">
        <v>2100</v>
      </c>
      <c r="J533" t="s">
        <v>15</v>
      </c>
    </row>
    <row r="534" spans="1:10" x14ac:dyDescent="0.3">
      <c r="A534" t="s">
        <v>419</v>
      </c>
      <c r="B534">
        <v>42228</v>
      </c>
      <c r="C534" t="s">
        <v>31</v>
      </c>
      <c r="D534" t="s">
        <v>12</v>
      </c>
      <c r="E534" t="s">
        <v>34</v>
      </c>
      <c r="F534" t="s">
        <v>64</v>
      </c>
      <c r="G534">
        <v>16.25</v>
      </c>
      <c r="H534">
        <v>125</v>
      </c>
      <c r="I534">
        <v>2031.25</v>
      </c>
      <c r="J534" t="s">
        <v>15</v>
      </c>
    </row>
    <row r="535" spans="1:10" x14ac:dyDescent="0.3">
      <c r="A535" t="s">
        <v>587</v>
      </c>
      <c r="B535">
        <v>42234</v>
      </c>
      <c r="C535" t="s">
        <v>11</v>
      </c>
      <c r="D535" t="s">
        <v>12</v>
      </c>
      <c r="E535" t="s">
        <v>17</v>
      </c>
      <c r="F535" t="s">
        <v>29</v>
      </c>
      <c r="G535">
        <v>46</v>
      </c>
      <c r="H535">
        <v>100</v>
      </c>
      <c r="I535">
        <v>4600</v>
      </c>
      <c r="J535" t="s">
        <v>26</v>
      </c>
    </row>
    <row r="536" spans="1:10" x14ac:dyDescent="0.3">
      <c r="A536" t="s">
        <v>588</v>
      </c>
      <c r="B536">
        <v>42234</v>
      </c>
      <c r="C536" t="s">
        <v>11</v>
      </c>
      <c r="D536" t="s">
        <v>12</v>
      </c>
      <c r="E536" t="s">
        <v>17</v>
      </c>
      <c r="F536" t="s">
        <v>54</v>
      </c>
      <c r="G536">
        <v>12</v>
      </c>
      <c r="H536">
        <v>63</v>
      </c>
      <c r="I536">
        <v>756</v>
      </c>
      <c r="J536" t="s">
        <v>26</v>
      </c>
    </row>
    <row r="537" spans="1:10" x14ac:dyDescent="0.3">
      <c r="A537" t="s">
        <v>422</v>
      </c>
      <c r="B537">
        <v>42235</v>
      </c>
      <c r="C537" t="s">
        <v>20</v>
      </c>
      <c r="D537" t="s">
        <v>12</v>
      </c>
      <c r="E537" t="s">
        <v>13</v>
      </c>
      <c r="F537" t="s">
        <v>14</v>
      </c>
      <c r="G537">
        <v>19</v>
      </c>
      <c r="H537">
        <v>15</v>
      </c>
      <c r="I537">
        <v>285</v>
      </c>
      <c r="J537" t="s">
        <v>15</v>
      </c>
    </row>
    <row r="538" spans="1:10" x14ac:dyDescent="0.3">
      <c r="A538" t="s">
        <v>589</v>
      </c>
      <c r="B538">
        <v>42235</v>
      </c>
      <c r="C538" t="s">
        <v>31</v>
      </c>
      <c r="D538" t="s">
        <v>85</v>
      </c>
      <c r="E538" t="s">
        <v>17</v>
      </c>
      <c r="F538" t="s">
        <v>54</v>
      </c>
      <c r="G538">
        <v>62.5</v>
      </c>
      <c r="H538">
        <v>200</v>
      </c>
      <c r="I538">
        <v>12500</v>
      </c>
      <c r="J538" t="s">
        <v>15</v>
      </c>
    </row>
    <row r="539" spans="1:10" x14ac:dyDescent="0.3">
      <c r="A539" t="s">
        <v>424</v>
      </c>
      <c r="B539">
        <v>42236</v>
      </c>
      <c r="C539" t="s">
        <v>31</v>
      </c>
      <c r="D539" t="s">
        <v>12</v>
      </c>
      <c r="E539" t="s">
        <v>17</v>
      </c>
      <c r="F539" t="s">
        <v>37</v>
      </c>
      <c r="G539">
        <v>18</v>
      </c>
      <c r="H539">
        <v>20</v>
      </c>
      <c r="I539">
        <v>360</v>
      </c>
      <c r="J539" t="s">
        <v>26</v>
      </c>
    </row>
    <row r="540" spans="1:10" x14ac:dyDescent="0.3">
      <c r="A540" t="s">
        <v>590</v>
      </c>
      <c r="B540">
        <v>42236</v>
      </c>
      <c r="C540" t="s">
        <v>11</v>
      </c>
      <c r="D540" t="s">
        <v>12</v>
      </c>
      <c r="E540" t="s">
        <v>34</v>
      </c>
      <c r="F540" t="s">
        <v>188</v>
      </c>
      <c r="G540">
        <v>9.1999999999999993</v>
      </c>
      <c r="H540">
        <v>300</v>
      </c>
      <c r="I540">
        <v>2760</v>
      </c>
      <c r="J540" t="s">
        <v>26</v>
      </c>
    </row>
    <row r="541" spans="1:10" x14ac:dyDescent="0.3">
      <c r="A541" t="s">
        <v>591</v>
      </c>
      <c r="B541">
        <v>42237</v>
      </c>
      <c r="C541" t="s">
        <v>20</v>
      </c>
      <c r="D541" t="s">
        <v>12</v>
      </c>
      <c r="E541" t="s">
        <v>17</v>
      </c>
      <c r="F541" t="s">
        <v>128</v>
      </c>
      <c r="G541">
        <v>4.5</v>
      </c>
      <c r="H541">
        <v>90</v>
      </c>
      <c r="I541">
        <v>405</v>
      </c>
      <c r="J541" t="s">
        <v>26</v>
      </c>
    </row>
    <row r="542" spans="1:10" x14ac:dyDescent="0.3">
      <c r="A542" t="s">
        <v>592</v>
      </c>
      <c r="B542">
        <v>42237</v>
      </c>
      <c r="C542" t="s">
        <v>20</v>
      </c>
      <c r="D542" t="s">
        <v>12</v>
      </c>
      <c r="E542" t="s">
        <v>21</v>
      </c>
      <c r="F542" t="s">
        <v>22</v>
      </c>
      <c r="G542">
        <v>21</v>
      </c>
      <c r="H542">
        <v>105</v>
      </c>
      <c r="I542">
        <v>2205</v>
      </c>
      <c r="J542" t="s">
        <v>26</v>
      </c>
    </row>
    <row r="543" spans="1:10" x14ac:dyDescent="0.3">
      <c r="A543" t="s">
        <v>593</v>
      </c>
      <c r="B543">
        <v>42238</v>
      </c>
      <c r="C543" t="s">
        <v>20</v>
      </c>
      <c r="D543" t="s">
        <v>12</v>
      </c>
      <c r="E543" t="s">
        <v>51</v>
      </c>
      <c r="F543" t="s">
        <v>268</v>
      </c>
      <c r="G543">
        <v>7.45</v>
      </c>
      <c r="H543">
        <v>150</v>
      </c>
      <c r="I543">
        <v>1117.5</v>
      </c>
      <c r="J543" t="s">
        <v>26</v>
      </c>
    </row>
    <row r="544" spans="1:10" x14ac:dyDescent="0.3">
      <c r="A544" t="s">
        <v>594</v>
      </c>
      <c r="B544">
        <v>42238</v>
      </c>
      <c r="C544" t="s">
        <v>31</v>
      </c>
      <c r="D544" t="s">
        <v>12</v>
      </c>
      <c r="E544" t="s">
        <v>51</v>
      </c>
      <c r="F544" t="s">
        <v>138</v>
      </c>
      <c r="G544">
        <v>32.799999999999997</v>
      </c>
      <c r="H544">
        <v>250</v>
      </c>
      <c r="I544">
        <v>8200</v>
      </c>
      <c r="J544" t="s">
        <v>26</v>
      </c>
    </row>
    <row r="545" spans="1:10" x14ac:dyDescent="0.3">
      <c r="A545" t="s">
        <v>595</v>
      </c>
      <c r="B545">
        <v>42238</v>
      </c>
      <c r="C545" t="s">
        <v>20</v>
      </c>
      <c r="D545" t="s">
        <v>12</v>
      </c>
      <c r="E545" t="s">
        <v>17</v>
      </c>
      <c r="F545" t="s">
        <v>54</v>
      </c>
      <c r="G545">
        <v>25.89</v>
      </c>
      <c r="H545">
        <v>240</v>
      </c>
      <c r="I545">
        <v>6213.6</v>
      </c>
      <c r="J545" t="s">
        <v>26</v>
      </c>
    </row>
    <row r="546" spans="1:10" x14ac:dyDescent="0.3">
      <c r="A546" t="s">
        <v>596</v>
      </c>
      <c r="B546">
        <v>42241</v>
      </c>
      <c r="C546" t="s">
        <v>11</v>
      </c>
      <c r="D546" t="s">
        <v>12</v>
      </c>
      <c r="E546" t="s">
        <v>17</v>
      </c>
      <c r="F546" t="s">
        <v>54</v>
      </c>
      <c r="G546">
        <v>14</v>
      </c>
      <c r="H546">
        <v>140</v>
      </c>
      <c r="I546">
        <v>1960</v>
      </c>
      <c r="J546" t="s">
        <v>26</v>
      </c>
    </row>
    <row r="547" spans="1:10" x14ac:dyDescent="0.3">
      <c r="A547" t="s">
        <v>597</v>
      </c>
      <c r="B547">
        <v>42241</v>
      </c>
      <c r="C547" t="s">
        <v>31</v>
      </c>
      <c r="D547" t="s">
        <v>12</v>
      </c>
      <c r="E547" t="s">
        <v>21</v>
      </c>
      <c r="F547" t="s">
        <v>22</v>
      </c>
      <c r="G547">
        <v>25.89</v>
      </c>
      <c r="H547">
        <v>8</v>
      </c>
      <c r="I547">
        <v>207.12</v>
      </c>
      <c r="J547" t="s">
        <v>26</v>
      </c>
    </row>
    <row r="548" spans="1:10" x14ac:dyDescent="0.3">
      <c r="A548" t="s">
        <v>598</v>
      </c>
      <c r="B548">
        <v>42245</v>
      </c>
      <c r="C548" t="s">
        <v>11</v>
      </c>
      <c r="D548" t="s">
        <v>12</v>
      </c>
      <c r="E548" t="s">
        <v>17</v>
      </c>
      <c r="F548" t="s">
        <v>54</v>
      </c>
      <c r="G548">
        <v>15</v>
      </c>
      <c r="H548">
        <v>320</v>
      </c>
      <c r="I548">
        <v>4800</v>
      </c>
      <c r="J548" t="s">
        <v>26</v>
      </c>
    </row>
    <row r="549" spans="1:10" x14ac:dyDescent="0.3">
      <c r="A549" t="s">
        <v>535</v>
      </c>
      <c r="B549">
        <v>42245</v>
      </c>
      <c r="C549" t="s">
        <v>31</v>
      </c>
      <c r="D549" t="s">
        <v>12</v>
      </c>
      <c r="E549" t="s">
        <v>13</v>
      </c>
      <c r="F549" t="s">
        <v>99</v>
      </c>
      <c r="G549">
        <v>12.5</v>
      </c>
      <c r="H549">
        <v>40</v>
      </c>
      <c r="I549">
        <v>500</v>
      </c>
      <c r="J549" t="s">
        <v>26</v>
      </c>
    </row>
    <row r="550" spans="1:10" x14ac:dyDescent="0.3">
      <c r="A550" t="s">
        <v>599</v>
      </c>
      <c r="B550">
        <v>42245</v>
      </c>
      <c r="C550" t="s">
        <v>31</v>
      </c>
      <c r="D550" t="s">
        <v>12</v>
      </c>
      <c r="E550" t="s">
        <v>17</v>
      </c>
      <c r="F550" t="s">
        <v>54</v>
      </c>
      <c r="G550">
        <v>18.399999999999999</v>
      </c>
      <c r="H550">
        <v>48</v>
      </c>
      <c r="I550">
        <v>883.19999999999993</v>
      </c>
      <c r="J550" t="s">
        <v>26</v>
      </c>
    </row>
    <row r="551" spans="1:10" x14ac:dyDescent="0.3">
      <c r="A551" t="s">
        <v>600</v>
      </c>
      <c r="B551">
        <v>42258</v>
      </c>
      <c r="C551" t="s">
        <v>28</v>
      </c>
      <c r="D551" t="s">
        <v>45</v>
      </c>
      <c r="E551" t="s">
        <v>21</v>
      </c>
      <c r="F551" t="s">
        <v>22</v>
      </c>
      <c r="G551">
        <v>9</v>
      </c>
      <c r="H551">
        <v>35</v>
      </c>
      <c r="I551">
        <v>315</v>
      </c>
      <c r="J551" t="s">
        <v>26</v>
      </c>
    </row>
    <row r="552" spans="1:10" x14ac:dyDescent="0.3">
      <c r="A552" t="s">
        <v>601</v>
      </c>
      <c r="B552">
        <v>42269</v>
      </c>
      <c r="C552" t="s">
        <v>11</v>
      </c>
      <c r="D552" t="s">
        <v>12</v>
      </c>
      <c r="E552" t="s">
        <v>17</v>
      </c>
      <c r="F552" t="s">
        <v>54</v>
      </c>
      <c r="G552">
        <v>31</v>
      </c>
      <c r="H552">
        <v>120</v>
      </c>
      <c r="I552">
        <v>3720</v>
      </c>
      <c r="J552" t="s">
        <v>26</v>
      </c>
    </row>
    <row r="553" spans="1:10" x14ac:dyDescent="0.3">
      <c r="A553" t="s">
        <v>602</v>
      </c>
      <c r="B553">
        <v>42269</v>
      </c>
      <c r="C553" t="s">
        <v>20</v>
      </c>
      <c r="D553" t="s">
        <v>12</v>
      </c>
      <c r="E553" t="s">
        <v>34</v>
      </c>
      <c r="F553" t="s">
        <v>136</v>
      </c>
      <c r="G553">
        <v>9.5</v>
      </c>
      <c r="H553">
        <v>150</v>
      </c>
      <c r="I553">
        <v>1425</v>
      </c>
      <c r="J553" t="s">
        <v>26</v>
      </c>
    </row>
    <row r="554" spans="1:10" x14ac:dyDescent="0.3">
      <c r="A554" t="s">
        <v>603</v>
      </c>
      <c r="B554">
        <v>42272</v>
      </c>
      <c r="C554" t="s">
        <v>20</v>
      </c>
      <c r="D554" t="s">
        <v>12</v>
      </c>
      <c r="E554" t="s">
        <v>21</v>
      </c>
      <c r="F554" t="s">
        <v>97</v>
      </c>
      <c r="G554">
        <v>13</v>
      </c>
      <c r="H554">
        <v>240</v>
      </c>
      <c r="I554">
        <v>3120</v>
      </c>
      <c r="J554" t="s">
        <v>15</v>
      </c>
    </row>
    <row r="555" spans="1:10" x14ac:dyDescent="0.3">
      <c r="A555" t="s">
        <v>604</v>
      </c>
      <c r="B555">
        <v>42272</v>
      </c>
      <c r="C555" t="s">
        <v>31</v>
      </c>
      <c r="D555" t="s">
        <v>12</v>
      </c>
      <c r="E555" t="s">
        <v>51</v>
      </c>
      <c r="F555" t="s">
        <v>81</v>
      </c>
      <c r="G555">
        <v>38</v>
      </c>
      <c r="H555">
        <v>120</v>
      </c>
      <c r="I555">
        <v>4560</v>
      </c>
      <c r="J555" t="s">
        <v>15</v>
      </c>
    </row>
    <row r="556" spans="1:10" x14ac:dyDescent="0.3">
      <c r="A556" t="s">
        <v>605</v>
      </c>
      <c r="B556">
        <v>42284</v>
      </c>
      <c r="C556" t="s">
        <v>20</v>
      </c>
      <c r="D556" t="s">
        <v>12</v>
      </c>
      <c r="E556" t="s">
        <v>17</v>
      </c>
      <c r="F556" t="s">
        <v>128</v>
      </c>
      <c r="G556">
        <v>4.5</v>
      </c>
      <c r="H556">
        <v>105</v>
      </c>
      <c r="I556">
        <v>472.5</v>
      </c>
      <c r="J556" t="s">
        <v>15</v>
      </c>
    </row>
    <row r="557" spans="1:10" x14ac:dyDescent="0.3">
      <c r="A557" t="s">
        <v>606</v>
      </c>
      <c r="B557">
        <v>42284</v>
      </c>
      <c r="C557" t="s">
        <v>11</v>
      </c>
      <c r="D557" t="s">
        <v>12</v>
      </c>
      <c r="E557" t="s">
        <v>21</v>
      </c>
      <c r="F557" t="s">
        <v>111</v>
      </c>
      <c r="G557">
        <v>22</v>
      </c>
      <c r="H557">
        <v>18</v>
      </c>
      <c r="I557">
        <v>396</v>
      </c>
      <c r="J557" t="s">
        <v>15</v>
      </c>
    </row>
    <row r="558" spans="1:10" x14ac:dyDescent="0.3">
      <c r="A558" t="s">
        <v>607</v>
      </c>
      <c r="B558">
        <v>42284</v>
      </c>
      <c r="C558" t="s">
        <v>31</v>
      </c>
      <c r="D558" t="s">
        <v>12</v>
      </c>
      <c r="E558" t="s">
        <v>34</v>
      </c>
      <c r="F558" t="s">
        <v>339</v>
      </c>
      <c r="G558">
        <v>12.75</v>
      </c>
      <c r="H558">
        <v>120</v>
      </c>
      <c r="I558">
        <v>1530</v>
      </c>
      <c r="J558" t="s">
        <v>15</v>
      </c>
    </row>
    <row r="559" spans="1:10" x14ac:dyDescent="0.3">
      <c r="A559" t="s">
        <v>399</v>
      </c>
      <c r="B559">
        <v>42286</v>
      </c>
      <c r="C559" t="s">
        <v>11</v>
      </c>
      <c r="D559" t="s">
        <v>45</v>
      </c>
      <c r="E559" t="s">
        <v>17</v>
      </c>
      <c r="F559" t="s">
        <v>54</v>
      </c>
      <c r="G559">
        <v>15</v>
      </c>
      <c r="H559">
        <v>224</v>
      </c>
      <c r="I559">
        <v>3360</v>
      </c>
      <c r="J559" t="s">
        <v>26</v>
      </c>
    </row>
    <row r="560" spans="1:10" x14ac:dyDescent="0.3">
      <c r="A560" t="s">
        <v>608</v>
      </c>
      <c r="B560">
        <v>42286</v>
      </c>
      <c r="C560" t="s">
        <v>20</v>
      </c>
      <c r="D560" t="s">
        <v>45</v>
      </c>
      <c r="E560" t="s">
        <v>51</v>
      </c>
      <c r="F560" t="s">
        <v>81</v>
      </c>
      <c r="G560">
        <v>24</v>
      </c>
      <c r="H560">
        <v>63</v>
      </c>
      <c r="I560">
        <v>1512</v>
      </c>
      <c r="J560" t="s">
        <v>26</v>
      </c>
    </row>
    <row r="561" spans="1:10" x14ac:dyDescent="0.3">
      <c r="A561" t="s">
        <v>443</v>
      </c>
      <c r="B561">
        <v>42286</v>
      </c>
      <c r="C561" t="s">
        <v>11</v>
      </c>
      <c r="D561" t="s">
        <v>45</v>
      </c>
      <c r="E561" t="s">
        <v>34</v>
      </c>
      <c r="F561" t="s">
        <v>64</v>
      </c>
      <c r="G561">
        <v>19.5</v>
      </c>
      <c r="H561">
        <v>40</v>
      </c>
      <c r="I561">
        <v>780</v>
      </c>
      <c r="J561" t="s">
        <v>26</v>
      </c>
    </row>
    <row r="562" spans="1:10" x14ac:dyDescent="0.3">
      <c r="A562" t="s">
        <v>609</v>
      </c>
      <c r="B562">
        <v>42287</v>
      </c>
      <c r="C562" t="s">
        <v>11</v>
      </c>
      <c r="D562" t="s">
        <v>12</v>
      </c>
      <c r="E562" t="s">
        <v>21</v>
      </c>
      <c r="F562" t="s">
        <v>47</v>
      </c>
      <c r="G562">
        <v>40</v>
      </c>
      <c r="H562">
        <v>200</v>
      </c>
      <c r="I562">
        <v>8000</v>
      </c>
      <c r="J562" t="s">
        <v>26</v>
      </c>
    </row>
    <row r="563" spans="1:10" x14ac:dyDescent="0.3">
      <c r="A563" t="s">
        <v>610</v>
      </c>
      <c r="B563">
        <v>42287</v>
      </c>
      <c r="C563" t="s">
        <v>11</v>
      </c>
      <c r="D563" t="s">
        <v>12</v>
      </c>
      <c r="E563" t="s">
        <v>34</v>
      </c>
      <c r="F563" t="s">
        <v>64</v>
      </c>
      <c r="G563">
        <v>53</v>
      </c>
      <c r="H563">
        <v>168</v>
      </c>
      <c r="I563">
        <v>8904</v>
      </c>
      <c r="J563" t="s">
        <v>26</v>
      </c>
    </row>
    <row r="564" spans="1:10" x14ac:dyDescent="0.3">
      <c r="A564" t="s">
        <v>446</v>
      </c>
      <c r="B564">
        <v>42287</v>
      </c>
      <c r="C564" t="s">
        <v>20</v>
      </c>
      <c r="D564" t="s">
        <v>12</v>
      </c>
      <c r="E564" t="s">
        <v>13</v>
      </c>
      <c r="F564" t="s">
        <v>41</v>
      </c>
      <c r="G564">
        <v>34</v>
      </c>
      <c r="H564">
        <v>10</v>
      </c>
      <c r="I564">
        <v>340</v>
      </c>
      <c r="J564" t="s">
        <v>26</v>
      </c>
    </row>
    <row r="565" spans="1:10" x14ac:dyDescent="0.3">
      <c r="A565" t="s">
        <v>611</v>
      </c>
      <c r="B565">
        <v>42294</v>
      </c>
      <c r="C565" t="s">
        <v>28</v>
      </c>
      <c r="D565" t="s">
        <v>24</v>
      </c>
      <c r="E565" t="s">
        <v>21</v>
      </c>
      <c r="F565" t="s">
        <v>22</v>
      </c>
      <c r="G565">
        <v>28.5</v>
      </c>
      <c r="H565">
        <v>40</v>
      </c>
      <c r="I565">
        <v>1140</v>
      </c>
      <c r="J565" t="s">
        <v>26</v>
      </c>
    </row>
    <row r="566" spans="1:10" x14ac:dyDescent="0.3">
      <c r="A566" t="s">
        <v>612</v>
      </c>
      <c r="B566">
        <v>42294</v>
      </c>
      <c r="C566" t="s">
        <v>20</v>
      </c>
      <c r="D566" t="s">
        <v>24</v>
      </c>
      <c r="E566" t="s">
        <v>34</v>
      </c>
      <c r="F566" t="s">
        <v>241</v>
      </c>
      <c r="G566">
        <v>10</v>
      </c>
      <c r="H566">
        <v>20</v>
      </c>
      <c r="I566">
        <v>200</v>
      </c>
      <c r="J566" t="s">
        <v>26</v>
      </c>
    </row>
    <row r="567" spans="1:10" x14ac:dyDescent="0.3">
      <c r="A567" t="s">
        <v>613</v>
      </c>
      <c r="B567">
        <v>42298</v>
      </c>
      <c r="C567" t="s">
        <v>28</v>
      </c>
      <c r="D567" t="s">
        <v>12</v>
      </c>
      <c r="E567" t="s">
        <v>17</v>
      </c>
      <c r="F567" t="s">
        <v>72</v>
      </c>
      <c r="G567">
        <v>18</v>
      </c>
      <c r="H567">
        <v>84</v>
      </c>
      <c r="I567">
        <v>1512</v>
      </c>
      <c r="J567" t="s">
        <v>26</v>
      </c>
    </row>
    <row r="568" spans="1:10" x14ac:dyDescent="0.3">
      <c r="A568" t="s">
        <v>614</v>
      </c>
      <c r="B568">
        <v>42298</v>
      </c>
      <c r="C568" t="s">
        <v>11</v>
      </c>
      <c r="D568" t="s">
        <v>12</v>
      </c>
      <c r="E568" t="s">
        <v>13</v>
      </c>
      <c r="F568" t="s">
        <v>124</v>
      </c>
      <c r="G568">
        <v>21.5</v>
      </c>
      <c r="H568">
        <v>24</v>
      </c>
      <c r="I568">
        <v>516</v>
      </c>
      <c r="J568" t="s">
        <v>26</v>
      </c>
    </row>
    <row r="569" spans="1:10" x14ac:dyDescent="0.3">
      <c r="A569" t="s">
        <v>615</v>
      </c>
      <c r="B569">
        <v>42301</v>
      </c>
      <c r="C569" t="s">
        <v>11</v>
      </c>
      <c r="D569" t="s">
        <v>12</v>
      </c>
      <c r="E569" t="s">
        <v>51</v>
      </c>
      <c r="F569" t="s">
        <v>81</v>
      </c>
      <c r="G569">
        <v>24</v>
      </c>
      <c r="H569">
        <v>30</v>
      </c>
      <c r="I569">
        <v>720</v>
      </c>
      <c r="J569" t="s">
        <v>26</v>
      </c>
    </row>
    <row r="570" spans="1:10" x14ac:dyDescent="0.3">
      <c r="A570" t="s">
        <v>452</v>
      </c>
      <c r="B570">
        <v>42301</v>
      </c>
      <c r="C570" t="s">
        <v>20</v>
      </c>
      <c r="D570" t="s">
        <v>12</v>
      </c>
      <c r="E570" t="s">
        <v>51</v>
      </c>
      <c r="F570" t="s">
        <v>81</v>
      </c>
      <c r="G570">
        <v>7</v>
      </c>
      <c r="H570">
        <v>4</v>
      </c>
      <c r="I570">
        <v>28</v>
      </c>
      <c r="J570" t="s">
        <v>26</v>
      </c>
    </row>
    <row r="571" spans="1:10" x14ac:dyDescent="0.3">
      <c r="A571" t="s">
        <v>616</v>
      </c>
      <c r="B571">
        <v>42301</v>
      </c>
      <c r="C571" t="s">
        <v>28</v>
      </c>
      <c r="D571" t="s">
        <v>12</v>
      </c>
      <c r="E571" t="s">
        <v>51</v>
      </c>
      <c r="F571" t="s">
        <v>81</v>
      </c>
      <c r="G571">
        <v>9.65</v>
      </c>
      <c r="H571">
        <v>120</v>
      </c>
      <c r="I571">
        <v>1158</v>
      </c>
      <c r="J571" t="s">
        <v>26</v>
      </c>
    </row>
    <row r="572" spans="1:10" x14ac:dyDescent="0.3">
      <c r="A572" t="s">
        <v>617</v>
      </c>
      <c r="B572">
        <v>42304</v>
      </c>
      <c r="C572" t="s">
        <v>28</v>
      </c>
      <c r="D572" t="s">
        <v>45</v>
      </c>
      <c r="E572" t="s">
        <v>13</v>
      </c>
      <c r="F572" t="s">
        <v>14</v>
      </c>
      <c r="G572">
        <v>21</v>
      </c>
      <c r="H572">
        <v>50</v>
      </c>
      <c r="I572">
        <v>1050</v>
      </c>
      <c r="J572" t="s">
        <v>15</v>
      </c>
    </row>
    <row r="573" spans="1:10" x14ac:dyDescent="0.3">
      <c r="A573" t="s">
        <v>618</v>
      </c>
      <c r="B573">
        <v>42305</v>
      </c>
      <c r="C573" t="s">
        <v>28</v>
      </c>
      <c r="D573" t="s">
        <v>12</v>
      </c>
      <c r="E573" t="s">
        <v>51</v>
      </c>
      <c r="F573" t="s">
        <v>81</v>
      </c>
      <c r="G573">
        <v>24</v>
      </c>
      <c r="H573">
        <v>96</v>
      </c>
      <c r="I573">
        <v>2304</v>
      </c>
      <c r="J573" t="s">
        <v>26</v>
      </c>
    </row>
    <row r="574" spans="1:10" x14ac:dyDescent="0.3">
      <c r="A574" t="s">
        <v>619</v>
      </c>
      <c r="B574">
        <v>42305</v>
      </c>
      <c r="C574" t="s">
        <v>28</v>
      </c>
      <c r="D574" t="s">
        <v>12</v>
      </c>
      <c r="E574" t="s">
        <v>21</v>
      </c>
      <c r="F574" t="s">
        <v>22</v>
      </c>
      <c r="G574">
        <v>25.89</v>
      </c>
      <c r="H574">
        <v>105</v>
      </c>
      <c r="I574">
        <v>2718.4500000000003</v>
      </c>
      <c r="J574" t="s">
        <v>26</v>
      </c>
    </row>
    <row r="575" spans="1:10" x14ac:dyDescent="0.3">
      <c r="A575" t="s">
        <v>620</v>
      </c>
      <c r="B575">
        <v>42305</v>
      </c>
      <c r="C575" t="s">
        <v>11</v>
      </c>
      <c r="D575" t="s">
        <v>12</v>
      </c>
      <c r="E575" t="s">
        <v>51</v>
      </c>
      <c r="F575" t="s">
        <v>81</v>
      </c>
      <c r="G575">
        <v>18.399999999999999</v>
      </c>
      <c r="H575">
        <v>42</v>
      </c>
      <c r="I575">
        <v>772.8</v>
      </c>
      <c r="J575" t="s">
        <v>26</v>
      </c>
    </row>
    <row r="576" spans="1:10" x14ac:dyDescent="0.3">
      <c r="A576" t="s">
        <v>621</v>
      </c>
      <c r="B576">
        <v>42308</v>
      </c>
      <c r="C576" t="s">
        <v>20</v>
      </c>
      <c r="D576" t="s">
        <v>12</v>
      </c>
      <c r="E576" t="s">
        <v>17</v>
      </c>
      <c r="F576" t="s">
        <v>134</v>
      </c>
      <c r="G576">
        <v>18</v>
      </c>
      <c r="H576">
        <v>200</v>
      </c>
      <c r="I576">
        <v>3600</v>
      </c>
      <c r="J576" t="s">
        <v>26</v>
      </c>
    </row>
    <row r="577" spans="1:10" x14ac:dyDescent="0.3">
      <c r="A577" t="s">
        <v>622</v>
      </c>
      <c r="B577">
        <v>42308</v>
      </c>
      <c r="C577" t="s">
        <v>11</v>
      </c>
      <c r="D577" t="s">
        <v>12</v>
      </c>
      <c r="E577" t="s">
        <v>21</v>
      </c>
      <c r="F577" t="s">
        <v>39</v>
      </c>
      <c r="G577">
        <v>25</v>
      </c>
      <c r="H577">
        <v>240</v>
      </c>
      <c r="I577">
        <v>6000</v>
      </c>
      <c r="J577" t="s">
        <v>26</v>
      </c>
    </row>
    <row r="578" spans="1:10" x14ac:dyDescent="0.3">
      <c r="A578" t="s">
        <v>623</v>
      </c>
      <c r="B578">
        <v>42308</v>
      </c>
      <c r="C578" t="s">
        <v>20</v>
      </c>
      <c r="D578" t="s">
        <v>12</v>
      </c>
      <c r="E578" t="s">
        <v>13</v>
      </c>
      <c r="F578" t="s">
        <v>14</v>
      </c>
      <c r="G578">
        <v>25.89</v>
      </c>
      <c r="H578">
        <v>90</v>
      </c>
      <c r="I578">
        <v>2330.1</v>
      </c>
      <c r="J578" t="s">
        <v>26</v>
      </c>
    </row>
    <row r="579" spans="1:10" x14ac:dyDescent="0.3">
      <c r="A579" t="s">
        <v>624</v>
      </c>
      <c r="B579">
        <v>42321</v>
      </c>
      <c r="C579" t="s">
        <v>31</v>
      </c>
      <c r="D579" t="s">
        <v>45</v>
      </c>
      <c r="E579" t="s">
        <v>17</v>
      </c>
      <c r="F579" t="s">
        <v>134</v>
      </c>
      <c r="G579">
        <v>18</v>
      </c>
      <c r="H579">
        <v>60</v>
      </c>
      <c r="I579">
        <v>1080</v>
      </c>
      <c r="J579" t="s">
        <v>26</v>
      </c>
    </row>
    <row r="580" spans="1:10" x14ac:dyDescent="0.3">
      <c r="A580" t="s">
        <v>625</v>
      </c>
      <c r="B580">
        <v>42321</v>
      </c>
      <c r="C580" t="s">
        <v>11</v>
      </c>
      <c r="D580" t="s">
        <v>45</v>
      </c>
      <c r="E580" t="s">
        <v>34</v>
      </c>
      <c r="F580" t="s">
        <v>64</v>
      </c>
      <c r="G580">
        <v>38</v>
      </c>
      <c r="H580">
        <v>30</v>
      </c>
      <c r="I580">
        <v>1140</v>
      </c>
      <c r="J580" t="s">
        <v>26</v>
      </c>
    </row>
    <row r="581" spans="1:10" x14ac:dyDescent="0.3">
      <c r="A581" t="s">
        <v>626</v>
      </c>
      <c r="B581">
        <v>42321</v>
      </c>
      <c r="C581" t="s">
        <v>28</v>
      </c>
      <c r="D581" t="s">
        <v>45</v>
      </c>
      <c r="E581" t="s">
        <v>13</v>
      </c>
      <c r="F581" t="s">
        <v>66</v>
      </c>
      <c r="G581">
        <v>55</v>
      </c>
      <c r="H581">
        <v>36</v>
      </c>
      <c r="I581">
        <v>1980</v>
      </c>
      <c r="J581" t="s">
        <v>26</v>
      </c>
    </row>
    <row r="582" spans="1:10" x14ac:dyDescent="0.3">
      <c r="A582" t="s">
        <v>627</v>
      </c>
      <c r="B582">
        <v>42325</v>
      </c>
      <c r="C582" t="s">
        <v>28</v>
      </c>
      <c r="D582" t="s">
        <v>45</v>
      </c>
      <c r="E582" t="s">
        <v>17</v>
      </c>
      <c r="F582" t="s">
        <v>79</v>
      </c>
      <c r="G582">
        <v>18</v>
      </c>
      <c r="H582">
        <v>32</v>
      </c>
      <c r="I582">
        <v>576</v>
      </c>
      <c r="J582" t="s">
        <v>26</v>
      </c>
    </row>
    <row r="583" spans="1:10" x14ac:dyDescent="0.3">
      <c r="A583" t="s">
        <v>628</v>
      </c>
      <c r="B583">
        <v>42325</v>
      </c>
      <c r="C583" t="s">
        <v>11</v>
      </c>
      <c r="D583" t="s">
        <v>45</v>
      </c>
      <c r="E583" t="s">
        <v>13</v>
      </c>
      <c r="F583" t="s">
        <v>186</v>
      </c>
      <c r="G583">
        <v>36</v>
      </c>
      <c r="H583">
        <v>15</v>
      </c>
      <c r="I583">
        <v>540</v>
      </c>
      <c r="J583" t="s">
        <v>26</v>
      </c>
    </row>
    <row r="584" spans="1:10" x14ac:dyDescent="0.3">
      <c r="A584" t="s">
        <v>629</v>
      </c>
      <c r="B584">
        <v>42339</v>
      </c>
      <c r="C584" t="s">
        <v>28</v>
      </c>
      <c r="D584" t="s">
        <v>45</v>
      </c>
      <c r="E584" t="s">
        <v>13</v>
      </c>
      <c r="F584" t="s">
        <v>14</v>
      </c>
      <c r="G584">
        <v>21</v>
      </c>
      <c r="H584">
        <v>16</v>
      </c>
      <c r="I584">
        <v>336</v>
      </c>
      <c r="J584" t="s">
        <v>26</v>
      </c>
    </row>
    <row r="585" spans="1:10" x14ac:dyDescent="0.3">
      <c r="A585" t="s">
        <v>630</v>
      </c>
      <c r="B585">
        <v>42339</v>
      </c>
      <c r="C585" t="s">
        <v>11</v>
      </c>
      <c r="D585" t="s">
        <v>45</v>
      </c>
      <c r="E585" t="s">
        <v>13</v>
      </c>
      <c r="F585" t="s">
        <v>99</v>
      </c>
      <c r="G585">
        <v>12.5</v>
      </c>
      <c r="H585">
        <v>150</v>
      </c>
      <c r="I585">
        <v>1875</v>
      </c>
      <c r="J585" t="s">
        <v>26</v>
      </c>
    </row>
    <row r="586" spans="1:10" x14ac:dyDescent="0.3">
      <c r="A586" t="s">
        <v>631</v>
      </c>
      <c r="B586">
        <v>42339</v>
      </c>
      <c r="C586" t="s">
        <v>28</v>
      </c>
      <c r="D586" t="s">
        <v>45</v>
      </c>
      <c r="E586" t="s">
        <v>13</v>
      </c>
      <c r="F586" t="s">
        <v>124</v>
      </c>
      <c r="G586">
        <v>21.5</v>
      </c>
      <c r="H586">
        <v>108</v>
      </c>
      <c r="I586">
        <v>2322</v>
      </c>
      <c r="J586" t="s">
        <v>26</v>
      </c>
    </row>
    <row r="587" spans="1:10" x14ac:dyDescent="0.3">
      <c r="A587" t="s">
        <v>632</v>
      </c>
      <c r="B587">
        <v>42340</v>
      </c>
      <c r="C587" t="s">
        <v>20</v>
      </c>
      <c r="D587" t="s">
        <v>12</v>
      </c>
      <c r="E587" t="s">
        <v>13</v>
      </c>
      <c r="F587" t="s">
        <v>14</v>
      </c>
      <c r="G587">
        <v>21</v>
      </c>
      <c r="H587">
        <v>45</v>
      </c>
      <c r="I587">
        <v>945</v>
      </c>
      <c r="J587" t="s">
        <v>26</v>
      </c>
    </row>
    <row r="588" spans="1:10" x14ac:dyDescent="0.3">
      <c r="A588" t="s">
        <v>633</v>
      </c>
      <c r="B588">
        <v>42346</v>
      </c>
      <c r="C588" t="s">
        <v>20</v>
      </c>
      <c r="D588" t="s">
        <v>12</v>
      </c>
      <c r="E588" t="s">
        <v>51</v>
      </c>
      <c r="F588" t="s">
        <v>81</v>
      </c>
      <c r="G588">
        <v>14</v>
      </c>
      <c r="H588">
        <v>100</v>
      </c>
      <c r="I588">
        <v>1400</v>
      </c>
      <c r="J588" t="s">
        <v>26</v>
      </c>
    </row>
    <row r="589" spans="1:10" x14ac:dyDescent="0.3">
      <c r="A589" t="s">
        <v>634</v>
      </c>
      <c r="B589">
        <v>42348</v>
      </c>
      <c r="C589" t="s">
        <v>31</v>
      </c>
      <c r="D589" t="s">
        <v>24</v>
      </c>
      <c r="E589" t="s">
        <v>13</v>
      </c>
      <c r="F589" t="s">
        <v>99</v>
      </c>
      <c r="G589">
        <v>12.5</v>
      </c>
      <c r="H589">
        <v>4</v>
      </c>
      <c r="I589">
        <v>50</v>
      </c>
      <c r="J589" t="s">
        <v>26</v>
      </c>
    </row>
    <row r="590" spans="1:10" x14ac:dyDescent="0.3">
      <c r="A590" t="s">
        <v>635</v>
      </c>
      <c r="B590">
        <v>42349</v>
      </c>
      <c r="C590" t="s">
        <v>11</v>
      </c>
      <c r="D590" t="s">
        <v>12</v>
      </c>
      <c r="E590" t="s">
        <v>17</v>
      </c>
      <c r="F590" t="s">
        <v>32</v>
      </c>
      <c r="G590">
        <v>263.5</v>
      </c>
      <c r="H590">
        <v>50</v>
      </c>
      <c r="I590">
        <v>13175</v>
      </c>
      <c r="J590" t="s">
        <v>26</v>
      </c>
    </row>
    <row r="591" spans="1:10" x14ac:dyDescent="0.3">
      <c r="A591" t="s">
        <v>636</v>
      </c>
      <c r="B591">
        <v>42349</v>
      </c>
      <c r="C591" t="s">
        <v>11</v>
      </c>
      <c r="D591" t="s">
        <v>12</v>
      </c>
      <c r="E591" t="s">
        <v>13</v>
      </c>
      <c r="F591" t="s">
        <v>99</v>
      </c>
      <c r="G591">
        <v>12.5</v>
      </c>
      <c r="H591">
        <v>80</v>
      </c>
      <c r="I591">
        <v>1000</v>
      </c>
      <c r="J591" t="s">
        <v>26</v>
      </c>
    </row>
    <row r="592" spans="1:10" x14ac:dyDescent="0.3">
      <c r="A592" t="s">
        <v>474</v>
      </c>
      <c r="B592">
        <v>42350</v>
      </c>
      <c r="C592" t="s">
        <v>20</v>
      </c>
      <c r="D592" t="s">
        <v>12</v>
      </c>
      <c r="E592" t="s">
        <v>21</v>
      </c>
      <c r="F592" t="s">
        <v>47</v>
      </c>
      <c r="G592">
        <v>40</v>
      </c>
      <c r="H592">
        <v>180</v>
      </c>
      <c r="I592">
        <v>7200</v>
      </c>
      <c r="J592" t="s">
        <v>15</v>
      </c>
    </row>
    <row r="593" spans="1:10" x14ac:dyDescent="0.3">
      <c r="A593" t="s">
        <v>637</v>
      </c>
      <c r="B593">
        <v>42350</v>
      </c>
      <c r="C593" t="s">
        <v>28</v>
      </c>
      <c r="D593" t="s">
        <v>12</v>
      </c>
      <c r="E593" t="s">
        <v>21</v>
      </c>
      <c r="F593" t="s">
        <v>22</v>
      </c>
      <c r="G593">
        <v>25.89</v>
      </c>
      <c r="H593">
        <v>120</v>
      </c>
      <c r="I593">
        <v>3106.8</v>
      </c>
      <c r="J593" t="s">
        <v>15</v>
      </c>
    </row>
    <row r="594" spans="1:10" x14ac:dyDescent="0.3">
      <c r="A594" t="s">
        <v>638</v>
      </c>
      <c r="B594">
        <v>42353</v>
      </c>
      <c r="C594" t="s">
        <v>31</v>
      </c>
      <c r="D594" t="s">
        <v>12</v>
      </c>
      <c r="E594" t="s">
        <v>17</v>
      </c>
      <c r="F594" t="s">
        <v>54</v>
      </c>
      <c r="G594">
        <v>30</v>
      </c>
      <c r="H594">
        <v>18</v>
      </c>
      <c r="I594">
        <v>540</v>
      </c>
      <c r="J594" t="s">
        <v>15</v>
      </c>
    </row>
    <row r="595" spans="1:10" x14ac:dyDescent="0.3">
      <c r="A595" t="s">
        <v>639</v>
      </c>
      <c r="B595">
        <v>42353</v>
      </c>
      <c r="C595" t="s">
        <v>20</v>
      </c>
      <c r="D595" t="s">
        <v>12</v>
      </c>
      <c r="E595" t="s">
        <v>21</v>
      </c>
      <c r="F595" t="s">
        <v>22</v>
      </c>
      <c r="G595">
        <v>38</v>
      </c>
      <c r="H595">
        <v>180</v>
      </c>
      <c r="I595">
        <v>6840</v>
      </c>
      <c r="J595" t="s">
        <v>15</v>
      </c>
    </row>
    <row r="596" spans="1:10" x14ac:dyDescent="0.3">
      <c r="A596" t="s">
        <v>640</v>
      </c>
      <c r="B596">
        <v>42355</v>
      </c>
      <c r="C596" t="s">
        <v>11</v>
      </c>
      <c r="D596" t="s">
        <v>12</v>
      </c>
      <c r="E596" t="s">
        <v>51</v>
      </c>
      <c r="F596" t="s">
        <v>268</v>
      </c>
      <c r="G596">
        <v>7.45</v>
      </c>
      <c r="H596">
        <v>24</v>
      </c>
      <c r="I596">
        <v>178.8</v>
      </c>
      <c r="J596" t="s">
        <v>15</v>
      </c>
    </row>
    <row r="597" spans="1:10" x14ac:dyDescent="0.3">
      <c r="A597" t="s">
        <v>479</v>
      </c>
      <c r="B597">
        <v>42355</v>
      </c>
      <c r="C597" t="s">
        <v>11</v>
      </c>
      <c r="D597" t="s">
        <v>12</v>
      </c>
      <c r="E597" t="s">
        <v>51</v>
      </c>
      <c r="F597" t="s">
        <v>81</v>
      </c>
      <c r="G597">
        <v>23.25</v>
      </c>
      <c r="H597">
        <v>15</v>
      </c>
      <c r="I597">
        <v>348.75</v>
      </c>
      <c r="J597" t="s">
        <v>15</v>
      </c>
    </row>
    <row r="598" spans="1:10" x14ac:dyDescent="0.3">
      <c r="A598" t="s">
        <v>641</v>
      </c>
      <c r="B598">
        <v>42355</v>
      </c>
      <c r="C598" t="s">
        <v>28</v>
      </c>
      <c r="D598" t="s">
        <v>45</v>
      </c>
      <c r="E598" t="s">
        <v>17</v>
      </c>
      <c r="F598" t="s">
        <v>54</v>
      </c>
      <c r="G598">
        <v>7</v>
      </c>
      <c r="H598">
        <v>56</v>
      </c>
      <c r="I598">
        <v>392</v>
      </c>
      <c r="J598" t="s">
        <v>26</v>
      </c>
    </row>
    <row r="599" spans="1:10" x14ac:dyDescent="0.3">
      <c r="A599" t="s">
        <v>642</v>
      </c>
      <c r="B599">
        <v>42355</v>
      </c>
      <c r="C599" t="s">
        <v>28</v>
      </c>
      <c r="D599" t="s">
        <v>45</v>
      </c>
      <c r="E599" t="s">
        <v>51</v>
      </c>
      <c r="F599" t="s">
        <v>81</v>
      </c>
      <c r="G599">
        <v>9.65</v>
      </c>
      <c r="H599">
        <v>98</v>
      </c>
      <c r="I599">
        <v>945.7</v>
      </c>
      <c r="J599" t="s">
        <v>26</v>
      </c>
    </row>
    <row r="600" spans="1:10" x14ac:dyDescent="0.3">
      <c r="A600" t="s">
        <v>482</v>
      </c>
      <c r="B600">
        <v>42357</v>
      </c>
      <c r="C600" t="s">
        <v>31</v>
      </c>
      <c r="D600" t="s">
        <v>45</v>
      </c>
      <c r="E600" t="s">
        <v>13</v>
      </c>
      <c r="F600" t="s">
        <v>56</v>
      </c>
      <c r="G600">
        <v>34.799999999999997</v>
      </c>
      <c r="H600">
        <v>10</v>
      </c>
      <c r="I600">
        <v>348</v>
      </c>
      <c r="J600" t="s">
        <v>15</v>
      </c>
    </row>
    <row r="601" spans="1:10" x14ac:dyDescent="0.3">
      <c r="A601" t="s">
        <v>483</v>
      </c>
      <c r="B601">
        <v>42357</v>
      </c>
      <c r="C601" t="s">
        <v>28</v>
      </c>
      <c r="D601" t="s">
        <v>45</v>
      </c>
      <c r="E601" t="s">
        <v>34</v>
      </c>
      <c r="F601" t="s">
        <v>90</v>
      </c>
      <c r="G601">
        <v>49.3</v>
      </c>
      <c r="H601">
        <v>2</v>
      </c>
      <c r="I601">
        <v>98.6</v>
      </c>
      <c r="J601" t="s">
        <v>15</v>
      </c>
    </row>
    <row r="602" spans="1:10" x14ac:dyDescent="0.3">
      <c r="A602" t="s">
        <v>643</v>
      </c>
      <c r="B602">
        <v>42357</v>
      </c>
      <c r="C602" t="s">
        <v>28</v>
      </c>
      <c r="D602" t="s">
        <v>45</v>
      </c>
      <c r="E602" t="s">
        <v>51</v>
      </c>
      <c r="F602" t="s">
        <v>268</v>
      </c>
      <c r="G602">
        <v>7.45</v>
      </c>
      <c r="H602">
        <v>56</v>
      </c>
      <c r="I602">
        <v>417.2</v>
      </c>
      <c r="J602" t="s">
        <v>26</v>
      </c>
    </row>
    <row r="603" spans="1:10" x14ac:dyDescent="0.3">
      <c r="A603" t="s">
        <v>644</v>
      </c>
      <c r="B603">
        <v>42357</v>
      </c>
      <c r="C603" t="s">
        <v>31</v>
      </c>
      <c r="D603" t="s">
        <v>45</v>
      </c>
      <c r="E603" t="s">
        <v>34</v>
      </c>
      <c r="F603" t="s">
        <v>64</v>
      </c>
      <c r="G603">
        <v>53</v>
      </c>
      <c r="H603">
        <v>40</v>
      </c>
      <c r="I603">
        <v>2120</v>
      </c>
      <c r="J603" t="s">
        <v>26</v>
      </c>
    </row>
    <row r="604" spans="1:10" x14ac:dyDescent="0.3">
      <c r="A604" t="s">
        <v>645</v>
      </c>
      <c r="B604">
        <v>42357</v>
      </c>
      <c r="C604" t="s">
        <v>20</v>
      </c>
      <c r="D604" t="s">
        <v>45</v>
      </c>
      <c r="E604" t="s">
        <v>13</v>
      </c>
      <c r="F604" t="s">
        <v>14</v>
      </c>
      <c r="G604">
        <v>21</v>
      </c>
      <c r="H604">
        <v>350</v>
      </c>
      <c r="I604">
        <v>7350</v>
      </c>
      <c r="J604" t="s">
        <v>26</v>
      </c>
    </row>
    <row r="605" spans="1:10" x14ac:dyDescent="0.3">
      <c r="A605" t="s">
        <v>646</v>
      </c>
      <c r="B605">
        <v>42360</v>
      </c>
      <c r="C605" t="s">
        <v>11</v>
      </c>
      <c r="D605" t="s">
        <v>85</v>
      </c>
      <c r="E605" t="s">
        <v>51</v>
      </c>
      <c r="F605" t="s">
        <v>118</v>
      </c>
      <c r="G605">
        <v>39</v>
      </c>
      <c r="H605">
        <v>120</v>
      </c>
      <c r="I605">
        <v>4680</v>
      </c>
      <c r="J605" t="s">
        <v>26</v>
      </c>
    </row>
    <row r="606" spans="1:10" x14ac:dyDescent="0.3">
      <c r="A606" t="s">
        <v>647</v>
      </c>
      <c r="B606">
        <v>42360</v>
      </c>
      <c r="C606" t="s">
        <v>11</v>
      </c>
      <c r="D606" t="s">
        <v>85</v>
      </c>
      <c r="E606" t="s">
        <v>51</v>
      </c>
      <c r="F606" t="s">
        <v>52</v>
      </c>
      <c r="G606">
        <v>123.79</v>
      </c>
      <c r="H606">
        <v>180</v>
      </c>
      <c r="I606">
        <v>22282.2</v>
      </c>
      <c r="J606" t="s">
        <v>26</v>
      </c>
    </row>
    <row r="607" spans="1:10" x14ac:dyDescent="0.3">
      <c r="A607" t="s">
        <v>648</v>
      </c>
      <c r="B607">
        <v>42361</v>
      </c>
      <c r="C607" t="s">
        <v>20</v>
      </c>
      <c r="D607" t="s">
        <v>12</v>
      </c>
      <c r="E607" t="s">
        <v>13</v>
      </c>
      <c r="F607" t="s">
        <v>66</v>
      </c>
      <c r="G607">
        <v>55</v>
      </c>
      <c r="H607">
        <v>135</v>
      </c>
      <c r="I607">
        <v>7425</v>
      </c>
      <c r="J607" t="s">
        <v>15</v>
      </c>
    </row>
    <row r="608" spans="1:10" x14ac:dyDescent="0.3">
      <c r="A608" t="s">
        <v>649</v>
      </c>
      <c r="B608">
        <v>42361</v>
      </c>
      <c r="C608" t="s">
        <v>11</v>
      </c>
      <c r="D608" t="s">
        <v>12</v>
      </c>
      <c r="E608" t="s">
        <v>34</v>
      </c>
      <c r="F608" t="s">
        <v>188</v>
      </c>
      <c r="G608">
        <v>9.1999999999999993</v>
      </c>
      <c r="H608">
        <v>216</v>
      </c>
      <c r="I608">
        <v>1987.1999999999998</v>
      </c>
      <c r="J608" t="s">
        <v>15</v>
      </c>
    </row>
    <row r="609" spans="1:10" x14ac:dyDescent="0.3">
      <c r="A609" t="s">
        <v>650</v>
      </c>
      <c r="B609">
        <v>42361</v>
      </c>
      <c r="C609" t="s">
        <v>20</v>
      </c>
      <c r="D609" t="s">
        <v>12</v>
      </c>
      <c r="E609" t="s">
        <v>34</v>
      </c>
      <c r="F609" t="s">
        <v>68</v>
      </c>
      <c r="G609">
        <v>14</v>
      </c>
      <c r="H609">
        <v>75</v>
      </c>
      <c r="I609">
        <v>1050</v>
      </c>
      <c r="J609" t="s">
        <v>15</v>
      </c>
    </row>
    <row r="610" spans="1:10" x14ac:dyDescent="0.3">
      <c r="A610" t="s">
        <v>651</v>
      </c>
      <c r="B610">
        <v>42361</v>
      </c>
      <c r="C610" t="s">
        <v>28</v>
      </c>
      <c r="D610" t="s">
        <v>45</v>
      </c>
      <c r="E610" t="s">
        <v>51</v>
      </c>
      <c r="F610" t="s">
        <v>81</v>
      </c>
      <c r="G610">
        <v>45.6</v>
      </c>
      <c r="H610">
        <v>120</v>
      </c>
      <c r="I610">
        <v>5472</v>
      </c>
      <c r="J610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E4156-768A-4C2A-AD0C-DF29C54FD1DF}">
  <sheetPr codeName="Hoja9">
    <tabColor theme="7" tint="-0.249977111117893"/>
  </sheetPr>
  <dimension ref="B11:AC182"/>
  <sheetViews>
    <sheetView zoomScale="110" zoomScaleNormal="110" workbookViewId="0">
      <selection activeCell="H32" sqref="H32"/>
    </sheetView>
  </sheetViews>
  <sheetFormatPr baseColWidth="10" defaultRowHeight="14.4" x14ac:dyDescent="0.3"/>
  <cols>
    <col min="3" max="4" width="14.109375" customWidth="1"/>
    <col min="5" max="5" width="19.33203125" customWidth="1"/>
    <col min="6" max="6" width="19" customWidth="1"/>
    <col min="7" max="7" width="19.44140625" customWidth="1"/>
    <col min="8" max="8" width="18" bestFit="1" customWidth="1"/>
    <col min="9" max="9" width="16.88671875" bestFit="1" customWidth="1"/>
    <col min="10" max="10" width="13.44140625" bestFit="1" customWidth="1"/>
    <col min="13" max="13" width="15" customWidth="1"/>
  </cols>
  <sheetData>
    <row r="11" spans="2:13" x14ac:dyDescent="0.3"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</row>
    <row r="12" spans="2:13" x14ac:dyDescent="0.3">
      <c r="C12" s="7"/>
      <c r="D12" s="7"/>
      <c r="E12" s="7"/>
    </row>
    <row r="19" spans="2:13" x14ac:dyDescent="0.3">
      <c r="B19" s="33"/>
    </row>
    <row r="20" spans="2:13" x14ac:dyDescent="0.3">
      <c r="B20" s="33"/>
      <c r="C20" s="99" t="s">
        <v>0</v>
      </c>
      <c r="D20" s="97" t="s">
        <v>1</v>
      </c>
      <c r="E20" s="97" t="s">
        <v>1</v>
      </c>
      <c r="F20" s="97" t="s">
        <v>2</v>
      </c>
      <c r="G20" s="97" t="s">
        <v>3</v>
      </c>
      <c r="H20" s="97" t="s">
        <v>4</v>
      </c>
      <c r="I20" s="97" t="s">
        <v>5</v>
      </c>
      <c r="J20" s="97" t="s">
        <v>6</v>
      </c>
      <c r="K20" s="97" t="s">
        <v>7</v>
      </c>
      <c r="L20" s="97" t="s">
        <v>8</v>
      </c>
      <c r="M20" s="98" t="s">
        <v>9</v>
      </c>
    </row>
    <row r="21" spans="2:13" x14ac:dyDescent="0.3">
      <c r="D21" t="s">
        <v>764</v>
      </c>
      <c r="E21" t="s">
        <v>765</v>
      </c>
      <c r="F21" t="s">
        <v>769</v>
      </c>
      <c r="H21" t="s">
        <v>21</v>
      </c>
      <c r="J21" t="s">
        <v>763</v>
      </c>
    </row>
    <row r="22" spans="2:13" x14ac:dyDescent="0.3">
      <c r="D22" t="s">
        <v>766</v>
      </c>
      <c r="E22" t="s">
        <v>767</v>
      </c>
      <c r="F22" t="s">
        <v>769</v>
      </c>
      <c r="H22" t="s">
        <v>51</v>
      </c>
      <c r="J22" t="s">
        <v>768</v>
      </c>
    </row>
    <row r="26" spans="2:13" x14ac:dyDescent="0.3">
      <c r="C26" s="97" t="s">
        <v>1</v>
      </c>
      <c r="D26" s="97" t="s">
        <v>2</v>
      </c>
      <c r="E26" s="97" t="s">
        <v>4</v>
      </c>
      <c r="F26" s="97" t="s">
        <v>6</v>
      </c>
    </row>
    <row r="27" spans="2:13" x14ac:dyDescent="0.3">
      <c r="C27" s="33">
        <v>42134</v>
      </c>
      <c r="D27" t="s">
        <v>20</v>
      </c>
      <c r="E27" t="s">
        <v>21</v>
      </c>
      <c r="F27">
        <v>13</v>
      </c>
    </row>
    <row r="28" spans="2:13" x14ac:dyDescent="0.3">
      <c r="C28" s="33">
        <v>42212</v>
      </c>
      <c r="D28" t="s">
        <v>11</v>
      </c>
      <c r="E28" t="s">
        <v>51</v>
      </c>
      <c r="F28">
        <v>97</v>
      </c>
    </row>
    <row r="29" spans="2:13" x14ac:dyDescent="0.3">
      <c r="C29" s="33">
        <v>42145</v>
      </c>
      <c r="D29" t="s">
        <v>11</v>
      </c>
      <c r="E29" t="s">
        <v>21</v>
      </c>
      <c r="F29">
        <v>19</v>
      </c>
    </row>
    <row r="30" spans="2:13" x14ac:dyDescent="0.3">
      <c r="C30" s="33">
        <v>42140</v>
      </c>
      <c r="D30" t="s">
        <v>11</v>
      </c>
      <c r="E30" t="s">
        <v>21</v>
      </c>
      <c r="F30">
        <v>19</v>
      </c>
    </row>
    <row r="50" spans="16:29" x14ac:dyDescent="0.3"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</row>
    <row r="51" spans="16:29" x14ac:dyDescent="0.3"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</row>
    <row r="52" spans="16:29" x14ac:dyDescent="0.3"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</row>
    <row r="53" spans="16:29" x14ac:dyDescent="0.3"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</row>
    <row r="54" spans="16:29" x14ac:dyDescent="0.3"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</row>
    <row r="55" spans="16:29" x14ac:dyDescent="0.3"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</row>
    <row r="56" spans="16:29" x14ac:dyDescent="0.3"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</row>
    <row r="57" spans="16:29" x14ac:dyDescent="0.3"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</row>
    <row r="58" spans="16:29" x14ac:dyDescent="0.3"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</row>
    <row r="59" spans="16:29" x14ac:dyDescent="0.3"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</row>
    <row r="60" spans="16:29" x14ac:dyDescent="0.3"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</row>
    <row r="61" spans="16:29" x14ac:dyDescent="0.3"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</row>
    <row r="62" spans="16:29" x14ac:dyDescent="0.3"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</row>
    <row r="63" spans="16:29" x14ac:dyDescent="0.3"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</row>
    <row r="64" spans="16:29" x14ac:dyDescent="0.3"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</row>
    <row r="65" spans="16:29" x14ac:dyDescent="0.3"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</row>
    <row r="66" spans="16:29" x14ac:dyDescent="0.3"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</row>
    <row r="67" spans="16:29" x14ac:dyDescent="0.3"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</row>
    <row r="68" spans="16:29" x14ac:dyDescent="0.3"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</row>
    <row r="69" spans="16:29" x14ac:dyDescent="0.3"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</row>
    <row r="70" spans="16:29" x14ac:dyDescent="0.3"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</row>
    <row r="71" spans="16:29" x14ac:dyDescent="0.3"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</row>
    <row r="72" spans="16:29" x14ac:dyDescent="0.3">
      <c r="P72">
        <v>1</v>
      </c>
      <c r="Q72">
        <v>1</v>
      </c>
      <c r="R72">
        <v>1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</row>
    <row r="73" spans="16:29" x14ac:dyDescent="0.3">
      <c r="P73">
        <v>1</v>
      </c>
      <c r="Q73">
        <v>1</v>
      </c>
      <c r="R73">
        <v>1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</row>
    <row r="74" spans="16:29" x14ac:dyDescent="0.3">
      <c r="P74">
        <v>1</v>
      </c>
      <c r="Q74">
        <v>1</v>
      </c>
      <c r="R74">
        <v>1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</row>
    <row r="75" spans="16:29" x14ac:dyDescent="0.3">
      <c r="P75">
        <v>1</v>
      </c>
      <c r="Q75">
        <v>1</v>
      </c>
      <c r="R75">
        <v>1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</row>
    <row r="76" spans="16:29" x14ac:dyDescent="0.3"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</row>
    <row r="77" spans="16:29" x14ac:dyDescent="0.3">
      <c r="P77">
        <v>1</v>
      </c>
      <c r="Q77">
        <v>1</v>
      </c>
      <c r="R77">
        <v>1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</row>
    <row r="78" spans="16:29" x14ac:dyDescent="0.3"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</row>
    <row r="79" spans="16:29" x14ac:dyDescent="0.3">
      <c r="P79">
        <v>1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</row>
    <row r="80" spans="16:29" x14ac:dyDescent="0.3"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</row>
    <row r="81" spans="16:29" x14ac:dyDescent="0.3"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</row>
    <row r="82" spans="16:29" x14ac:dyDescent="0.3"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</row>
    <row r="83" spans="16:29" x14ac:dyDescent="0.3"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</row>
    <row r="84" spans="16:29" x14ac:dyDescent="0.3"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</row>
    <row r="85" spans="16:29" x14ac:dyDescent="0.3">
      <c r="P85">
        <v>1</v>
      </c>
      <c r="Q85">
        <v>1</v>
      </c>
      <c r="R85">
        <v>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</row>
    <row r="86" spans="16:29" x14ac:dyDescent="0.3">
      <c r="P86">
        <v>1</v>
      </c>
      <c r="Q86">
        <v>1</v>
      </c>
      <c r="R86">
        <v>1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</row>
    <row r="87" spans="16:29" x14ac:dyDescent="0.3">
      <c r="P87">
        <v>1</v>
      </c>
      <c r="Q87">
        <v>1</v>
      </c>
      <c r="R87">
        <v>1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</row>
    <row r="88" spans="16:29" x14ac:dyDescent="0.3">
      <c r="P88">
        <v>1</v>
      </c>
      <c r="Q88">
        <v>1</v>
      </c>
      <c r="R88">
        <v>1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</row>
    <row r="89" spans="16:29" x14ac:dyDescent="0.3">
      <c r="P89">
        <v>1</v>
      </c>
      <c r="Q89">
        <v>1</v>
      </c>
      <c r="R89">
        <v>1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</row>
    <row r="90" spans="16:29" x14ac:dyDescent="0.3">
      <c r="P90">
        <v>1</v>
      </c>
      <c r="Q90">
        <v>1</v>
      </c>
      <c r="R90">
        <v>1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</row>
    <row r="91" spans="16:29" x14ac:dyDescent="0.3">
      <c r="P91">
        <v>1</v>
      </c>
      <c r="Q91">
        <v>1</v>
      </c>
      <c r="R91">
        <v>1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</row>
    <row r="92" spans="16:29" x14ac:dyDescent="0.3"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</row>
    <row r="93" spans="16:29" x14ac:dyDescent="0.3">
      <c r="P93">
        <v>1</v>
      </c>
      <c r="Q93">
        <v>1</v>
      </c>
      <c r="R93">
        <v>1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</row>
    <row r="94" spans="16:29" x14ac:dyDescent="0.3">
      <c r="P94">
        <v>1</v>
      </c>
      <c r="Q94">
        <v>1</v>
      </c>
      <c r="R94">
        <v>1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</row>
    <row r="95" spans="16:29" x14ac:dyDescent="0.3">
      <c r="P95">
        <v>1</v>
      </c>
      <c r="Q95">
        <v>1</v>
      </c>
      <c r="R95">
        <v>1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</row>
    <row r="96" spans="16:29" x14ac:dyDescent="0.3">
      <c r="P96">
        <v>1</v>
      </c>
      <c r="Q96">
        <v>1</v>
      </c>
      <c r="R96">
        <v>1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</row>
    <row r="97" spans="16:29" x14ac:dyDescent="0.3">
      <c r="P97">
        <v>1</v>
      </c>
      <c r="Q97">
        <v>1</v>
      </c>
      <c r="R97">
        <v>1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</row>
    <row r="98" spans="16:29" x14ac:dyDescent="0.3">
      <c r="P98">
        <v>1</v>
      </c>
      <c r="Q98">
        <v>1</v>
      </c>
      <c r="R98">
        <v>1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</row>
    <row r="99" spans="16:29" x14ac:dyDescent="0.3">
      <c r="P99">
        <v>1</v>
      </c>
      <c r="Q99">
        <v>1</v>
      </c>
      <c r="R99">
        <v>1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</row>
    <row r="100" spans="16:29" x14ac:dyDescent="0.3">
      <c r="P100">
        <v>1</v>
      </c>
      <c r="Q100">
        <v>1</v>
      </c>
      <c r="R100">
        <v>1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</row>
    <row r="101" spans="16:29" x14ac:dyDescent="0.3"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</row>
    <row r="102" spans="16:29" x14ac:dyDescent="0.3">
      <c r="P102">
        <v>1</v>
      </c>
      <c r="Q102">
        <v>1</v>
      </c>
      <c r="R102">
        <v>1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</row>
    <row r="103" spans="16:29" x14ac:dyDescent="0.3">
      <c r="P103">
        <v>1</v>
      </c>
      <c r="Q103">
        <v>1</v>
      </c>
      <c r="R103">
        <v>1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</row>
    <row r="104" spans="16:29" x14ac:dyDescent="0.3">
      <c r="P104">
        <v>1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</row>
    <row r="105" spans="16:29" x14ac:dyDescent="0.3">
      <c r="P105">
        <v>1</v>
      </c>
      <c r="Q105">
        <v>1</v>
      </c>
      <c r="R105">
        <v>1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</row>
    <row r="106" spans="16:29" x14ac:dyDescent="0.3">
      <c r="P106">
        <v>1</v>
      </c>
      <c r="Q106">
        <v>1</v>
      </c>
      <c r="R106">
        <v>1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</row>
    <row r="107" spans="16:29" x14ac:dyDescent="0.3">
      <c r="P107">
        <v>1</v>
      </c>
      <c r="Q107">
        <v>1</v>
      </c>
      <c r="R107">
        <v>1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</row>
    <row r="108" spans="16:29" x14ac:dyDescent="0.3"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</row>
    <row r="109" spans="16:29" x14ac:dyDescent="0.3">
      <c r="P109">
        <v>1</v>
      </c>
      <c r="Q109">
        <v>1</v>
      </c>
      <c r="R109">
        <v>1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</row>
    <row r="110" spans="16:29" x14ac:dyDescent="0.3">
      <c r="P110">
        <v>1</v>
      </c>
      <c r="Q110">
        <v>1</v>
      </c>
      <c r="R110">
        <v>1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</row>
    <row r="111" spans="16:29" x14ac:dyDescent="0.3">
      <c r="P111">
        <v>1</v>
      </c>
      <c r="Q111">
        <v>1</v>
      </c>
      <c r="R111">
        <v>1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</row>
    <row r="112" spans="16:29" x14ac:dyDescent="0.3">
      <c r="P112">
        <v>1</v>
      </c>
      <c r="Q112">
        <v>1</v>
      </c>
      <c r="R112">
        <v>1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</row>
    <row r="113" spans="16:29" x14ac:dyDescent="0.3">
      <c r="P113">
        <v>1</v>
      </c>
      <c r="Q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</row>
    <row r="114" spans="16:29" x14ac:dyDescent="0.3"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</row>
    <row r="115" spans="16:29" x14ac:dyDescent="0.3"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</row>
    <row r="116" spans="16:29" x14ac:dyDescent="0.3">
      <c r="P116">
        <v>1</v>
      </c>
      <c r="Q116">
        <v>1</v>
      </c>
      <c r="R116">
        <v>1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</row>
    <row r="117" spans="16:29" x14ac:dyDescent="0.3"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</row>
    <row r="118" spans="16:29" x14ac:dyDescent="0.3">
      <c r="P118">
        <v>1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</row>
    <row r="119" spans="16:29" x14ac:dyDescent="0.3"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</row>
    <row r="120" spans="16:29" x14ac:dyDescent="0.3">
      <c r="P120">
        <v>1</v>
      </c>
      <c r="Q120">
        <v>1</v>
      </c>
      <c r="R120">
        <v>1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</row>
    <row r="121" spans="16:29" x14ac:dyDescent="0.3">
      <c r="P121">
        <v>1</v>
      </c>
      <c r="Q121">
        <v>1</v>
      </c>
      <c r="R121">
        <v>1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</row>
    <row r="122" spans="16:29" x14ac:dyDescent="0.3">
      <c r="P122">
        <v>1</v>
      </c>
      <c r="Q122">
        <v>1</v>
      </c>
      <c r="R122">
        <v>1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</row>
    <row r="123" spans="16:29" x14ac:dyDescent="0.3"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</row>
    <row r="124" spans="16:29" x14ac:dyDescent="0.3">
      <c r="P124">
        <v>1</v>
      </c>
      <c r="Q124">
        <v>1</v>
      </c>
      <c r="R124">
        <v>1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</row>
    <row r="125" spans="16:29" x14ac:dyDescent="0.3">
      <c r="P125">
        <v>1</v>
      </c>
      <c r="Q125">
        <v>1</v>
      </c>
      <c r="R125">
        <v>1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</row>
    <row r="126" spans="16:29" x14ac:dyDescent="0.3">
      <c r="P126">
        <v>1</v>
      </c>
      <c r="Q126">
        <v>1</v>
      </c>
      <c r="R126">
        <v>1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</row>
    <row r="127" spans="16:29" x14ac:dyDescent="0.3">
      <c r="P127">
        <v>1</v>
      </c>
      <c r="Q127">
        <v>1</v>
      </c>
      <c r="R127">
        <v>1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</row>
    <row r="128" spans="16:29" x14ac:dyDescent="0.3">
      <c r="P128">
        <v>1</v>
      </c>
      <c r="Q128">
        <v>1</v>
      </c>
      <c r="R128">
        <v>1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</row>
    <row r="129" spans="16:29" x14ac:dyDescent="0.3">
      <c r="P129">
        <v>1</v>
      </c>
      <c r="Q129">
        <v>1</v>
      </c>
      <c r="R129">
        <v>1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</row>
    <row r="130" spans="16:29" x14ac:dyDescent="0.3">
      <c r="P130">
        <v>1</v>
      </c>
      <c r="Q130">
        <v>1</v>
      </c>
      <c r="R130">
        <v>1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</row>
    <row r="131" spans="16:29" x14ac:dyDescent="0.3">
      <c r="P131">
        <v>1</v>
      </c>
      <c r="Q131">
        <v>1</v>
      </c>
      <c r="R131">
        <v>1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</row>
    <row r="132" spans="16:29" x14ac:dyDescent="0.3">
      <c r="P132">
        <v>1</v>
      </c>
      <c r="Q132">
        <v>1</v>
      </c>
      <c r="R132">
        <v>1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</row>
    <row r="133" spans="16:29" x14ac:dyDescent="0.3">
      <c r="P133">
        <v>1</v>
      </c>
      <c r="Q133">
        <v>1</v>
      </c>
      <c r="R133">
        <v>1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</row>
    <row r="134" spans="16:29" x14ac:dyDescent="0.3">
      <c r="P134">
        <v>1</v>
      </c>
      <c r="Q134">
        <v>1</v>
      </c>
      <c r="R134">
        <v>1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</row>
    <row r="135" spans="16:29" x14ac:dyDescent="0.3"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</row>
    <row r="136" spans="16:29" x14ac:dyDescent="0.3"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</row>
    <row r="137" spans="16:29" x14ac:dyDescent="0.3">
      <c r="P137">
        <v>1</v>
      </c>
      <c r="Q137">
        <v>1</v>
      </c>
      <c r="R137">
        <v>1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</row>
    <row r="138" spans="16:29" x14ac:dyDescent="0.3">
      <c r="P138">
        <v>1</v>
      </c>
      <c r="Q138">
        <v>1</v>
      </c>
      <c r="R138">
        <v>1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</row>
    <row r="139" spans="16:29" x14ac:dyDescent="0.3">
      <c r="P139">
        <v>1</v>
      </c>
      <c r="Q139">
        <v>1</v>
      </c>
      <c r="R139">
        <v>1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</row>
    <row r="140" spans="16:29" x14ac:dyDescent="0.3">
      <c r="P140">
        <v>1</v>
      </c>
      <c r="Q140">
        <v>1</v>
      </c>
      <c r="R140">
        <v>1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</row>
    <row r="141" spans="16:29" x14ac:dyDescent="0.3">
      <c r="P141">
        <v>1</v>
      </c>
      <c r="Q141">
        <v>1</v>
      </c>
      <c r="R141">
        <v>1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</row>
    <row r="142" spans="16:29" x14ac:dyDescent="0.3">
      <c r="P142">
        <v>1</v>
      </c>
      <c r="Q142">
        <v>1</v>
      </c>
      <c r="R142">
        <v>1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</row>
    <row r="143" spans="16:29" x14ac:dyDescent="0.3">
      <c r="P143">
        <v>1</v>
      </c>
      <c r="Q143">
        <v>1</v>
      </c>
      <c r="R143">
        <v>1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</row>
    <row r="144" spans="16:29" x14ac:dyDescent="0.3">
      <c r="P144">
        <v>1</v>
      </c>
      <c r="Q144">
        <v>1</v>
      </c>
      <c r="R144">
        <v>1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</row>
    <row r="145" spans="16:29" x14ac:dyDescent="0.3">
      <c r="P145">
        <v>1</v>
      </c>
      <c r="Q145">
        <v>1</v>
      </c>
      <c r="R145">
        <v>1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</row>
    <row r="146" spans="16:29" x14ac:dyDescent="0.3">
      <c r="P146">
        <v>1</v>
      </c>
      <c r="Q146">
        <v>1</v>
      </c>
      <c r="R146">
        <v>1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</row>
    <row r="147" spans="16:29" x14ac:dyDescent="0.3">
      <c r="P147">
        <v>1</v>
      </c>
      <c r="Q147">
        <v>1</v>
      </c>
      <c r="R147">
        <v>1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</row>
    <row r="148" spans="16:29" x14ac:dyDescent="0.3">
      <c r="P148">
        <v>1</v>
      </c>
      <c r="Q148">
        <v>1</v>
      </c>
      <c r="R148">
        <v>1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</row>
    <row r="149" spans="16:29" x14ac:dyDescent="0.3">
      <c r="P149">
        <v>1</v>
      </c>
      <c r="Q149">
        <v>1</v>
      </c>
      <c r="R149">
        <v>1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</row>
    <row r="150" spans="16:29" x14ac:dyDescent="0.3">
      <c r="P150">
        <v>1</v>
      </c>
      <c r="Q150">
        <v>1</v>
      </c>
      <c r="R150">
        <v>1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</row>
    <row r="151" spans="16:29" x14ac:dyDescent="0.3">
      <c r="P151">
        <v>1</v>
      </c>
      <c r="Q151">
        <v>1</v>
      </c>
      <c r="R151">
        <v>1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</row>
    <row r="152" spans="16:29" x14ac:dyDescent="0.3">
      <c r="P152">
        <v>1</v>
      </c>
      <c r="Q152">
        <v>1</v>
      </c>
      <c r="R152">
        <v>1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</row>
    <row r="153" spans="16:29" x14ac:dyDescent="0.3">
      <c r="P153">
        <v>1</v>
      </c>
      <c r="Q153">
        <v>1</v>
      </c>
      <c r="R153">
        <v>1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</row>
    <row r="154" spans="16:29" x14ac:dyDescent="0.3">
      <c r="P154">
        <v>1</v>
      </c>
      <c r="Q154">
        <v>1</v>
      </c>
      <c r="R154">
        <v>1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</row>
    <row r="155" spans="16:29" x14ac:dyDescent="0.3">
      <c r="P155">
        <v>1</v>
      </c>
      <c r="Q155">
        <v>1</v>
      </c>
      <c r="R155">
        <v>1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</row>
    <row r="156" spans="16:29" x14ac:dyDescent="0.3">
      <c r="P156">
        <v>1</v>
      </c>
      <c r="Q156">
        <v>1</v>
      </c>
      <c r="R156">
        <v>1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</row>
    <row r="157" spans="16:29" x14ac:dyDescent="0.3">
      <c r="P157">
        <v>1</v>
      </c>
      <c r="Q157">
        <v>1</v>
      </c>
      <c r="R157">
        <v>1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</row>
    <row r="158" spans="16:29" x14ac:dyDescent="0.3">
      <c r="P158">
        <v>1</v>
      </c>
      <c r="Q158">
        <v>1</v>
      </c>
      <c r="R158">
        <v>1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</row>
    <row r="159" spans="16:29" x14ac:dyDescent="0.3">
      <c r="P159">
        <v>1</v>
      </c>
      <c r="Q159">
        <v>1</v>
      </c>
      <c r="R159">
        <v>1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</row>
    <row r="160" spans="16:29" x14ac:dyDescent="0.3">
      <c r="P160">
        <v>1</v>
      </c>
      <c r="Q160">
        <v>1</v>
      </c>
      <c r="R160">
        <v>1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1</v>
      </c>
    </row>
    <row r="161" spans="16:29" x14ac:dyDescent="0.3">
      <c r="P161">
        <v>1</v>
      </c>
      <c r="Q161">
        <v>1</v>
      </c>
      <c r="R161">
        <v>1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</row>
    <row r="162" spans="16:29" x14ac:dyDescent="0.3">
      <c r="P162">
        <v>1</v>
      </c>
      <c r="Q162">
        <v>1</v>
      </c>
      <c r="R162">
        <v>1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</row>
    <row r="163" spans="16:29" x14ac:dyDescent="0.3">
      <c r="P163">
        <v>1</v>
      </c>
      <c r="Q163">
        <v>1</v>
      </c>
      <c r="R163">
        <v>1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</row>
    <row r="164" spans="16:29" x14ac:dyDescent="0.3">
      <c r="P164">
        <v>1</v>
      </c>
      <c r="Q164">
        <v>1</v>
      </c>
      <c r="R164">
        <v>1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</row>
    <row r="165" spans="16:29" x14ac:dyDescent="0.3">
      <c r="P165">
        <v>1</v>
      </c>
      <c r="Q165">
        <v>1</v>
      </c>
      <c r="R165">
        <v>1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</row>
    <row r="166" spans="16:29" x14ac:dyDescent="0.3">
      <c r="P166">
        <v>1</v>
      </c>
      <c r="Q166">
        <v>1</v>
      </c>
      <c r="R166">
        <v>1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</row>
    <row r="167" spans="16:29" x14ac:dyDescent="0.3"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</row>
    <row r="168" spans="16:29" x14ac:dyDescent="0.3">
      <c r="P168">
        <v>1</v>
      </c>
      <c r="Q168">
        <v>1</v>
      </c>
      <c r="R168">
        <v>1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</row>
    <row r="169" spans="16:29" x14ac:dyDescent="0.3">
      <c r="P169">
        <v>1</v>
      </c>
      <c r="Q169">
        <v>1</v>
      </c>
      <c r="R169">
        <v>1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</row>
    <row r="170" spans="16:29" x14ac:dyDescent="0.3"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</row>
    <row r="171" spans="16:29" x14ac:dyDescent="0.3">
      <c r="P171">
        <v>1</v>
      </c>
      <c r="Q171">
        <v>1</v>
      </c>
      <c r="R171">
        <v>1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</row>
    <row r="172" spans="16:29" x14ac:dyDescent="0.3">
      <c r="P172">
        <v>1</v>
      </c>
      <c r="Q172">
        <v>1</v>
      </c>
      <c r="R172">
        <v>1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</row>
    <row r="173" spans="16:29" x14ac:dyDescent="0.3"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</row>
    <row r="174" spans="16:29" x14ac:dyDescent="0.3"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</row>
    <row r="175" spans="16:29" x14ac:dyDescent="0.3"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</row>
    <row r="176" spans="16:29" x14ac:dyDescent="0.3">
      <c r="P176">
        <v>1</v>
      </c>
      <c r="Q176">
        <v>1</v>
      </c>
      <c r="R176">
        <v>1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</row>
    <row r="177" spans="16:29" x14ac:dyDescent="0.3">
      <c r="P177">
        <v>1</v>
      </c>
      <c r="Q177">
        <v>1</v>
      </c>
      <c r="R177">
        <v>1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</row>
    <row r="178" spans="16:29" x14ac:dyDescent="0.3">
      <c r="P178">
        <v>1</v>
      </c>
      <c r="Q178">
        <v>1</v>
      </c>
      <c r="R178">
        <v>1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</row>
    <row r="179" spans="16:29" x14ac:dyDescent="0.3">
      <c r="P179">
        <v>1</v>
      </c>
      <c r="Q179">
        <v>1</v>
      </c>
      <c r="R179">
        <v>1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</row>
    <row r="180" spans="16:29" x14ac:dyDescent="0.3">
      <c r="P180">
        <v>1</v>
      </c>
      <c r="Q180">
        <v>1</v>
      </c>
      <c r="R180">
        <v>1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</row>
    <row r="181" spans="16:29" x14ac:dyDescent="0.3">
      <c r="P181">
        <v>1</v>
      </c>
      <c r="Q181">
        <v>1</v>
      </c>
      <c r="R181">
        <v>1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</row>
    <row r="182" spans="16:29" x14ac:dyDescent="0.3">
      <c r="P182">
        <v>1</v>
      </c>
      <c r="Q182">
        <v>1</v>
      </c>
      <c r="R182">
        <v>1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2D9E9-3C1C-400C-8E78-3239E3D2BC20}">
  <sheetPr codeName="Hoja10"/>
  <dimension ref="B6:N621"/>
  <sheetViews>
    <sheetView tabSelected="1" zoomScale="70" zoomScaleNormal="70" workbookViewId="0">
      <selection activeCell="L9" sqref="L9"/>
    </sheetView>
  </sheetViews>
  <sheetFormatPr baseColWidth="10" defaultRowHeight="14.4" x14ac:dyDescent="0.3"/>
  <cols>
    <col min="2" max="2" width="10.5546875" style="47" customWidth="1"/>
    <col min="3" max="3" width="15.88671875" bestFit="1" customWidth="1"/>
    <col min="4" max="4" width="18" bestFit="1" customWidth="1"/>
    <col min="5" max="5" width="17.88671875" bestFit="1" customWidth="1"/>
    <col min="6" max="6" width="33.6640625" customWidth="1"/>
    <col min="7" max="7" width="5.5546875" customWidth="1"/>
    <col min="10" max="10" width="15.88671875" bestFit="1" customWidth="1"/>
    <col min="11" max="11" width="18" bestFit="1" customWidth="1"/>
    <col min="12" max="12" width="25.6640625" customWidth="1"/>
    <col min="13" max="13" width="29" customWidth="1"/>
    <col min="14" max="14" width="31.5546875" customWidth="1"/>
  </cols>
  <sheetData>
    <row r="6" spans="2:14" ht="22.5" customHeight="1" x14ac:dyDescent="0.3"/>
    <row r="8" spans="2:14" ht="32.25" customHeight="1" x14ac:dyDescent="0.3">
      <c r="B8" s="48" t="s">
        <v>1</v>
      </c>
      <c r="C8" s="4" t="s">
        <v>2</v>
      </c>
      <c r="D8" s="4" t="s">
        <v>3</v>
      </c>
      <c r="E8" s="4" t="s">
        <v>4</v>
      </c>
      <c r="F8" s="4" t="s">
        <v>5</v>
      </c>
      <c r="H8" s="73"/>
      <c r="I8" s="73"/>
      <c r="J8" s="101" t="s">
        <v>1</v>
      </c>
      <c r="K8" s="102" t="s">
        <v>2</v>
      </c>
      <c r="L8" s="102" t="s">
        <v>3</v>
      </c>
      <c r="M8" s="102" t="s">
        <v>4</v>
      </c>
      <c r="N8" s="102" t="s">
        <v>5</v>
      </c>
    </row>
    <row r="9" spans="2:14" x14ac:dyDescent="0.3">
      <c r="B9" s="47">
        <v>42011</v>
      </c>
      <c r="C9" t="s">
        <v>11</v>
      </c>
      <c r="D9" t="s">
        <v>12</v>
      </c>
      <c r="E9" t="s">
        <v>13</v>
      </c>
      <c r="F9" t="s">
        <v>14</v>
      </c>
      <c r="H9" s="33"/>
      <c r="J9" s="3"/>
      <c r="K9" s="3" t="s">
        <v>31</v>
      </c>
      <c r="L9" s="3" t="s">
        <v>24</v>
      </c>
      <c r="M9" s="3" t="s">
        <v>17</v>
      </c>
      <c r="N9" s="3"/>
    </row>
    <row r="10" spans="2:14" x14ac:dyDescent="0.3">
      <c r="B10" s="47">
        <v>42015</v>
      </c>
      <c r="C10" t="s">
        <v>11</v>
      </c>
      <c r="D10" t="s">
        <v>12</v>
      </c>
      <c r="E10" t="s">
        <v>17</v>
      </c>
      <c r="F10" t="s">
        <v>18</v>
      </c>
    </row>
    <row r="11" spans="2:14" x14ac:dyDescent="0.3">
      <c r="B11" s="47">
        <v>42015</v>
      </c>
      <c r="C11" t="s">
        <v>20</v>
      </c>
      <c r="D11" t="s">
        <v>12</v>
      </c>
      <c r="E11" t="s">
        <v>21</v>
      </c>
      <c r="F11" t="s">
        <v>22</v>
      </c>
      <c r="J11" s="100" t="s">
        <v>1</v>
      </c>
      <c r="K11" s="97" t="s">
        <v>2</v>
      </c>
      <c r="L11" s="97" t="s">
        <v>3</v>
      </c>
      <c r="M11" s="97" t="s">
        <v>4</v>
      </c>
      <c r="N11" s="98" t="s">
        <v>5</v>
      </c>
    </row>
    <row r="12" spans="2:14" x14ac:dyDescent="0.3">
      <c r="B12" s="47">
        <v>42017</v>
      </c>
      <c r="C12" t="s">
        <v>20</v>
      </c>
      <c r="D12" t="s">
        <v>24</v>
      </c>
      <c r="E12" t="s">
        <v>17</v>
      </c>
      <c r="F12" t="s">
        <v>25</v>
      </c>
      <c r="H12" s="73"/>
      <c r="I12" s="73"/>
      <c r="J12" s="47">
        <v>42023</v>
      </c>
      <c r="K12" t="s">
        <v>31</v>
      </c>
      <c r="L12" t="s">
        <v>24</v>
      </c>
      <c r="M12" t="s">
        <v>17</v>
      </c>
      <c r="N12" t="s">
        <v>32</v>
      </c>
    </row>
    <row r="13" spans="2:14" x14ac:dyDescent="0.3">
      <c r="B13" s="47">
        <v>42017</v>
      </c>
      <c r="C13" t="s">
        <v>28</v>
      </c>
      <c r="D13" t="s">
        <v>24</v>
      </c>
      <c r="E13" t="s">
        <v>17</v>
      </c>
      <c r="F13" t="s">
        <v>29</v>
      </c>
      <c r="H13" s="47"/>
      <c r="J13" s="47">
        <v>42052</v>
      </c>
      <c r="K13" t="s">
        <v>31</v>
      </c>
      <c r="L13" t="s">
        <v>24</v>
      </c>
      <c r="M13" t="s">
        <v>17</v>
      </c>
      <c r="N13" t="s">
        <v>54</v>
      </c>
    </row>
    <row r="14" spans="2:14" x14ac:dyDescent="0.3">
      <c r="B14" s="47">
        <v>42023</v>
      </c>
      <c r="C14" t="s">
        <v>31</v>
      </c>
      <c r="D14" t="s">
        <v>24</v>
      </c>
      <c r="E14" t="s">
        <v>17</v>
      </c>
      <c r="F14" t="s">
        <v>32</v>
      </c>
      <c r="H14" s="47"/>
      <c r="J14" s="47"/>
    </row>
    <row r="15" spans="2:14" x14ac:dyDescent="0.3">
      <c r="B15" s="47">
        <v>42023</v>
      </c>
      <c r="C15" t="s">
        <v>20</v>
      </c>
      <c r="D15" t="s">
        <v>24</v>
      </c>
      <c r="E15" t="s">
        <v>34</v>
      </c>
      <c r="F15" t="s">
        <v>35</v>
      </c>
      <c r="H15" s="47"/>
      <c r="J15" s="47"/>
    </row>
    <row r="16" spans="2:14" x14ac:dyDescent="0.3">
      <c r="B16" s="47">
        <v>42023</v>
      </c>
      <c r="C16" t="s">
        <v>20</v>
      </c>
      <c r="D16" t="s">
        <v>12</v>
      </c>
      <c r="E16" t="s">
        <v>17</v>
      </c>
      <c r="F16" t="s">
        <v>37</v>
      </c>
      <c r="H16" s="47"/>
      <c r="J16" s="47"/>
    </row>
    <row r="17" spans="2:10" x14ac:dyDescent="0.3">
      <c r="B17" s="47">
        <v>42023</v>
      </c>
      <c r="C17" t="s">
        <v>11</v>
      </c>
      <c r="D17" t="s">
        <v>12</v>
      </c>
      <c r="E17" t="s">
        <v>21</v>
      </c>
      <c r="F17" t="s">
        <v>39</v>
      </c>
      <c r="H17" s="47"/>
      <c r="J17" s="47"/>
    </row>
    <row r="18" spans="2:10" x14ac:dyDescent="0.3">
      <c r="B18" s="47">
        <v>42023</v>
      </c>
      <c r="C18" t="s">
        <v>20</v>
      </c>
      <c r="D18" t="s">
        <v>12</v>
      </c>
      <c r="E18" t="s">
        <v>13</v>
      </c>
      <c r="F18" t="s">
        <v>41</v>
      </c>
      <c r="H18" s="47"/>
      <c r="J18" s="47"/>
    </row>
    <row r="19" spans="2:10" x14ac:dyDescent="0.3">
      <c r="B19" s="47">
        <v>42023</v>
      </c>
      <c r="C19" t="s">
        <v>31</v>
      </c>
      <c r="D19" t="s">
        <v>12</v>
      </c>
      <c r="E19" t="s">
        <v>34</v>
      </c>
      <c r="F19" t="s">
        <v>43</v>
      </c>
      <c r="H19" s="47"/>
      <c r="J19" s="47"/>
    </row>
    <row r="20" spans="2:10" x14ac:dyDescent="0.3">
      <c r="B20" s="47">
        <v>42023</v>
      </c>
      <c r="C20" t="s">
        <v>31</v>
      </c>
      <c r="D20" t="s">
        <v>45</v>
      </c>
      <c r="E20" t="s">
        <v>17</v>
      </c>
      <c r="F20" t="s">
        <v>18</v>
      </c>
      <c r="H20" s="47"/>
      <c r="J20" s="47"/>
    </row>
    <row r="21" spans="2:10" x14ac:dyDescent="0.3">
      <c r="B21" s="47">
        <v>42023</v>
      </c>
      <c r="C21" t="s">
        <v>11</v>
      </c>
      <c r="D21" t="s">
        <v>45</v>
      </c>
      <c r="E21" t="s">
        <v>21</v>
      </c>
      <c r="F21" t="s">
        <v>47</v>
      </c>
      <c r="H21" s="47"/>
      <c r="J21" s="47"/>
    </row>
    <row r="22" spans="2:10" x14ac:dyDescent="0.3">
      <c r="B22" s="47">
        <v>42023</v>
      </c>
      <c r="C22" t="s">
        <v>11</v>
      </c>
      <c r="D22" t="s">
        <v>45</v>
      </c>
      <c r="E22" t="s">
        <v>13</v>
      </c>
      <c r="F22" t="s">
        <v>41</v>
      </c>
      <c r="H22" s="47"/>
      <c r="J22" s="47"/>
    </row>
    <row r="23" spans="2:10" x14ac:dyDescent="0.3">
      <c r="B23" s="47">
        <v>42023</v>
      </c>
      <c r="C23" t="s">
        <v>20</v>
      </c>
      <c r="D23" t="s">
        <v>45</v>
      </c>
      <c r="E23" t="s">
        <v>13</v>
      </c>
      <c r="F23" t="s">
        <v>14</v>
      </c>
      <c r="H23" s="47"/>
      <c r="J23" s="47"/>
    </row>
    <row r="24" spans="2:10" x14ac:dyDescent="0.3">
      <c r="B24" s="47">
        <v>42025</v>
      </c>
      <c r="C24" t="s">
        <v>11</v>
      </c>
      <c r="D24" t="s">
        <v>12</v>
      </c>
      <c r="E24" t="s">
        <v>51</v>
      </c>
      <c r="F24" t="s">
        <v>52</v>
      </c>
      <c r="H24" s="47"/>
      <c r="J24" s="47"/>
    </row>
    <row r="25" spans="2:10" x14ac:dyDescent="0.3">
      <c r="B25" s="47">
        <v>42025</v>
      </c>
      <c r="C25" t="s">
        <v>31</v>
      </c>
      <c r="D25" t="s">
        <v>12</v>
      </c>
      <c r="E25" t="s">
        <v>17</v>
      </c>
      <c r="F25" t="s">
        <v>54</v>
      </c>
      <c r="H25" s="47"/>
      <c r="J25" s="47"/>
    </row>
    <row r="26" spans="2:10" x14ac:dyDescent="0.3">
      <c r="B26" s="47">
        <v>42029</v>
      </c>
      <c r="C26" t="s">
        <v>28</v>
      </c>
      <c r="D26" t="s">
        <v>12</v>
      </c>
      <c r="E26" t="s">
        <v>13</v>
      </c>
      <c r="F26" t="s">
        <v>56</v>
      </c>
      <c r="H26" s="47"/>
      <c r="J26" s="47"/>
    </row>
    <row r="27" spans="2:10" x14ac:dyDescent="0.3">
      <c r="B27" s="47">
        <v>42029</v>
      </c>
      <c r="C27" t="s">
        <v>20</v>
      </c>
      <c r="D27" t="s">
        <v>12</v>
      </c>
      <c r="E27" t="s">
        <v>17</v>
      </c>
      <c r="F27" t="s">
        <v>54</v>
      </c>
      <c r="H27" s="47"/>
      <c r="J27" s="47"/>
    </row>
    <row r="28" spans="2:10" x14ac:dyDescent="0.3">
      <c r="B28" s="47">
        <v>42033</v>
      </c>
      <c r="C28" t="s">
        <v>11</v>
      </c>
      <c r="D28" t="s">
        <v>45</v>
      </c>
      <c r="E28" t="s">
        <v>51</v>
      </c>
      <c r="F28" t="s">
        <v>59</v>
      </c>
      <c r="H28" s="47"/>
      <c r="J28" s="47"/>
    </row>
    <row r="29" spans="2:10" x14ac:dyDescent="0.3">
      <c r="B29" s="47">
        <v>42033</v>
      </c>
      <c r="C29" t="s">
        <v>28</v>
      </c>
      <c r="D29" t="s">
        <v>45</v>
      </c>
      <c r="E29" t="s">
        <v>21</v>
      </c>
      <c r="F29" t="s">
        <v>61</v>
      </c>
      <c r="H29" s="47"/>
      <c r="J29" s="47"/>
    </row>
    <row r="30" spans="2:10" x14ac:dyDescent="0.3">
      <c r="B30" s="47">
        <v>42036</v>
      </c>
      <c r="C30" t="s">
        <v>11</v>
      </c>
      <c r="D30" t="s">
        <v>12</v>
      </c>
      <c r="E30" t="s">
        <v>17</v>
      </c>
      <c r="F30" t="s">
        <v>18</v>
      </c>
      <c r="H30" s="47"/>
      <c r="J30" s="47"/>
    </row>
    <row r="31" spans="2:10" x14ac:dyDescent="0.3">
      <c r="B31" s="47">
        <v>42036</v>
      </c>
      <c r="C31" t="s">
        <v>11</v>
      </c>
      <c r="D31" t="s">
        <v>12</v>
      </c>
      <c r="E31" t="s">
        <v>34</v>
      </c>
      <c r="F31" t="s">
        <v>64</v>
      </c>
      <c r="H31" s="47"/>
      <c r="J31" s="47"/>
    </row>
    <row r="32" spans="2:10" x14ac:dyDescent="0.3">
      <c r="B32" s="47">
        <v>42036</v>
      </c>
      <c r="C32" t="s">
        <v>28</v>
      </c>
      <c r="D32" t="s">
        <v>12</v>
      </c>
      <c r="E32" t="s">
        <v>13</v>
      </c>
      <c r="F32" t="s">
        <v>66</v>
      </c>
      <c r="H32" s="47"/>
      <c r="J32" s="47"/>
    </row>
    <row r="33" spans="2:10" x14ac:dyDescent="0.3">
      <c r="B33" s="47">
        <v>42036</v>
      </c>
      <c r="C33" t="s">
        <v>11</v>
      </c>
      <c r="D33" t="s">
        <v>12</v>
      </c>
      <c r="E33" t="s">
        <v>34</v>
      </c>
      <c r="F33" t="s">
        <v>68</v>
      </c>
      <c r="H33" s="47"/>
      <c r="J33" s="47"/>
    </row>
    <row r="34" spans="2:10" x14ac:dyDescent="0.3">
      <c r="B34" s="47">
        <v>42043</v>
      </c>
      <c r="C34" t="s">
        <v>31</v>
      </c>
      <c r="D34" t="s">
        <v>45</v>
      </c>
      <c r="E34" t="s">
        <v>17</v>
      </c>
      <c r="F34" t="s">
        <v>70</v>
      </c>
      <c r="H34" s="47"/>
      <c r="J34" s="47"/>
    </row>
    <row r="35" spans="2:10" x14ac:dyDescent="0.3">
      <c r="B35" s="47">
        <v>42043</v>
      </c>
      <c r="C35" t="s">
        <v>28</v>
      </c>
      <c r="D35" t="s">
        <v>45</v>
      </c>
      <c r="E35" t="s">
        <v>17</v>
      </c>
      <c r="F35" t="s">
        <v>72</v>
      </c>
      <c r="H35" s="47"/>
      <c r="J35" s="47"/>
    </row>
    <row r="36" spans="2:10" x14ac:dyDescent="0.3">
      <c r="B36" s="47">
        <v>42045</v>
      </c>
      <c r="C36" t="s">
        <v>20</v>
      </c>
      <c r="D36" t="s">
        <v>12</v>
      </c>
      <c r="E36" t="s">
        <v>17</v>
      </c>
      <c r="F36" t="s">
        <v>72</v>
      </c>
      <c r="H36" s="47"/>
      <c r="J36" s="47"/>
    </row>
    <row r="37" spans="2:10" x14ac:dyDescent="0.3">
      <c r="B37" s="47">
        <v>42045</v>
      </c>
      <c r="C37" t="s">
        <v>11</v>
      </c>
      <c r="D37" t="s">
        <v>12</v>
      </c>
      <c r="E37" t="s">
        <v>34</v>
      </c>
      <c r="F37" t="s">
        <v>75</v>
      </c>
      <c r="H37" s="47"/>
      <c r="J37" s="47"/>
    </row>
    <row r="38" spans="2:10" x14ac:dyDescent="0.3">
      <c r="B38" s="47">
        <v>42045</v>
      </c>
      <c r="C38" t="s">
        <v>31</v>
      </c>
      <c r="D38" t="s">
        <v>12</v>
      </c>
      <c r="E38" t="s">
        <v>34</v>
      </c>
      <c r="F38" t="s">
        <v>77</v>
      </c>
      <c r="H38" s="47"/>
      <c r="J38" s="47"/>
    </row>
    <row r="39" spans="2:10" x14ac:dyDescent="0.3">
      <c r="B39" s="47">
        <v>42045</v>
      </c>
      <c r="C39" t="s">
        <v>20</v>
      </c>
      <c r="D39" t="s">
        <v>45</v>
      </c>
      <c r="E39" t="s">
        <v>17</v>
      </c>
      <c r="F39" t="s">
        <v>79</v>
      </c>
      <c r="H39" s="47"/>
      <c r="J39" s="47"/>
    </row>
    <row r="40" spans="2:10" x14ac:dyDescent="0.3">
      <c r="B40" s="47">
        <v>42045</v>
      </c>
      <c r="C40" t="s">
        <v>20</v>
      </c>
      <c r="D40" t="s">
        <v>45</v>
      </c>
      <c r="E40" t="s">
        <v>51</v>
      </c>
      <c r="F40" t="s">
        <v>81</v>
      </c>
      <c r="H40" s="47"/>
      <c r="J40" s="47"/>
    </row>
    <row r="41" spans="2:10" x14ac:dyDescent="0.3">
      <c r="B41" s="47">
        <v>42045</v>
      </c>
      <c r="C41" t="s">
        <v>28</v>
      </c>
      <c r="D41" t="s">
        <v>45</v>
      </c>
      <c r="E41" t="s">
        <v>13</v>
      </c>
      <c r="F41" t="s">
        <v>14</v>
      </c>
      <c r="H41" s="47"/>
      <c r="J41" s="47"/>
    </row>
    <row r="42" spans="2:10" x14ac:dyDescent="0.3">
      <c r="B42" s="47">
        <v>42045</v>
      </c>
      <c r="C42" t="s">
        <v>11</v>
      </c>
      <c r="D42" t="s">
        <v>45</v>
      </c>
      <c r="E42" t="s">
        <v>34</v>
      </c>
      <c r="F42" t="s">
        <v>43</v>
      </c>
      <c r="H42" s="47"/>
      <c r="J42" s="47"/>
    </row>
    <row r="43" spans="2:10" x14ac:dyDescent="0.3">
      <c r="B43" s="47">
        <v>42046</v>
      </c>
      <c r="C43" t="s">
        <v>20</v>
      </c>
      <c r="D43" t="s">
        <v>85</v>
      </c>
      <c r="E43" t="s">
        <v>51</v>
      </c>
      <c r="F43" t="s">
        <v>81</v>
      </c>
      <c r="H43" s="47"/>
      <c r="J43" s="47"/>
    </row>
    <row r="44" spans="2:10" x14ac:dyDescent="0.3">
      <c r="B44" s="47">
        <v>42046</v>
      </c>
      <c r="C44" t="s">
        <v>11</v>
      </c>
      <c r="D44" t="s">
        <v>85</v>
      </c>
      <c r="E44" t="s">
        <v>21</v>
      </c>
      <c r="F44" t="s">
        <v>87</v>
      </c>
      <c r="H44" s="47"/>
      <c r="J44" s="47"/>
    </row>
    <row r="45" spans="2:10" x14ac:dyDescent="0.3">
      <c r="B45" s="47">
        <v>42046</v>
      </c>
      <c r="C45" t="s">
        <v>31</v>
      </c>
      <c r="D45" t="s">
        <v>85</v>
      </c>
      <c r="E45" t="s">
        <v>21</v>
      </c>
      <c r="F45" t="s">
        <v>22</v>
      </c>
      <c r="H45" s="47"/>
      <c r="J45" s="47"/>
    </row>
    <row r="46" spans="2:10" x14ac:dyDescent="0.3">
      <c r="B46" s="47">
        <v>42046</v>
      </c>
      <c r="C46" t="s">
        <v>31</v>
      </c>
      <c r="D46" t="s">
        <v>85</v>
      </c>
      <c r="E46" t="s">
        <v>34</v>
      </c>
      <c r="F46" t="s">
        <v>90</v>
      </c>
      <c r="H46" s="47"/>
      <c r="J46" s="47"/>
    </row>
    <row r="47" spans="2:10" x14ac:dyDescent="0.3">
      <c r="B47" s="47">
        <v>42047</v>
      </c>
      <c r="C47" t="s">
        <v>20</v>
      </c>
      <c r="D47" t="s">
        <v>85</v>
      </c>
      <c r="E47" t="s">
        <v>21</v>
      </c>
      <c r="F47" t="s">
        <v>22</v>
      </c>
      <c r="H47" s="47"/>
      <c r="J47" s="47"/>
    </row>
    <row r="48" spans="2:10" x14ac:dyDescent="0.3">
      <c r="B48" s="47">
        <v>42050</v>
      </c>
      <c r="C48" t="s">
        <v>28</v>
      </c>
      <c r="D48" t="s">
        <v>12</v>
      </c>
      <c r="E48" t="s">
        <v>17</v>
      </c>
      <c r="F48" t="s">
        <v>54</v>
      </c>
      <c r="H48" s="47"/>
      <c r="J48" s="47"/>
    </row>
    <row r="49" spans="2:10" x14ac:dyDescent="0.3">
      <c r="B49" s="47">
        <v>42050</v>
      </c>
      <c r="C49" t="s">
        <v>11</v>
      </c>
      <c r="D49" t="s">
        <v>12</v>
      </c>
      <c r="E49" t="s">
        <v>34</v>
      </c>
      <c r="F49" t="s">
        <v>94</v>
      </c>
      <c r="H49" s="47"/>
      <c r="J49" s="47"/>
    </row>
    <row r="50" spans="2:10" x14ac:dyDescent="0.3">
      <c r="B50" s="47">
        <v>42052</v>
      </c>
      <c r="C50" t="s">
        <v>31</v>
      </c>
      <c r="D50" t="s">
        <v>24</v>
      </c>
      <c r="E50" t="s">
        <v>17</v>
      </c>
      <c r="F50" t="s">
        <v>54</v>
      </c>
      <c r="H50" s="47"/>
      <c r="J50" s="47"/>
    </row>
    <row r="51" spans="2:10" x14ac:dyDescent="0.3">
      <c r="B51" s="47">
        <v>42054</v>
      </c>
      <c r="C51" t="s">
        <v>31</v>
      </c>
      <c r="D51" t="s">
        <v>12</v>
      </c>
      <c r="E51" t="s">
        <v>21</v>
      </c>
      <c r="F51" t="s">
        <v>97</v>
      </c>
      <c r="H51" s="47"/>
      <c r="J51" s="47"/>
    </row>
    <row r="52" spans="2:10" x14ac:dyDescent="0.3">
      <c r="B52" s="47">
        <v>42054</v>
      </c>
      <c r="C52" t="s">
        <v>20</v>
      </c>
      <c r="D52" t="s">
        <v>12</v>
      </c>
      <c r="E52" t="s">
        <v>13</v>
      </c>
      <c r="F52" t="s">
        <v>99</v>
      </c>
      <c r="H52" s="47"/>
      <c r="J52" s="47"/>
    </row>
    <row r="53" spans="2:10" x14ac:dyDescent="0.3">
      <c r="B53" s="47">
        <v>42054</v>
      </c>
      <c r="C53" t="s">
        <v>28</v>
      </c>
      <c r="D53" t="s">
        <v>12</v>
      </c>
      <c r="E53" t="s">
        <v>21</v>
      </c>
      <c r="F53" t="s">
        <v>22</v>
      </c>
      <c r="H53" s="47"/>
      <c r="J53" s="47"/>
    </row>
    <row r="54" spans="2:10" x14ac:dyDescent="0.3">
      <c r="B54" s="47">
        <v>42054</v>
      </c>
      <c r="C54" t="s">
        <v>11</v>
      </c>
      <c r="D54" t="s">
        <v>85</v>
      </c>
      <c r="E54" t="s">
        <v>34</v>
      </c>
      <c r="F54" t="s">
        <v>68</v>
      </c>
      <c r="H54" s="47"/>
      <c r="J54" s="47"/>
    </row>
    <row r="55" spans="2:10" x14ac:dyDescent="0.3">
      <c r="B55" s="47">
        <v>42057</v>
      </c>
      <c r="C55" t="s">
        <v>11</v>
      </c>
      <c r="D55" t="s">
        <v>85</v>
      </c>
      <c r="E55" t="s">
        <v>17</v>
      </c>
      <c r="F55" t="s">
        <v>18</v>
      </c>
      <c r="H55" s="47"/>
      <c r="J55" s="47"/>
    </row>
    <row r="56" spans="2:10" x14ac:dyDescent="0.3">
      <c r="B56" s="47">
        <v>42057</v>
      </c>
      <c r="C56" t="s">
        <v>31</v>
      </c>
      <c r="D56" t="s">
        <v>85</v>
      </c>
      <c r="E56" t="s">
        <v>34</v>
      </c>
      <c r="F56" t="s">
        <v>43</v>
      </c>
      <c r="H56" s="47"/>
      <c r="J56" s="47"/>
    </row>
    <row r="57" spans="2:10" x14ac:dyDescent="0.3">
      <c r="B57" s="47">
        <v>42061</v>
      </c>
      <c r="C57" t="s">
        <v>11</v>
      </c>
      <c r="D57" t="s">
        <v>24</v>
      </c>
      <c r="E57" t="s">
        <v>13</v>
      </c>
      <c r="F57" t="s">
        <v>14</v>
      </c>
      <c r="H57" s="47"/>
      <c r="J57" s="47"/>
    </row>
    <row r="58" spans="2:10" x14ac:dyDescent="0.3">
      <c r="B58" s="47">
        <v>42061</v>
      </c>
      <c r="C58" t="s">
        <v>28</v>
      </c>
      <c r="D58" t="s">
        <v>12</v>
      </c>
      <c r="E58" t="s">
        <v>17</v>
      </c>
      <c r="F58" t="s">
        <v>54</v>
      </c>
      <c r="H58" s="47"/>
      <c r="J58" s="47"/>
    </row>
    <row r="59" spans="2:10" x14ac:dyDescent="0.3">
      <c r="B59" s="47">
        <v>42065</v>
      </c>
      <c r="C59" t="s">
        <v>11</v>
      </c>
      <c r="D59" t="s">
        <v>12</v>
      </c>
      <c r="E59" t="s">
        <v>17</v>
      </c>
      <c r="F59" t="s">
        <v>79</v>
      </c>
      <c r="H59" s="47"/>
      <c r="J59" s="47"/>
    </row>
    <row r="60" spans="2:10" x14ac:dyDescent="0.3">
      <c r="B60" s="47">
        <v>42065</v>
      </c>
      <c r="C60" t="s">
        <v>28</v>
      </c>
      <c r="D60" t="s">
        <v>12</v>
      </c>
      <c r="E60" t="s">
        <v>21</v>
      </c>
      <c r="F60" t="s">
        <v>87</v>
      </c>
      <c r="H60" s="47"/>
      <c r="J60" s="47"/>
    </row>
    <row r="61" spans="2:10" x14ac:dyDescent="0.3">
      <c r="B61" s="47">
        <v>42065</v>
      </c>
      <c r="C61" t="s">
        <v>31</v>
      </c>
      <c r="D61" t="s">
        <v>12</v>
      </c>
      <c r="E61" t="s">
        <v>21</v>
      </c>
      <c r="F61" t="s">
        <v>22</v>
      </c>
      <c r="H61" s="47"/>
      <c r="J61" s="47"/>
    </row>
    <row r="62" spans="2:10" x14ac:dyDescent="0.3">
      <c r="B62" s="47">
        <v>42065</v>
      </c>
      <c r="C62" t="s">
        <v>31</v>
      </c>
      <c r="D62" t="s">
        <v>12</v>
      </c>
      <c r="E62" t="s">
        <v>34</v>
      </c>
      <c r="F62" t="s">
        <v>43</v>
      </c>
      <c r="H62" s="47"/>
      <c r="J62" s="47"/>
    </row>
    <row r="63" spans="2:10" x14ac:dyDescent="0.3">
      <c r="B63" s="47">
        <v>42067</v>
      </c>
      <c r="C63" t="s">
        <v>20</v>
      </c>
      <c r="D63" t="s">
        <v>12</v>
      </c>
      <c r="E63" t="s">
        <v>21</v>
      </c>
      <c r="F63" t="s">
        <v>111</v>
      </c>
      <c r="H63" s="47"/>
      <c r="J63" s="47"/>
    </row>
    <row r="64" spans="2:10" x14ac:dyDescent="0.3">
      <c r="B64" s="47">
        <v>42067</v>
      </c>
      <c r="C64" t="s">
        <v>20</v>
      </c>
      <c r="D64" t="s">
        <v>12</v>
      </c>
      <c r="E64" t="s">
        <v>13</v>
      </c>
      <c r="F64" t="s">
        <v>113</v>
      </c>
      <c r="H64" s="47"/>
      <c r="J64" s="47"/>
    </row>
    <row r="65" spans="2:10" x14ac:dyDescent="0.3">
      <c r="B65" s="47">
        <v>42067</v>
      </c>
      <c r="C65" t="s">
        <v>28</v>
      </c>
      <c r="D65" t="s">
        <v>12</v>
      </c>
      <c r="E65" t="s">
        <v>21</v>
      </c>
      <c r="F65" t="s">
        <v>22</v>
      </c>
      <c r="H65" s="47"/>
      <c r="J65" s="47"/>
    </row>
    <row r="66" spans="2:10" x14ac:dyDescent="0.3">
      <c r="B66" s="47">
        <v>42067</v>
      </c>
      <c r="C66" t="s">
        <v>31</v>
      </c>
      <c r="D66" t="s">
        <v>85</v>
      </c>
      <c r="E66" t="s">
        <v>17</v>
      </c>
      <c r="F66" t="s">
        <v>70</v>
      </c>
      <c r="H66" s="47"/>
      <c r="J66" s="47"/>
    </row>
    <row r="67" spans="2:10" x14ac:dyDescent="0.3">
      <c r="B67" s="47">
        <v>42067</v>
      </c>
      <c r="C67" t="s">
        <v>20</v>
      </c>
      <c r="D67" t="s">
        <v>85</v>
      </c>
      <c r="E67" t="s">
        <v>17</v>
      </c>
      <c r="F67" t="s">
        <v>79</v>
      </c>
      <c r="H67" s="47"/>
      <c r="J67" s="47"/>
    </row>
    <row r="68" spans="2:10" x14ac:dyDescent="0.3">
      <c r="B68" s="47">
        <v>42067</v>
      </c>
      <c r="C68" t="s">
        <v>31</v>
      </c>
      <c r="D68" t="s">
        <v>85</v>
      </c>
      <c r="E68" t="s">
        <v>51</v>
      </c>
      <c r="F68" t="s">
        <v>118</v>
      </c>
      <c r="H68" s="47"/>
      <c r="J68" s="47"/>
    </row>
    <row r="69" spans="2:10" x14ac:dyDescent="0.3">
      <c r="B69" s="47">
        <v>42068</v>
      </c>
      <c r="C69" t="s">
        <v>11</v>
      </c>
      <c r="D69" t="s">
        <v>24</v>
      </c>
      <c r="E69" t="s">
        <v>13</v>
      </c>
      <c r="F69" t="s">
        <v>14</v>
      </c>
      <c r="H69" s="47"/>
      <c r="J69" s="47"/>
    </row>
    <row r="70" spans="2:10" x14ac:dyDescent="0.3">
      <c r="B70" s="47">
        <v>42068</v>
      </c>
      <c r="C70" t="s">
        <v>11</v>
      </c>
      <c r="D70" t="s">
        <v>24</v>
      </c>
      <c r="E70" t="s">
        <v>13</v>
      </c>
      <c r="F70" t="s">
        <v>121</v>
      </c>
      <c r="H70" s="47"/>
      <c r="J70" s="47"/>
    </row>
    <row r="71" spans="2:10" x14ac:dyDescent="0.3">
      <c r="B71" s="47">
        <v>42068</v>
      </c>
      <c r="C71" t="s">
        <v>11</v>
      </c>
      <c r="D71" t="s">
        <v>24</v>
      </c>
      <c r="E71" t="s">
        <v>34</v>
      </c>
      <c r="F71" t="s">
        <v>94</v>
      </c>
      <c r="H71" s="47"/>
      <c r="J71" s="47"/>
    </row>
    <row r="72" spans="2:10" x14ac:dyDescent="0.3">
      <c r="B72" s="47">
        <v>42068</v>
      </c>
      <c r="C72" t="s">
        <v>31</v>
      </c>
      <c r="D72" t="s">
        <v>12</v>
      </c>
      <c r="E72" t="s">
        <v>13</v>
      </c>
      <c r="F72" t="s">
        <v>124</v>
      </c>
      <c r="H72" s="47"/>
      <c r="J72" s="47"/>
    </row>
    <row r="73" spans="2:10" x14ac:dyDescent="0.3">
      <c r="B73" s="47">
        <v>42071</v>
      </c>
      <c r="C73" t="s">
        <v>20</v>
      </c>
      <c r="D73" t="s">
        <v>85</v>
      </c>
      <c r="E73" t="s">
        <v>13</v>
      </c>
      <c r="F73" t="s">
        <v>41</v>
      </c>
      <c r="H73" s="47"/>
      <c r="J73" s="47"/>
    </row>
    <row r="74" spans="2:10" x14ac:dyDescent="0.3">
      <c r="B74" s="47">
        <v>42071</v>
      </c>
      <c r="C74" t="s">
        <v>28</v>
      </c>
      <c r="D74" t="s">
        <v>85</v>
      </c>
      <c r="E74" t="s">
        <v>17</v>
      </c>
      <c r="F74" t="s">
        <v>54</v>
      </c>
      <c r="H74" s="47"/>
      <c r="J74" s="47"/>
    </row>
    <row r="75" spans="2:10" x14ac:dyDescent="0.3">
      <c r="B75" s="47">
        <v>42072</v>
      </c>
      <c r="C75" t="s">
        <v>31</v>
      </c>
      <c r="D75" t="s">
        <v>12</v>
      </c>
      <c r="E75" t="s">
        <v>17</v>
      </c>
      <c r="F75" t="s">
        <v>128</v>
      </c>
      <c r="H75" s="47"/>
      <c r="J75" s="47"/>
    </row>
    <row r="76" spans="2:10" x14ac:dyDescent="0.3">
      <c r="B76" s="47">
        <v>42072</v>
      </c>
      <c r="C76" t="s">
        <v>20</v>
      </c>
      <c r="D76" t="s">
        <v>12</v>
      </c>
      <c r="E76" t="s">
        <v>51</v>
      </c>
      <c r="F76" t="s">
        <v>118</v>
      </c>
      <c r="H76" s="47"/>
      <c r="J76" s="47"/>
    </row>
    <row r="77" spans="2:10" x14ac:dyDescent="0.3">
      <c r="B77" s="47">
        <v>42072</v>
      </c>
      <c r="C77" t="s">
        <v>20</v>
      </c>
      <c r="D77" t="s">
        <v>45</v>
      </c>
      <c r="E77" t="s">
        <v>34</v>
      </c>
      <c r="F77" t="s">
        <v>64</v>
      </c>
      <c r="H77" s="47"/>
      <c r="J77" s="47"/>
    </row>
    <row r="78" spans="2:10" x14ac:dyDescent="0.3">
      <c r="B78" s="47">
        <v>42073</v>
      </c>
      <c r="C78" t="s">
        <v>11</v>
      </c>
      <c r="D78" t="s">
        <v>12</v>
      </c>
      <c r="E78" t="s">
        <v>13</v>
      </c>
      <c r="F78" t="s">
        <v>14</v>
      </c>
      <c r="H78" s="47"/>
      <c r="J78" s="47"/>
    </row>
    <row r="79" spans="2:10" x14ac:dyDescent="0.3">
      <c r="B79" s="47">
        <v>42073</v>
      </c>
      <c r="C79" t="s">
        <v>11</v>
      </c>
      <c r="D79" t="s">
        <v>12</v>
      </c>
      <c r="E79" t="s">
        <v>51</v>
      </c>
      <c r="F79" t="s">
        <v>81</v>
      </c>
      <c r="H79" s="47"/>
      <c r="J79" s="47"/>
    </row>
    <row r="80" spans="2:10" x14ac:dyDescent="0.3">
      <c r="B80" s="47">
        <v>42074</v>
      </c>
      <c r="C80" t="s">
        <v>20</v>
      </c>
      <c r="D80" t="s">
        <v>85</v>
      </c>
      <c r="E80" t="s">
        <v>17</v>
      </c>
      <c r="F80" t="s">
        <v>134</v>
      </c>
      <c r="H80" s="47"/>
      <c r="J80" s="47"/>
    </row>
    <row r="81" spans="2:10" x14ac:dyDescent="0.3">
      <c r="B81" s="47">
        <v>42074</v>
      </c>
      <c r="C81" t="s">
        <v>20</v>
      </c>
      <c r="D81" t="s">
        <v>85</v>
      </c>
      <c r="E81" t="s">
        <v>34</v>
      </c>
      <c r="F81" t="s">
        <v>136</v>
      </c>
      <c r="H81" s="47"/>
      <c r="J81" s="47"/>
    </row>
    <row r="82" spans="2:10" x14ac:dyDescent="0.3">
      <c r="B82" s="47">
        <v>42075</v>
      </c>
      <c r="C82" t="s">
        <v>28</v>
      </c>
      <c r="D82" t="s">
        <v>45</v>
      </c>
      <c r="E82" t="s">
        <v>51</v>
      </c>
      <c r="F82" t="s">
        <v>138</v>
      </c>
      <c r="H82" s="47"/>
      <c r="J82" s="47"/>
    </row>
    <row r="83" spans="2:10" x14ac:dyDescent="0.3">
      <c r="B83" s="47">
        <v>42075</v>
      </c>
      <c r="C83" t="s">
        <v>11</v>
      </c>
      <c r="D83" t="s">
        <v>45</v>
      </c>
      <c r="E83" t="s">
        <v>21</v>
      </c>
      <c r="F83" t="s">
        <v>22</v>
      </c>
      <c r="H83" s="47"/>
      <c r="J83" s="47"/>
    </row>
    <row r="84" spans="2:10" x14ac:dyDescent="0.3">
      <c r="B84" s="47">
        <v>42078</v>
      </c>
      <c r="C84" t="s">
        <v>11</v>
      </c>
      <c r="D84" t="s">
        <v>12</v>
      </c>
      <c r="E84" t="s">
        <v>17</v>
      </c>
      <c r="F84" t="s">
        <v>79</v>
      </c>
      <c r="H84" s="47"/>
      <c r="J84" s="47"/>
    </row>
    <row r="85" spans="2:10" x14ac:dyDescent="0.3">
      <c r="B85" s="47">
        <v>42078</v>
      </c>
      <c r="C85" t="s">
        <v>31</v>
      </c>
      <c r="D85" t="s">
        <v>12</v>
      </c>
      <c r="E85" t="s">
        <v>34</v>
      </c>
      <c r="F85" t="s">
        <v>64</v>
      </c>
      <c r="H85" s="47"/>
      <c r="J85" s="47"/>
    </row>
    <row r="86" spans="2:10" x14ac:dyDescent="0.3">
      <c r="B86" s="47">
        <v>42078</v>
      </c>
      <c r="C86" t="s">
        <v>31</v>
      </c>
      <c r="D86" t="s">
        <v>12</v>
      </c>
      <c r="E86" t="s">
        <v>51</v>
      </c>
      <c r="F86" t="s">
        <v>81</v>
      </c>
      <c r="H86" s="47"/>
      <c r="J86" s="47"/>
    </row>
    <row r="87" spans="2:10" x14ac:dyDescent="0.3">
      <c r="B87" s="47">
        <v>42079</v>
      </c>
      <c r="C87" t="s">
        <v>11</v>
      </c>
      <c r="D87" t="s">
        <v>24</v>
      </c>
      <c r="E87" t="s">
        <v>17</v>
      </c>
      <c r="F87" t="s">
        <v>144</v>
      </c>
      <c r="H87" s="47"/>
      <c r="J87" s="47"/>
    </row>
    <row r="88" spans="2:10" x14ac:dyDescent="0.3">
      <c r="B88" s="47">
        <v>42079</v>
      </c>
      <c r="C88" t="s">
        <v>28</v>
      </c>
      <c r="D88" t="s">
        <v>24</v>
      </c>
      <c r="E88" t="s">
        <v>13</v>
      </c>
      <c r="F88" t="s">
        <v>14</v>
      </c>
      <c r="H88" s="47"/>
      <c r="J88" s="47"/>
    </row>
    <row r="89" spans="2:10" x14ac:dyDescent="0.3">
      <c r="B89" s="47">
        <v>42080</v>
      </c>
      <c r="C89" t="s">
        <v>11</v>
      </c>
      <c r="D89" t="s">
        <v>45</v>
      </c>
      <c r="E89" t="s">
        <v>21</v>
      </c>
      <c r="F89" t="s">
        <v>22</v>
      </c>
      <c r="H89" s="47"/>
      <c r="J89" s="47"/>
    </row>
    <row r="90" spans="2:10" x14ac:dyDescent="0.3">
      <c r="B90" s="47">
        <v>42080</v>
      </c>
      <c r="C90" t="s">
        <v>31</v>
      </c>
      <c r="D90" t="s">
        <v>45</v>
      </c>
      <c r="E90" t="s">
        <v>21</v>
      </c>
      <c r="F90" t="s">
        <v>22</v>
      </c>
      <c r="H90" s="47"/>
      <c r="J90" s="47"/>
    </row>
    <row r="91" spans="2:10" x14ac:dyDescent="0.3">
      <c r="B91" s="47">
        <v>42080</v>
      </c>
      <c r="C91" t="s">
        <v>31</v>
      </c>
      <c r="D91" t="s">
        <v>45</v>
      </c>
      <c r="E91" t="s">
        <v>51</v>
      </c>
      <c r="F91" t="s">
        <v>81</v>
      </c>
      <c r="H91" s="47"/>
      <c r="J91" s="47"/>
    </row>
    <row r="92" spans="2:10" x14ac:dyDescent="0.3">
      <c r="B92" s="47">
        <v>42082</v>
      </c>
      <c r="C92" t="s">
        <v>31</v>
      </c>
      <c r="D92" t="s">
        <v>85</v>
      </c>
      <c r="E92" t="s">
        <v>51</v>
      </c>
      <c r="F92" t="s">
        <v>81</v>
      </c>
      <c r="H92" s="47"/>
      <c r="J92" s="47"/>
    </row>
    <row r="93" spans="2:10" x14ac:dyDescent="0.3">
      <c r="B93" s="47">
        <v>42082</v>
      </c>
      <c r="C93" t="s">
        <v>11</v>
      </c>
      <c r="D93" t="s">
        <v>85</v>
      </c>
      <c r="E93" t="s">
        <v>34</v>
      </c>
      <c r="F93" t="s">
        <v>64</v>
      </c>
      <c r="H93" s="47"/>
      <c r="J93" s="47"/>
    </row>
    <row r="94" spans="2:10" x14ac:dyDescent="0.3">
      <c r="B94" s="47">
        <v>42082</v>
      </c>
      <c r="C94" t="s">
        <v>31</v>
      </c>
      <c r="D94" t="s">
        <v>85</v>
      </c>
      <c r="E94" t="s">
        <v>34</v>
      </c>
      <c r="F94" t="s">
        <v>64</v>
      </c>
      <c r="H94" s="47"/>
      <c r="J94" s="47"/>
    </row>
    <row r="95" spans="2:10" x14ac:dyDescent="0.3">
      <c r="B95" s="47">
        <v>42082</v>
      </c>
      <c r="C95" t="s">
        <v>28</v>
      </c>
      <c r="D95" t="s">
        <v>45</v>
      </c>
      <c r="E95" t="s">
        <v>13</v>
      </c>
      <c r="F95" t="s">
        <v>66</v>
      </c>
      <c r="H95" s="47"/>
      <c r="J95" s="47"/>
    </row>
    <row r="96" spans="2:10" x14ac:dyDescent="0.3">
      <c r="B96" s="47">
        <v>42085</v>
      </c>
      <c r="C96" t="s">
        <v>11</v>
      </c>
      <c r="D96" t="s">
        <v>45</v>
      </c>
      <c r="E96" t="s">
        <v>13</v>
      </c>
      <c r="F96" t="s">
        <v>99</v>
      </c>
      <c r="H96" s="47"/>
      <c r="J96" s="47"/>
    </row>
    <row r="97" spans="2:10" x14ac:dyDescent="0.3">
      <c r="B97" s="47">
        <v>42085</v>
      </c>
      <c r="C97" t="s">
        <v>11</v>
      </c>
      <c r="D97" t="s">
        <v>45</v>
      </c>
      <c r="E97" t="s">
        <v>34</v>
      </c>
      <c r="F97" t="s">
        <v>35</v>
      </c>
      <c r="H97" s="47"/>
      <c r="J97" s="47"/>
    </row>
    <row r="98" spans="2:10" x14ac:dyDescent="0.3">
      <c r="B98" s="47">
        <v>42087</v>
      </c>
      <c r="C98" t="s">
        <v>20</v>
      </c>
      <c r="D98" t="s">
        <v>24</v>
      </c>
      <c r="E98" t="s">
        <v>21</v>
      </c>
      <c r="F98" t="s">
        <v>61</v>
      </c>
      <c r="H98" s="47"/>
      <c r="J98" s="47"/>
    </row>
    <row r="99" spans="2:10" x14ac:dyDescent="0.3">
      <c r="B99" s="47">
        <v>42087</v>
      </c>
      <c r="C99" t="s">
        <v>11</v>
      </c>
      <c r="D99" t="s">
        <v>24</v>
      </c>
      <c r="E99" t="s">
        <v>51</v>
      </c>
      <c r="F99" t="s">
        <v>81</v>
      </c>
      <c r="H99" s="47"/>
      <c r="J99" s="47"/>
    </row>
    <row r="100" spans="2:10" x14ac:dyDescent="0.3">
      <c r="B100" s="47">
        <v>42087</v>
      </c>
      <c r="C100" t="s">
        <v>20</v>
      </c>
      <c r="D100" t="s">
        <v>24</v>
      </c>
      <c r="E100" t="s">
        <v>13</v>
      </c>
      <c r="F100" t="s">
        <v>56</v>
      </c>
      <c r="H100" s="47"/>
      <c r="J100" s="47"/>
    </row>
    <row r="101" spans="2:10" x14ac:dyDescent="0.3">
      <c r="B101" s="47">
        <v>42087</v>
      </c>
      <c r="C101" t="s">
        <v>11</v>
      </c>
      <c r="D101" t="s">
        <v>12</v>
      </c>
      <c r="E101" t="s">
        <v>17</v>
      </c>
      <c r="F101" t="s">
        <v>25</v>
      </c>
      <c r="H101" s="47"/>
      <c r="J101" s="47"/>
    </row>
    <row r="102" spans="2:10" x14ac:dyDescent="0.3">
      <c r="B102" s="47">
        <v>42088</v>
      </c>
      <c r="C102" t="s">
        <v>11</v>
      </c>
      <c r="D102" t="s">
        <v>24</v>
      </c>
      <c r="E102" t="s">
        <v>17</v>
      </c>
      <c r="F102" t="s">
        <v>134</v>
      </c>
      <c r="H102" s="47"/>
      <c r="J102" s="47"/>
    </row>
    <row r="103" spans="2:10" x14ac:dyDescent="0.3">
      <c r="B103" s="47">
        <v>42088</v>
      </c>
      <c r="C103" t="s">
        <v>20</v>
      </c>
      <c r="D103" t="s">
        <v>12</v>
      </c>
      <c r="E103" t="s">
        <v>21</v>
      </c>
      <c r="F103" t="s">
        <v>22</v>
      </c>
      <c r="H103" s="47"/>
      <c r="J103" s="47"/>
    </row>
    <row r="104" spans="2:10" x14ac:dyDescent="0.3">
      <c r="B104" s="47">
        <v>42092</v>
      </c>
      <c r="C104" t="s">
        <v>11</v>
      </c>
      <c r="D104" t="s">
        <v>12</v>
      </c>
      <c r="E104" t="s">
        <v>51</v>
      </c>
      <c r="F104" t="s">
        <v>81</v>
      </c>
      <c r="H104" s="47"/>
      <c r="J104" s="47"/>
    </row>
    <row r="105" spans="2:10" x14ac:dyDescent="0.3">
      <c r="B105" s="47">
        <v>42093</v>
      </c>
      <c r="C105" t="s">
        <v>11</v>
      </c>
      <c r="D105" t="s">
        <v>85</v>
      </c>
      <c r="E105" t="s">
        <v>21</v>
      </c>
      <c r="F105" t="s">
        <v>22</v>
      </c>
      <c r="H105" s="47"/>
      <c r="J105" s="47"/>
    </row>
    <row r="106" spans="2:10" x14ac:dyDescent="0.3">
      <c r="B106" s="47">
        <v>42096</v>
      </c>
      <c r="C106" t="s">
        <v>28</v>
      </c>
      <c r="D106" t="s">
        <v>85</v>
      </c>
      <c r="E106" t="s">
        <v>17</v>
      </c>
      <c r="F106" t="s">
        <v>32</v>
      </c>
      <c r="H106" s="47"/>
      <c r="J106" s="47"/>
    </row>
    <row r="107" spans="2:10" x14ac:dyDescent="0.3">
      <c r="B107" s="47">
        <v>42099</v>
      </c>
      <c r="C107" t="s">
        <v>28</v>
      </c>
      <c r="D107" t="s">
        <v>24</v>
      </c>
      <c r="E107" t="s">
        <v>17</v>
      </c>
      <c r="F107" t="s">
        <v>134</v>
      </c>
      <c r="H107" s="47"/>
      <c r="J107" s="47"/>
    </row>
    <row r="108" spans="2:10" x14ac:dyDescent="0.3">
      <c r="B108" s="47">
        <v>42099</v>
      </c>
      <c r="C108" t="s">
        <v>20</v>
      </c>
      <c r="D108" t="s">
        <v>24</v>
      </c>
      <c r="E108" t="s">
        <v>21</v>
      </c>
      <c r="F108" t="s">
        <v>97</v>
      </c>
      <c r="H108" s="47"/>
      <c r="J108" s="47"/>
    </row>
    <row r="109" spans="2:10" x14ac:dyDescent="0.3">
      <c r="B109" s="47">
        <v>42099</v>
      </c>
      <c r="C109" t="s">
        <v>11</v>
      </c>
      <c r="D109" t="s">
        <v>24</v>
      </c>
      <c r="E109" t="s">
        <v>13</v>
      </c>
      <c r="F109" t="s">
        <v>14</v>
      </c>
      <c r="H109" s="47"/>
      <c r="J109" s="47"/>
    </row>
    <row r="110" spans="2:10" x14ac:dyDescent="0.3">
      <c r="B110" s="47">
        <v>42099</v>
      </c>
      <c r="C110" t="s">
        <v>20</v>
      </c>
      <c r="D110" t="s">
        <v>24</v>
      </c>
      <c r="E110" t="s">
        <v>34</v>
      </c>
      <c r="F110" t="s">
        <v>35</v>
      </c>
      <c r="H110" s="47"/>
      <c r="J110" s="47"/>
    </row>
    <row r="111" spans="2:10" x14ac:dyDescent="0.3">
      <c r="B111" s="47">
        <v>42100</v>
      </c>
      <c r="C111" t="s">
        <v>28</v>
      </c>
      <c r="D111" t="s">
        <v>12</v>
      </c>
      <c r="E111" t="s">
        <v>21</v>
      </c>
      <c r="F111" t="s">
        <v>39</v>
      </c>
      <c r="H111" s="47"/>
      <c r="J111" s="47"/>
    </row>
    <row r="112" spans="2:10" x14ac:dyDescent="0.3">
      <c r="B112" s="47">
        <v>42100</v>
      </c>
      <c r="C112" t="s">
        <v>11</v>
      </c>
      <c r="D112" t="s">
        <v>12</v>
      </c>
      <c r="E112" t="s">
        <v>13</v>
      </c>
      <c r="F112" t="s">
        <v>14</v>
      </c>
      <c r="H112" s="47"/>
      <c r="J112" s="47"/>
    </row>
    <row r="113" spans="2:10" x14ac:dyDescent="0.3">
      <c r="B113" s="47">
        <v>42100</v>
      </c>
      <c r="C113" t="s">
        <v>11</v>
      </c>
      <c r="D113" t="s">
        <v>12</v>
      </c>
      <c r="E113" t="s">
        <v>34</v>
      </c>
      <c r="F113" t="s">
        <v>64</v>
      </c>
      <c r="H113" s="47"/>
      <c r="J113" s="47"/>
    </row>
    <row r="114" spans="2:10" x14ac:dyDescent="0.3">
      <c r="B114" s="47">
        <v>42100</v>
      </c>
      <c r="C114" t="s">
        <v>11</v>
      </c>
      <c r="D114" t="s">
        <v>45</v>
      </c>
      <c r="E114" t="s">
        <v>13</v>
      </c>
      <c r="F114" t="s">
        <v>14</v>
      </c>
      <c r="H114" s="47"/>
      <c r="J114" s="47"/>
    </row>
    <row r="115" spans="2:10" x14ac:dyDescent="0.3">
      <c r="B115" s="47">
        <v>42100</v>
      </c>
      <c r="C115" t="s">
        <v>28</v>
      </c>
      <c r="D115" t="s">
        <v>45</v>
      </c>
      <c r="E115" t="s">
        <v>17</v>
      </c>
      <c r="F115" t="s">
        <v>29</v>
      </c>
      <c r="H115" s="47"/>
      <c r="J115" s="47"/>
    </row>
    <row r="116" spans="2:10" x14ac:dyDescent="0.3">
      <c r="B116" s="47">
        <v>42100</v>
      </c>
      <c r="C116" t="s">
        <v>20</v>
      </c>
      <c r="D116" t="s">
        <v>45</v>
      </c>
      <c r="E116" t="s">
        <v>13</v>
      </c>
      <c r="F116" t="s">
        <v>56</v>
      </c>
      <c r="H116" s="47"/>
      <c r="J116" s="47"/>
    </row>
    <row r="117" spans="2:10" x14ac:dyDescent="0.3">
      <c r="B117" s="47">
        <v>42108</v>
      </c>
      <c r="C117" t="s">
        <v>31</v>
      </c>
      <c r="D117" t="s">
        <v>85</v>
      </c>
      <c r="E117" t="s">
        <v>17</v>
      </c>
      <c r="F117" t="s">
        <v>128</v>
      </c>
      <c r="H117" s="47"/>
      <c r="J117" s="47"/>
    </row>
    <row r="118" spans="2:10" x14ac:dyDescent="0.3">
      <c r="B118" s="47">
        <v>42108</v>
      </c>
      <c r="C118" t="s">
        <v>20</v>
      </c>
      <c r="D118" t="s">
        <v>85</v>
      </c>
      <c r="E118" t="s">
        <v>13</v>
      </c>
      <c r="F118" t="s">
        <v>41</v>
      </c>
      <c r="H118" s="47"/>
      <c r="J118" s="47"/>
    </row>
    <row r="119" spans="2:10" x14ac:dyDescent="0.3">
      <c r="B119" s="47">
        <v>42108</v>
      </c>
      <c r="C119" t="s">
        <v>31</v>
      </c>
      <c r="D119" t="s">
        <v>85</v>
      </c>
      <c r="E119" t="s">
        <v>13</v>
      </c>
      <c r="F119" t="s">
        <v>14</v>
      </c>
      <c r="H119" s="47"/>
      <c r="J119" s="47"/>
    </row>
    <row r="120" spans="2:10" x14ac:dyDescent="0.3">
      <c r="B120" s="47">
        <v>42109</v>
      </c>
      <c r="C120" t="s">
        <v>20</v>
      </c>
      <c r="D120" t="s">
        <v>85</v>
      </c>
      <c r="E120" t="s">
        <v>17</v>
      </c>
      <c r="F120" t="s">
        <v>54</v>
      </c>
      <c r="H120" s="47"/>
      <c r="J120" s="47"/>
    </row>
    <row r="121" spans="2:10" x14ac:dyDescent="0.3">
      <c r="B121" s="47">
        <v>42109</v>
      </c>
      <c r="C121" t="s">
        <v>31</v>
      </c>
      <c r="D121" t="s">
        <v>85</v>
      </c>
      <c r="E121" t="s">
        <v>34</v>
      </c>
      <c r="F121" t="s">
        <v>64</v>
      </c>
      <c r="H121" s="47"/>
      <c r="J121" s="47"/>
    </row>
    <row r="122" spans="2:10" x14ac:dyDescent="0.3">
      <c r="B122" s="47">
        <v>42109</v>
      </c>
      <c r="C122" t="s">
        <v>20</v>
      </c>
      <c r="D122" t="s">
        <v>85</v>
      </c>
      <c r="E122" t="s">
        <v>13</v>
      </c>
      <c r="F122" t="s">
        <v>14</v>
      </c>
      <c r="H122" s="47"/>
      <c r="J122" s="47"/>
    </row>
    <row r="123" spans="2:10" x14ac:dyDescent="0.3">
      <c r="B123" s="47">
        <v>42109</v>
      </c>
      <c r="C123" t="s">
        <v>28</v>
      </c>
      <c r="D123" t="s">
        <v>85</v>
      </c>
      <c r="E123" t="s">
        <v>34</v>
      </c>
      <c r="F123" t="s">
        <v>43</v>
      </c>
      <c r="H123" s="47"/>
      <c r="J123" s="47"/>
    </row>
    <row r="124" spans="2:10" x14ac:dyDescent="0.3">
      <c r="B124" s="47">
        <v>42110</v>
      </c>
      <c r="C124" t="s">
        <v>20</v>
      </c>
      <c r="D124" t="s">
        <v>45</v>
      </c>
      <c r="E124" t="s">
        <v>13</v>
      </c>
      <c r="F124" t="s">
        <v>99</v>
      </c>
      <c r="H124" s="47"/>
      <c r="J124" s="47"/>
    </row>
    <row r="125" spans="2:10" x14ac:dyDescent="0.3">
      <c r="B125" s="47">
        <v>42110</v>
      </c>
      <c r="C125" t="s">
        <v>20</v>
      </c>
      <c r="D125" t="s">
        <v>45</v>
      </c>
      <c r="E125" t="s">
        <v>21</v>
      </c>
      <c r="F125" t="s">
        <v>22</v>
      </c>
      <c r="H125" s="47"/>
      <c r="J125" s="47"/>
    </row>
    <row r="126" spans="2:10" x14ac:dyDescent="0.3">
      <c r="B126" s="47">
        <v>42113</v>
      </c>
      <c r="C126" t="s">
        <v>20</v>
      </c>
      <c r="D126" t="s">
        <v>24</v>
      </c>
      <c r="E126" t="s">
        <v>21</v>
      </c>
      <c r="F126" t="s">
        <v>22</v>
      </c>
      <c r="H126" s="47"/>
      <c r="J126" s="47"/>
    </row>
    <row r="127" spans="2:10" x14ac:dyDescent="0.3">
      <c r="B127" s="47">
        <v>42113</v>
      </c>
      <c r="C127" t="s">
        <v>31</v>
      </c>
      <c r="D127" t="s">
        <v>24</v>
      </c>
      <c r="E127" t="s">
        <v>34</v>
      </c>
      <c r="F127" t="s">
        <v>75</v>
      </c>
      <c r="H127" s="47"/>
      <c r="J127" s="47"/>
    </row>
    <row r="128" spans="2:10" x14ac:dyDescent="0.3">
      <c r="B128" s="47">
        <v>42114</v>
      </c>
      <c r="C128" t="s">
        <v>11</v>
      </c>
      <c r="D128" t="s">
        <v>12</v>
      </c>
      <c r="E128" t="s">
        <v>13</v>
      </c>
      <c r="F128" t="s">
        <v>186</v>
      </c>
      <c r="H128" s="47"/>
      <c r="J128" s="47"/>
    </row>
    <row r="129" spans="2:10" x14ac:dyDescent="0.3">
      <c r="B129" s="47">
        <v>42114</v>
      </c>
      <c r="C129" t="s">
        <v>20</v>
      </c>
      <c r="D129" t="s">
        <v>12</v>
      </c>
      <c r="E129" t="s">
        <v>34</v>
      </c>
      <c r="F129" t="s">
        <v>188</v>
      </c>
      <c r="H129" s="47"/>
      <c r="J129" s="47"/>
    </row>
    <row r="130" spans="2:10" x14ac:dyDescent="0.3">
      <c r="B130" s="47">
        <v>42114</v>
      </c>
      <c r="C130" t="s">
        <v>28</v>
      </c>
      <c r="D130" t="s">
        <v>45</v>
      </c>
      <c r="E130" t="s">
        <v>17</v>
      </c>
      <c r="F130" t="s">
        <v>29</v>
      </c>
      <c r="H130" s="47"/>
      <c r="J130" s="47"/>
    </row>
    <row r="131" spans="2:10" x14ac:dyDescent="0.3">
      <c r="B131" s="47">
        <v>42114</v>
      </c>
      <c r="C131" t="s">
        <v>11</v>
      </c>
      <c r="D131" t="s">
        <v>45</v>
      </c>
      <c r="E131" t="s">
        <v>13</v>
      </c>
      <c r="F131" t="s">
        <v>14</v>
      </c>
      <c r="H131" s="47"/>
      <c r="J131" s="47"/>
    </row>
    <row r="132" spans="2:10" x14ac:dyDescent="0.3">
      <c r="B132" s="47">
        <v>42115</v>
      </c>
      <c r="C132" t="s">
        <v>28</v>
      </c>
      <c r="D132" t="s">
        <v>45</v>
      </c>
      <c r="E132" t="s">
        <v>21</v>
      </c>
      <c r="F132" t="s">
        <v>87</v>
      </c>
      <c r="H132" s="47"/>
      <c r="J132" s="47"/>
    </row>
    <row r="133" spans="2:10" x14ac:dyDescent="0.3">
      <c r="B133" s="47">
        <v>42115</v>
      </c>
      <c r="C133" t="s">
        <v>11</v>
      </c>
      <c r="D133" t="s">
        <v>45</v>
      </c>
      <c r="E133" t="s">
        <v>13</v>
      </c>
      <c r="F133" t="s">
        <v>124</v>
      </c>
      <c r="H133" s="47"/>
      <c r="J133" s="47"/>
    </row>
    <row r="134" spans="2:10" x14ac:dyDescent="0.3">
      <c r="B134" s="47">
        <v>42115</v>
      </c>
      <c r="C134" t="s">
        <v>31</v>
      </c>
      <c r="D134" t="s">
        <v>45</v>
      </c>
      <c r="E134" t="s">
        <v>13</v>
      </c>
      <c r="F134" t="s">
        <v>113</v>
      </c>
      <c r="H134" s="47"/>
      <c r="J134" s="47"/>
    </row>
    <row r="135" spans="2:10" x14ac:dyDescent="0.3">
      <c r="B135" s="47">
        <v>42115</v>
      </c>
      <c r="C135" t="s">
        <v>31</v>
      </c>
      <c r="D135" t="s">
        <v>45</v>
      </c>
      <c r="E135" t="s">
        <v>34</v>
      </c>
      <c r="F135" t="s">
        <v>77</v>
      </c>
      <c r="H135" s="47"/>
      <c r="J135" s="47"/>
    </row>
    <row r="136" spans="2:10" x14ac:dyDescent="0.3">
      <c r="B136" s="47">
        <v>42121</v>
      </c>
      <c r="C136" t="s">
        <v>31</v>
      </c>
      <c r="D136" t="s">
        <v>85</v>
      </c>
      <c r="E136" t="s">
        <v>17</v>
      </c>
      <c r="F136" t="s">
        <v>54</v>
      </c>
      <c r="H136" s="47"/>
      <c r="J136" s="47"/>
    </row>
    <row r="137" spans="2:10" x14ac:dyDescent="0.3">
      <c r="B137" s="47">
        <v>42122</v>
      </c>
      <c r="C137" t="s">
        <v>28</v>
      </c>
      <c r="D137" t="s">
        <v>12</v>
      </c>
      <c r="E137" t="s">
        <v>21</v>
      </c>
      <c r="F137" t="s">
        <v>197</v>
      </c>
      <c r="H137" s="47"/>
      <c r="J137" s="47"/>
    </row>
    <row r="138" spans="2:10" x14ac:dyDescent="0.3">
      <c r="B138" s="47">
        <v>42122</v>
      </c>
      <c r="C138" t="s">
        <v>20</v>
      </c>
      <c r="D138" t="s">
        <v>12</v>
      </c>
      <c r="E138" t="s">
        <v>21</v>
      </c>
      <c r="F138" t="s">
        <v>22</v>
      </c>
      <c r="H138" s="47"/>
      <c r="J138" s="47"/>
    </row>
    <row r="139" spans="2:10" x14ac:dyDescent="0.3">
      <c r="B139" s="47">
        <v>42124</v>
      </c>
      <c r="C139" t="s">
        <v>31</v>
      </c>
      <c r="D139" t="s">
        <v>12</v>
      </c>
      <c r="E139" t="s">
        <v>13</v>
      </c>
      <c r="F139" t="s">
        <v>200</v>
      </c>
      <c r="H139" s="47"/>
      <c r="J139" s="47"/>
    </row>
    <row r="140" spans="2:10" x14ac:dyDescent="0.3">
      <c r="B140" s="47">
        <v>42124</v>
      </c>
      <c r="C140" t="s">
        <v>28</v>
      </c>
      <c r="D140" t="s">
        <v>45</v>
      </c>
      <c r="E140" t="s">
        <v>17</v>
      </c>
      <c r="F140" t="s">
        <v>79</v>
      </c>
      <c r="H140" s="47"/>
      <c r="J140" s="47"/>
    </row>
    <row r="141" spans="2:10" x14ac:dyDescent="0.3">
      <c r="B141" s="47">
        <v>42124</v>
      </c>
      <c r="C141" t="s">
        <v>31</v>
      </c>
      <c r="D141" t="s">
        <v>45</v>
      </c>
      <c r="E141" t="s">
        <v>21</v>
      </c>
      <c r="F141" t="s">
        <v>61</v>
      </c>
      <c r="H141" s="47"/>
      <c r="J141" s="47"/>
    </row>
    <row r="142" spans="2:10" x14ac:dyDescent="0.3">
      <c r="B142" s="47">
        <v>42127</v>
      </c>
      <c r="C142" t="s">
        <v>11</v>
      </c>
      <c r="D142" t="s">
        <v>12</v>
      </c>
      <c r="E142" t="s">
        <v>17</v>
      </c>
      <c r="F142" t="s">
        <v>29</v>
      </c>
      <c r="H142" s="47"/>
      <c r="J142" s="47"/>
    </row>
    <row r="143" spans="2:10" x14ac:dyDescent="0.3">
      <c r="B143" s="47">
        <v>42127</v>
      </c>
      <c r="C143" t="s">
        <v>11</v>
      </c>
      <c r="D143" t="s">
        <v>12</v>
      </c>
      <c r="E143" t="s">
        <v>21</v>
      </c>
      <c r="F143" t="s">
        <v>22</v>
      </c>
      <c r="H143" s="47"/>
      <c r="J143" s="47"/>
    </row>
    <row r="144" spans="2:10" x14ac:dyDescent="0.3">
      <c r="B144" s="47">
        <v>42128</v>
      </c>
      <c r="C144" t="s">
        <v>11</v>
      </c>
      <c r="D144" t="s">
        <v>24</v>
      </c>
      <c r="E144" t="s">
        <v>17</v>
      </c>
      <c r="F144" t="s">
        <v>70</v>
      </c>
      <c r="H144" s="47"/>
      <c r="J144" s="47"/>
    </row>
    <row r="145" spans="2:10" x14ac:dyDescent="0.3">
      <c r="B145" s="47">
        <v>42128</v>
      </c>
      <c r="C145" t="s">
        <v>31</v>
      </c>
      <c r="D145" t="s">
        <v>45</v>
      </c>
      <c r="E145" t="s">
        <v>51</v>
      </c>
      <c r="F145" t="s">
        <v>81</v>
      </c>
      <c r="H145" s="47"/>
      <c r="J145" s="47"/>
    </row>
    <row r="146" spans="2:10" x14ac:dyDescent="0.3">
      <c r="B146" s="47">
        <v>42128</v>
      </c>
      <c r="C146" t="s">
        <v>20</v>
      </c>
      <c r="D146" t="s">
        <v>45</v>
      </c>
      <c r="E146" t="s">
        <v>21</v>
      </c>
      <c r="F146" t="s">
        <v>22</v>
      </c>
      <c r="H146" s="47"/>
      <c r="J146" s="47"/>
    </row>
    <row r="147" spans="2:10" x14ac:dyDescent="0.3">
      <c r="B147" s="47">
        <v>42128</v>
      </c>
      <c r="C147" t="s">
        <v>20</v>
      </c>
      <c r="D147" t="s">
        <v>45</v>
      </c>
      <c r="E147" t="s">
        <v>13</v>
      </c>
      <c r="F147" t="s">
        <v>41</v>
      </c>
      <c r="H147" s="47"/>
      <c r="J147" s="47"/>
    </row>
    <row r="148" spans="2:10" x14ac:dyDescent="0.3">
      <c r="B148" s="47">
        <v>42129</v>
      </c>
      <c r="C148" t="s">
        <v>11</v>
      </c>
      <c r="D148" t="s">
        <v>12</v>
      </c>
      <c r="E148" t="s">
        <v>51</v>
      </c>
      <c r="F148" t="s">
        <v>118</v>
      </c>
      <c r="H148" s="47"/>
      <c r="J148" s="47"/>
    </row>
    <row r="149" spans="2:10" x14ac:dyDescent="0.3">
      <c r="B149" s="47">
        <v>42129</v>
      </c>
      <c r="C149" t="s">
        <v>20</v>
      </c>
      <c r="D149" t="s">
        <v>12</v>
      </c>
      <c r="E149" t="s">
        <v>13</v>
      </c>
      <c r="F149" t="s">
        <v>41</v>
      </c>
      <c r="H149" s="47"/>
      <c r="J149" s="47"/>
    </row>
    <row r="150" spans="2:10" x14ac:dyDescent="0.3">
      <c r="B150" s="47">
        <v>42129</v>
      </c>
      <c r="C150" t="s">
        <v>11</v>
      </c>
      <c r="D150" t="s">
        <v>12</v>
      </c>
      <c r="E150" t="s">
        <v>51</v>
      </c>
      <c r="F150" t="s">
        <v>81</v>
      </c>
      <c r="H150" s="47"/>
      <c r="J150" s="47"/>
    </row>
    <row r="151" spans="2:10" x14ac:dyDescent="0.3">
      <c r="B151" s="47">
        <v>42129</v>
      </c>
      <c r="C151" t="s">
        <v>11</v>
      </c>
      <c r="D151" t="s">
        <v>45</v>
      </c>
      <c r="E151" t="s">
        <v>17</v>
      </c>
      <c r="F151" t="s">
        <v>54</v>
      </c>
      <c r="H151" s="47"/>
      <c r="J151" s="47"/>
    </row>
    <row r="152" spans="2:10" x14ac:dyDescent="0.3">
      <c r="B152" s="47">
        <v>42134</v>
      </c>
      <c r="C152" t="s">
        <v>20</v>
      </c>
      <c r="D152" t="s">
        <v>12</v>
      </c>
      <c r="E152" t="s">
        <v>17</v>
      </c>
      <c r="F152" t="s">
        <v>29</v>
      </c>
      <c r="H152" s="47"/>
      <c r="J152" s="47"/>
    </row>
    <row r="153" spans="2:10" x14ac:dyDescent="0.3">
      <c r="B153" s="47">
        <v>42134</v>
      </c>
      <c r="C153" t="s">
        <v>20</v>
      </c>
      <c r="D153" t="s">
        <v>12</v>
      </c>
      <c r="E153" t="s">
        <v>21</v>
      </c>
      <c r="F153" t="s">
        <v>97</v>
      </c>
      <c r="H153" s="47"/>
      <c r="J153" s="47"/>
    </row>
    <row r="154" spans="2:10" x14ac:dyDescent="0.3">
      <c r="B154" s="47">
        <v>42134</v>
      </c>
      <c r="C154" t="s">
        <v>11</v>
      </c>
      <c r="D154" t="s">
        <v>12</v>
      </c>
      <c r="E154" t="s">
        <v>51</v>
      </c>
      <c r="F154" t="s">
        <v>81</v>
      </c>
      <c r="H154" s="47"/>
      <c r="J154" s="47"/>
    </row>
    <row r="155" spans="2:10" x14ac:dyDescent="0.3">
      <c r="B155" s="47">
        <v>42189</v>
      </c>
      <c r="C155" t="s">
        <v>31</v>
      </c>
      <c r="D155" t="s">
        <v>24</v>
      </c>
      <c r="E155" t="s">
        <v>13</v>
      </c>
      <c r="F155" t="s">
        <v>113</v>
      </c>
      <c r="H155" s="47"/>
      <c r="J155" s="47"/>
    </row>
    <row r="156" spans="2:10" x14ac:dyDescent="0.3">
      <c r="B156" s="47">
        <v>42215</v>
      </c>
      <c r="C156" t="s">
        <v>20</v>
      </c>
      <c r="D156" t="s">
        <v>12</v>
      </c>
      <c r="E156" t="s">
        <v>17</v>
      </c>
      <c r="F156" t="s">
        <v>18</v>
      </c>
      <c r="H156" s="47"/>
      <c r="J156" s="47"/>
    </row>
    <row r="157" spans="2:10" x14ac:dyDescent="0.3">
      <c r="B157" s="47">
        <v>42212</v>
      </c>
      <c r="C157" t="s">
        <v>11</v>
      </c>
      <c r="D157" t="s">
        <v>12</v>
      </c>
      <c r="E157" t="s">
        <v>51</v>
      </c>
      <c r="F157" t="s">
        <v>59</v>
      </c>
      <c r="H157" s="47"/>
      <c r="J157" s="47"/>
    </row>
    <row r="158" spans="2:10" x14ac:dyDescent="0.3">
      <c r="B158" s="47">
        <v>42220</v>
      </c>
      <c r="C158" t="s">
        <v>31</v>
      </c>
      <c r="D158" t="s">
        <v>12</v>
      </c>
      <c r="E158" t="s">
        <v>34</v>
      </c>
      <c r="F158" t="s">
        <v>64</v>
      </c>
      <c r="H158" s="47"/>
      <c r="J158" s="47"/>
    </row>
    <row r="159" spans="2:10" x14ac:dyDescent="0.3">
      <c r="B159" s="47">
        <v>42210</v>
      </c>
      <c r="C159" t="s">
        <v>11</v>
      </c>
      <c r="D159" t="s">
        <v>12</v>
      </c>
      <c r="E159" t="s">
        <v>13</v>
      </c>
      <c r="F159" t="s">
        <v>124</v>
      </c>
      <c r="H159" s="47"/>
      <c r="J159" s="47"/>
    </row>
    <row r="160" spans="2:10" x14ac:dyDescent="0.3">
      <c r="B160" s="47">
        <v>42215</v>
      </c>
      <c r="C160" t="s">
        <v>28</v>
      </c>
      <c r="D160" t="s">
        <v>24</v>
      </c>
      <c r="E160" t="s">
        <v>34</v>
      </c>
      <c r="F160" t="s">
        <v>64</v>
      </c>
      <c r="H160" s="47"/>
      <c r="J160" s="47"/>
    </row>
    <row r="161" spans="2:10" x14ac:dyDescent="0.3">
      <c r="B161" s="47">
        <v>42217</v>
      </c>
      <c r="C161" t="s">
        <v>20</v>
      </c>
      <c r="D161" t="s">
        <v>12</v>
      </c>
      <c r="E161" t="s">
        <v>34</v>
      </c>
      <c r="F161" t="s">
        <v>77</v>
      </c>
      <c r="H161" s="47"/>
      <c r="J161" s="47"/>
    </row>
    <row r="162" spans="2:10" x14ac:dyDescent="0.3">
      <c r="B162" s="47">
        <v>42208</v>
      </c>
      <c r="C162" t="s">
        <v>11</v>
      </c>
      <c r="D162" t="s">
        <v>24</v>
      </c>
      <c r="E162" t="s">
        <v>34</v>
      </c>
      <c r="F162" t="s">
        <v>77</v>
      </c>
      <c r="H162" s="47"/>
      <c r="J162" s="47"/>
    </row>
    <row r="163" spans="2:10" x14ac:dyDescent="0.3">
      <c r="B163" s="47">
        <v>42194</v>
      </c>
      <c r="C163" t="s">
        <v>28</v>
      </c>
      <c r="D163" t="s">
        <v>45</v>
      </c>
      <c r="E163" t="s">
        <v>21</v>
      </c>
      <c r="F163" t="s">
        <v>111</v>
      </c>
      <c r="H163" s="47"/>
      <c r="J163" s="47"/>
    </row>
    <row r="164" spans="2:10" x14ac:dyDescent="0.3">
      <c r="B164" s="47">
        <v>42195</v>
      </c>
      <c r="C164" t="s">
        <v>28</v>
      </c>
      <c r="D164" t="s">
        <v>12</v>
      </c>
      <c r="E164" t="s">
        <v>13</v>
      </c>
      <c r="F164" t="s">
        <v>41</v>
      </c>
      <c r="H164" s="47"/>
      <c r="J164" s="47"/>
    </row>
    <row r="165" spans="2:10" x14ac:dyDescent="0.3">
      <c r="B165" s="47">
        <v>42208</v>
      </c>
      <c r="C165" t="s">
        <v>11</v>
      </c>
      <c r="D165" t="s">
        <v>45</v>
      </c>
      <c r="E165" t="s">
        <v>34</v>
      </c>
      <c r="F165" t="s">
        <v>64</v>
      </c>
      <c r="H165" s="47"/>
      <c r="J165" s="47"/>
    </row>
    <row r="166" spans="2:10" x14ac:dyDescent="0.3">
      <c r="B166" s="47">
        <v>42216</v>
      </c>
      <c r="C166" t="s">
        <v>28</v>
      </c>
      <c r="D166" t="s">
        <v>12</v>
      </c>
      <c r="E166" t="s">
        <v>13</v>
      </c>
      <c r="F166" t="s">
        <v>14</v>
      </c>
      <c r="H166" s="47"/>
      <c r="J166" s="47"/>
    </row>
    <row r="167" spans="2:10" x14ac:dyDescent="0.3">
      <c r="B167" s="47">
        <v>42193</v>
      </c>
      <c r="C167" t="s">
        <v>11</v>
      </c>
      <c r="D167" t="s">
        <v>12</v>
      </c>
      <c r="E167" t="s">
        <v>34</v>
      </c>
      <c r="F167" t="s">
        <v>77</v>
      </c>
      <c r="H167" s="47"/>
      <c r="J167" s="47"/>
    </row>
    <row r="168" spans="2:10" x14ac:dyDescent="0.3">
      <c r="B168" s="47">
        <v>42199</v>
      </c>
      <c r="C168" t="s">
        <v>31</v>
      </c>
      <c r="D168" t="s">
        <v>45</v>
      </c>
      <c r="E168" t="s">
        <v>13</v>
      </c>
      <c r="F168" t="s">
        <v>41</v>
      </c>
      <c r="H168" s="47"/>
      <c r="J168" s="47"/>
    </row>
    <row r="169" spans="2:10" x14ac:dyDescent="0.3">
      <c r="B169" s="47">
        <v>42200</v>
      </c>
      <c r="C169" t="s">
        <v>11</v>
      </c>
      <c r="D169" t="s">
        <v>12</v>
      </c>
      <c r="E169" t="s">
        <v>17</v>
      </c>
      <c r="F169" t="s">
        <v>25</v>
      </c>
      <c r="H169" s="47"/>
      <c r="J169" s="47"/>
    </row>
    <row r="170" spans="2:10" x14ac:dyDescent="0.3">
      <c r="B170" s="47">
        <v>42193</v>
      </c>
      <c r="C170" t="s">
        <v>11</v>
      </c>
      <c r="D170" t="s">
        <v>12</v>
      </c>
      <c r="E170" t="s">
        <v>17</v>
      </c>
      <c r="F170" t="s">
        <v>79</v>
      </c>
      <c r="H170" s="47"/>
      <c r="J170" s="47"/>
    </row>
    <row r="171" spans="2:10" x14ac:dyDescent="0.3">
      <c r="B171" s="47">
        <v>42191</v>
      </c>
      <c r="C171" t="s">
        <v>20</v>
      </c>
      <c r="D171" t="s">
        <v>24</v>
      </c>
      <c r="E171" t="s">
        <v>21</v>
      </c>
      <c r="F171" t="s">
        <v>87</v>
      </c>
      <c r="H171" s="47"/>
      <c r="J171" s="47"/>
    </row>
    <row r="172" spans="2:10" x14ac:dyDescent="0.3">
      <c r="B172" s="47">
        <v>42191</v>
      </c>
      <c r="C172" t="s">
        <v>20</v>
      </c>
      <c r="D172" t="s">
        <v>12</v>
      </c>
      <c r="E172" t="s">
        <v>17</v>
      </c>
      <c r="F172" t="s">
        <v>54</v>
      </c>
      <c r="H172" s="47"/>
      <c r="J172" s="47"/>
    </row>
    <row r="173" spans="2:10" x14ac:dyDescent="0.3">
      <c r="B173" s="47">
        <v>42191</v>
      </c>
      <c r="C173" t="s">
        <v>11</v>
      </c>
      <c r="D173" t="s">
        <v>12</v>
      </c>
      <c r="E173" t="s">
        <v>34</v>
      </c>
      <c r="F173" t="s">
        <v>64</v>
      </c>
      <c r="H173" s="47"/>
      <c r="J173" s="47"/>
    </row>
    <row r="174" spans="2:10" x14ac:dyDescent="0.3">
      <c r="B174" s="47">
        <v>42193</v>
      </c>
      <c r="C174" t="s">
        <v>31</v>
      </c>
      <c r="D174" t="s">
        <v>24</v>
      </c>
      <c r="E174" t="s">
        <v>34</v>
      </c>
      <c r="F174" t="s">
        <v>75</v>
      </c>
      <c r="H174" s="47"/>
      <c r="J174" s="47"/>
    </row>
    <row r="175" spans="2:10" x14ac:dyDescent="0.3">
      <c r="B175" s="47">
        <v>42193</v>
      </c>
      <c r="C175" t="s">
        <v>28</v>
      </c>
      <c r="D175" t="s">
        <v>12</v>
      </c>
      <c r="E175" t="s">
        <v>17</v>
      </c>
      <c r="F175" t="s">
        <v>37</v>
      </c>
      <c r="H175" s="47"/>
      <c r="J175" s="47"/>
    </row>
    <row r="176" spans="2:10" x14ac:dyDescent="0.3">
      <c r="B176" s="47">
        <v>42193</v>
      </c>
      <c r="C176" t="s">
        <v>31</v>
      </c>
      <c r="D176" t="s">
        <v>12</v>
      </c>
      <c r="E176" t="s">
        <v>13</v>
      </c>
      <c r="F176" t="s">
        <v>99</v>
      </c>
      <c r="H176" s="47"/>
      <c r="J176" s="47"/>
    </row>
    <row r="177" spans="2:10" x14ac:dyDescent="0.3">
      <c r="B177" s="47">
        <v>42198</v>
      </c>
      <c r="C177" t="s">
        <v>11</v>
      </c>
      <c r="D177" t="s">
        <v>12</v>
      </c>
      <c r="E177" t="s">
        <v>51</v>
      </c>
      <c r="F177" t="s">
        <v>138</v>
      </c>
      <c r="H177" s="47"/>
      <c r="J177" s="47"/>
    </row>
    <row r="178" spans="2:10" x14ac:dyDescent="0.3">
      <c r="B178" s="47">
        <v>42198</v>
      </c>
      <c r="C178" t="s">
        <v>20</v>
      </c>
      <c r="D178" t="s">
        <v>12</v>
      </c>
      <c r="E178" t="s">
        <v>21</v>
      </c>
      <c r="F178" t="s">
        <v>97</v>
      </c>
      <c r="H178" s="47"/>
      <c r="J178" s="47"/>
    </row>
    <row r="179" spans="2:10" x14ac:dyDescent="0.3">
      <c r="B179" s="47">
        <v>42202</v>
      </c>
      <c r="C179" t="s">
        <v>28</v>
      </c>
      <c r="D179" t="s">
        <v>12</v>
      </c>
      <c r="E179" t="s">
        <v>17</v>
      </c>
      <c r="F179" t="s">
        <v>72</v>
      </c>
      <c r="H179" s="47"/>
      <c r="J179" s="47"/>
    </row>
    <row r="180" spans="2:10" x14ac:dyDescent="0.3">
      <c r="B180" s="47">
        <v>42202</v>
      </c>
      <c r="C180" t="s">
        <v>28</v>
      </c>
      <c r="D180" t="s">
        <v>12</v>
      </c>
      <c r="E180" t="s">
        <v>34</v>
      </c>
      <c r="F180" t="s">
        <v>241</v>
      </c>
      <c r="H180" s="47"/>
      <c r="J180" s="47"/>
    </row>
    <row r="181" spans="2:10" x14ac:dyDescent="0.3">
      <c r="B181" s="47">
        <v>42228</v>
      </c>
      <c r="C181" t="s">
        <v>31</v>
      </c>
      <c r="D181" t="s">
        <v>85</v>
      </c>
      <c r="E181" t="s">
        <v>17</v>
      </c>
      <c r="F181" t="s">
        <v>128</v>
      </c>
      <c r="H181" s="47"/>
      <c r="J181" s="47"/>
    </row>
    <row r="182" spans="2:10" x14ac:dyDescent="0.3">
      <c r="B182" s="47">
        <v>42228</v>
      </c>
      <c r="C182" t="s">
        <v>31</v>
      </c>
      <c r="D182" t="s">
        <v>85</v>
      </c>
      <c r="E182" t="s">
        <v>17</v>
      </c>
      <c r="F182" t="s">
        <v>72</v>
      </c>
      <c r="H182" s="47"/>
      <c r="J182" s="47"/>
    </row>
    <row r="183" spans="2:10" x14ac:dyDescent="0.3">
      <c r="B183" s="47">
        <v>42228</v>
      </c>
      <c r="C183" t="s">
        <v>28</v>
      </c>
      <c r="D183" t="s">
        <v>85</v>
      </c>
      <c r="E183" t="s">
        <v>34</v>
      </c>
      <c r="F183" t="s">
        <v>188</v>
      </c>
      <c r="H183" s="47"/>
      <c r="J183" s="47"/>
    </row>
    <row r="184" spans="2:10" x14ac:dyDescent="0.3">
      <c r="B184" s="47">
        <v>42229</v>
      </c>
      <c r="C184" t="s">
        <v>28</v>
      </c>
      <c r="D184" t="s">
        <v>85</v>
      </c>
      <c r="E184" t="s">
        <v>13</v>
      </c>
      <c r="F184" t="s">
        <v>14</v>
      </c>
      <c r="H184" s="47"/>
      <c r="J184" s="47"/>
    </row>
    <row r="185" spans="2:10" x14ac:dyDescent="0.3">
      <c r="B185" s="47">
        <v>42229</v>
      </c>
      <c r="C185" t="s">
        <v>20</v>
      </c>
      <c r="D185" t="s">
        <v>85</v>
      </c>
      <c r="E185" t="s">
        <v>51</v>
      </c>
      <c r="F185" t="s">
        <v>81</v>
      </c>
      <c r="H185" s="47"/>
      <c r="J185" s="47"/>
    </row>
    <row r="186" spans="2:10" x14ac:dyDescent="0.3">
      <c r="B186" s="47">
        <v>42236</v>
      </c>
      <c r="C186" t="s">
        <v>20</v>
      </c>
      <c r="D186" t="s">
        <v>24</v>
      </c>
      <c r="E186" t="s">
        <v>13</v>
      </c>
      <c r="F186" t="s">
        <v>14</v>
      </c>
      <c r="H186" s="47"/>
      <c r="J186" s="47"/>
    </row>
    <row r="187" spans="2:10" x14ac:dyDescent="0.3">
      <c r="B187" s="47">
        <v>42236</v>
      </c>
      <c r="C187" t="s">
        <v>31</v>
      </c>
      <c r="D187" t="s">
        <v>12</v>
      </c>
      <c r="E187" t="s">
        <v>17</v>
      </c>
      <c r="F187" t="s">
        <v>144</v>
      </c>
      <c r="H187" s="47"/>
      <c r="J187" s="47"/>
    </row>
    <row r="188" spans="2:10" x14ac:dyDescent="0.3">
      <c r="B188" s="47">
        <v>42236</v>
      </c>
      <c r="C188" t="s">
        <v>28</v>
      </c>
      <c r="D188" t="s">
        <v>12</v>
      </c>
      <c r="E188" t="s">
        <v>34</v>
      </c>
      <c r="F188" t="s">
        <v>94</v>
      </c>
      <c r="H188" s="47"/>
      <c r="J188" s="47"/>
    </row>
    <row r="189" spans="2:10" x14ac:dyDescent="0.3">
      <c r="B189" s="47">
        <v>42240</v>
      </c>
      <c r="C189" t="s">
        <v>28</v>
      </c>
      <c r="D189" t="s">
        <v>45</v>
      </c>
      <c r="E189" t="s">
        <v>21</v>
      </c>
      <c r="F189" t="s">
        <v>251</v>
      </c>
      <c r="H189" s="47"/>
      <c r="J189" s="47"/>
    </row>
    <row r="190" spans="2:10" x14ac:dyDescent="0.3">
      <c r="B190" s="47">
        <v>42240</v>
      </c>
      <c r="C190" t="s">
        <v>28</v>
      </c>
      <c r="D190" t="s">
        <v>45</v>
      </c>
      <c r="E190" t="s">
        <v>34</v>
      </c>
      <c r="F190" t="s">
        <v>64</v>
      </c>
      <c r="H190" s="47"/>
      <c r="J190" s="47"/>
    </row>
    <row r="191" spans="2:10" x14ac:dyDescent="0.3">
      <c r="B191" s="47">
        <v>42241</v>
      </c>
      <c r="C191" t="s">
        <v>28</v>
      </c>
      <c r="D191" t="s">
        <v>12</v>
      </c>
      <c r="E191" t="s">
        <v>21</v>
      </c>
      <c r="F191" t="s">
        <v>197</v>
      </c>
      <c r="H191" s="47"/>
      <c r="J191" s="47"/>
    </row>
    <row r="192" spans="2:10" x14ac:dyDescent="0.3">
      <c r="B192" s="47">
        <v>42241</v>
      </c>
      <c r="C192" t="s">
        <v>20</v>
      </c>
      <c r="D192" t="s">
        <v>12</v>
      </c>
      <c r="E192" t="s">
        <v>21</v>
      </c>
      <c r="F192" t="s">
        <v>22</v>
      </c>
      <c r="H192" s="47"/>
      <c r="J192" s="47"/>
    </row>
    <row r="193" spans="2:10" x14ac:dyDescent="0.3">
      <c r="B193" s="47">
        <v>42241</v>
      </c>
      <c r="C193" t="s">
        <v>28</v>
      </c>
      <c r="D193" t="s">
        <v>12</v>
      </c>
      <c r="E193" t="s">
        <v>17</v>
      </c>
      <c r="F193" t="s">
        <v>54</v>
      </c>
      <c r="H193" s="47"/>
      <c r="J193" s="47"/>
    </row>
    <row r="194" spans="2:10" x14ac:dyDescent="0.3">
      <c r="B194" s="47">
        <v>42241</v>
      </c>
      <c r="C194" t="s">
        <v>28</v>
      </c>
      <c r="D194" t="s">
        <v>12</v>
      </c>
      <c r="E194" t="s">
        <v>51</v>
      </c>
      <c r="F194" t="s">
        <v>52</v>
      </c>
      <c r="H194" s="47"/>
      <c r="J194" s="47"/>
    </row>
    <row r="195" spans="2:10" x14ac:dyDescent="0.3">
      <c r="B195" s="47">
        <v>42241</v>
      </c>
      <c r="C195" t="s">
        <v>28</v>
      </c>
      <c r="D195" t="s">
        <v>12</v>
      </c>
      <c r="E195" t="s">
        <v>21</v>
      </c>
      <c r="F195" t="s">
        <v>61</v>
      </c>
      <c r="H195" s="47"/>
      <c r="J195" s="47"/>
    </row>
    <row r="196" spans="2:10" x14ac:dyDescent="0.3">
      <c r="B196" s="47">
        <v>42241</v>
      </c>
      <c r="C196" t="s">
        <v>28</v>
      </c>
      <c r="D196" t="s">
        <v>12</v>
      </c>
      <c r="E196" t="s">
        <v>21</v>
      </c>
      <c r="F196" t="s">
        <v>97</v>
      </c>
      <c r="H196" s="47"/>
      <c r="J196" s="47"/>
    </row>
    <row r="197" spans="2:10" x14ac:dyDescent="0.3">
      <c r="B197" s="47">
        <v>42241</v>
      </c>
      <c r="C197" t="s">
        <v>28</v>
      </c>
      <c r="D197" t="s">
        <v>12</v>
      </c>
      <c r="E197" t="s">
        <v>34</v>
      </c>
      <c r="F197" t="s">
        <v>75</v>
      </c>
      <c r="H197" s="47"/>
      <c r="J197" s="47"/>
    </row>
    <row r="198" spans="2:10" x14ac:dyDescent="0.3">
      <c r="B198" s="47">
        <v>42242</v>
      </c>
      <c r="C198" t="s">
        <v>31</v>
      </c>
      <c r="D198" t="s">
        <v>12</v>
      </c>
      <c r="E198" t="s">
        <v>34</v>
      </c>
      <c r="F198" t="s">
        <v>35</v>
      </c>
      <c r="H198" s="47"/>
      <c r="J198" s="47"/>
    </row>
    <row r="199" spans="2:10" x14ac:dyDescent="0.3">
      <c r="B199" s="47">
        <v>42251</v>
      </c>
      <c r="C199" t="s">
        <v>28</v>
      </c>
      <c r="D199" t="s">
        <v>12</v>
      </c>
      <c r="E199" t="s">
        <v>17</v>
      </c>
      <c r="F199" t="s">
        <v>54</v>
      </c>
      <c r="H199" s="47"/>
      <c r="J199" s="47"/>
    </row>
    <row r="200" spans="2:10" x14ac:dyDescent="0.3">
      <c r="B200" s="47">
        <v>42251</v>
      </c>
      <c r="C200" t="s">
        <v>20</v>
      </c>
      <c r="D200" t="s">
        <v>12</v>
      </c>
      <c r="E200" t="s">
        <v>34</v>
      </c>
      <c r="F200" t="s">
        <v>188</v>
      </c>
      <c r="H200" s="47"/>
      <c r="J200" s="47"/>
    </row>
    <row r="201" spans="2:10" x14ac:dyDescent="0.3">
      <c r="B201" s="47">
        <v>42256</v>
      </c>
      <c r="C201" t="s">
        <v>11</v>
      </c>
      <c r="D201" t="s">
        <v>85</v>
      </c>
      <c r="E201" t="s">
        <v>21</v>
      </c>
      <c r="F201" t="s">
        <v>87</v>
      </c>
      <c r="H201" s="47"/>
      <c r="J201" s="47"/>
    </row>
    <row r="202" spans="2:10" x14ac:dyDescent="0.3">
      <c r="B202" s="47">
        <v>42256</v>
      </c>
      <c r="C202" t="s">
        <v>11</v>
      </c>
      <c r="D202" t="s">
        <v>85</v>
      </c>
      <c r="E202" t="s">
        <v>34</v>
      </c>
      <c r="F202" t="s">
        <v>64</v>
      </c>
      <c r="H202" s="47"/>
      <c r="J202" s="47"/>
    </row>
    <row r="203" spans="2:10" x14ac:dyDescent="0.3">
      <c r="B203" s="47">
        <v>42256</v>
      </c>
      <c r="C203" t="s">
        <v>31</v>
      </c>
      <c r="D203" t="s">
        <v>85</v>
      </c>
      <c r="E203" t="s">
        <v>34</v>
      </c>
      <c r="F203" t="s">
        <v>43</v>
      </c>
      <c r="H203" s="47"/>
      <c r="J203" s="47"/>
    </row>
    <row r="204" spans="2:10" x14ac:dyDescent="0.3">
      <c r="B204" s="47">
        <v>42261</v>
      </c>
      <c r="C204" t="s">
        <v>20</v>
      </c>
      <c r="D204" t="s">
        <v>85</v>
      </c>
      <c r="E204" t="s">
        <v>51</v>
      </c>
      <c r="F204" t="s">
        <v>138</v>
      </c>
      <c r="H204" s="47"/>
      <c r="J204" s="47"/>
    </row>
    <row r="205" spans="2:10" x14ac:dyDescent="0.3">
      <c r="B205" s="47">
        <v>42261</v>
      </c>
      <c r="C205" t="s">
        <v>31</v>
      </c>
      <c r="D205" t="s">
        <v>85</v>
      </c>
      <c r="E205" t="s">
        <v>51</v>
      </c>
      <c r="F205" t="s">
        <v>268</v>
      </c>
      <c r="H205" s="47"/>
      <c r="J205" s="47"/>
    </row>
    <row r="206" spans="2:10" x14ac:dyDescent="0.3">
      <c r="B206" s="47">
        <v>42261</v>
      </c>
      <c r="C206" t="s">
        <v>20</v>
      </c>
      <c r="D206" t="s">
        <v>85</v>
      </c>
      <c r="E206" t="s">
        <v>21</v>
      </c>
      <c r="F206" t="s">
        <v>22</v>
      </c>
      <c r="H206" s="47"/>
      <c r="J206" s="47"/>
    </row>
    <row r="207" spans="2:10" x14ac:dyDescent="0.3">
      <c r="B207" s="47">
        <v>42271</v>
      </c>
      <c r="C207" t="s">
        <v>11</v>
      </c>
      <c r="D207" t="s">
        <v>45</v>
      </c>
      <c r="E207" t="s">
        <v>17</v>
      </c>
      <c r="F207" t="s">
        <v>54</v>
      </c>
      <c r="H207" s="47"/>
      <c r="J207" s="47"/>
    </row>
    <row r="208" spans="2:10" x14ac:dyDescent="0.3">
      <c r="B208" s="47">
        <v>42271</v>
      </c>
      <c r="C208" t="s">
        <v>20</v>
      </c>
      <c r="D208" t="s">
        <v>45</v>
      </c>
      <c r="E208" t="s">
        <v>17</v>
      </c>
      <c r="F208" t="s">
        <v>144</v>
      </c>
      <c r="H208" s="47"/>
      <c r="J208" s="47"/>
    </row>
    <row r="209" spans="2:10" x14ac:dyDescent="0.3">
      <c r="B209" s="47">
        <v>42276</v>
      </c>
      <c r="C209" t="s">
        <v>31</v>
      </c>
      <c r="D209" t="s">
        <v>45</v>
      </c>
      <c r="E209" t="s">
        <v>17</v>
      </c>
      <c r="F209" t="s">
        <v>134</v>
      </c>
      <c r="H209" s="47"/>
      <c r="J209" s="47"/>
    </row>
    <row r="210" spans="2:10" x14ac:dyDescent="0.3">
      <c r="B210" s="47">
        <v>42276</v>
      </c>
      <c r="C210" t="s">
        <v>11</v>
      </c>
      <c r="D210" t="s">
        <v>45</v>
      </c>
      <c r="E210" t="s">
        <v>34</v>
      </c>
      <c r="F210" t="s">
        <v>64</v>
      </c>
      <c r="H210" s="47"/>
      <c r="J210" s="47"/>
    </row>
    <row r="211" spans="2:10" x14ac:dyDescent="0.3">
      <c r="B211" s="47">
        <v>42278</v>
      </c>
      <c r="C211" t="s">
        <v>31</v>
      </c>
      <c r="D211" t="s">
        <v>45</v>
      </c>
      <c r="E211" t="s">
        <v>17</v>
      </c>
      <c r="F211" t="s">
        <v>72</v>
      </c>
      <c r="H211" s="47"/>
      <c r="J211" s="47"/>
    </row>
    <row r="212" spans="2:10" x14ac:dyDescent="0.3">
      <c r="B212" s="47">
        <v>42285</v>
      </c>
      <c r="C212" t="s">
        <v>11</v>
      </c>
      <c r="D212" t="s">
        <v>85</v>
      </c>
      <c r="E212" t="s">
        <v>17</v>
      </c>
      <c r="F212" t="s">
        <v>25</v>
      </c>
      <c r="H212" s="47"/>
      <c r="J212" s="47"/>
    </row>
    <row r="213" spans="2:10" x14ac:dyDescent="0.3">
      <c r="B213" s="47">
        <v>42285</v>
      </c>
      <c r="C213" t="s">
        <v>11</v>
      </c>
      <c r="D213" t="s">
        <v>85</v>
      </c>
      <c r="E213" t="s">
        <v>21</v>
      </c>
      <c r="F213" t="s">
        <v>111</v>
      </c>
      <c r="H213" s="47"/>
      <c r="J213" s="47"/>
    </row>
    <row r="214" spans="2:10" x14ac:dyDescent="0.3">
      <c r="B214" s="47">
        <v>42285</v>
      </c>
      <c r="C214" t="s">
        <v>11</v>
      </c>
      <c r="D214" t="s">
        <v>85</v>
      </c>
      <c r="E214" t="s">
        <v>51</v>
      </c>
      <c r="F214" t="s">
        <v>81</v>
      </c>
      <c r="H214" s="47"/>
      <c r="J214" s="47"/>
    </row>
    <row r="215" spans="2:10" x14ac:dyDescent="0.3">
      <c r="B215" s="47">
        <v>42312</v>
      </c>
      <c r="C215" t="s">
        <v>11</v>
      </c>
      <c r="D215" t="s">
        <v>12</v>
      </c>
      <c r="E215" t="s">
        <v>17</v>
      </c>
      <c r="F215" t="s">
        <v>37</v>
      </c>
      <c r="H215" s="47"/>
      <c r="J215" s="47"/>
    </row>
    <row r="216" spans="2:10" x14ac:dyDescent="0.3">
      <c r="B216" s="47">
        <v>42312</v>
      </c>
      <c r="C216" t="s">
        <v>11</v>
      </c>
      <c r="D216" t="s">
        <v>12</v>
      </c>
      <c r="E216" t="s">
        <v>17</v>
      </c>
      <c r="F216" t="s">
        <v>25</v>
      </c>
      <c r="H216" s="47"/>
      <c r="J216" s="47"/>
    </row>
    <row r="217" spans="2:10" x14ac:dyDescent="0.3">
      <c r="B217" s="47">
        <v>42312</v>
      </c>
      <c r="C217" t="s">
        <v>20</v>
      </c>
      <c r="D217" t="s">
        <v>12</v>
      </c>
      <c r="E217" t="s">
        <v>21</v>
      </c>
      <c r="F217" t="s">
        <v>22</v>
      </c>
      <c r="H217" s="47"/>
      <c r="J217" s="47"/>
    </row>
    <row r="218" spans="2:10" x14ac:dyDescent="0.3">
      <c r="B218" s="47">
        <v>42312</v>
      </c>
      <c r="C218" t="s">
        <v>28</v>
      </c>
      <c r="D218" t="s">
        <v>12</v>
      </c>
      <c r="E218" t="s">
        <v>34</v>
      </c>
      <c r="F218" t="s">
        <v>68</v>
      </c>
      <c r="H218" s="47"/>
      <c r="J218" s="47"/>
    </row>
    <row r="219" spans="2:10" x14ac:dyDescent="0.3">
      <c r="B219" s="47">
        <v>42321</v>
      </c>
      <c r="C219" t="s">
        <v>11</v>
      </c>
      <c r="D219" t="s">
        <v>45</v>
      </c>
      <c r="E219" t="s">
        <v>17</v>
      </c>
      <c r="F219" t="s">
        <v>128</v>
      </c>
      <c r="H219" s="47"/>
      <c r="J219" s="47"/>
    </row>
    <row r="220" spans="2:10" x14ac:dyDescent="0.3">
      <c r="B220" s="47">
        <v>42321</v>
      </c>
      <c r="C220" t="s">
        <v>11</v>
      </c>
      <c r="D220" t="s">
        <v>45</v>
      </c>
      <c r="E220" t="s">
        <v>21</v>
      </c>
      <c r="F220" t="s">
        <v>22</v>
      </c>
      <c r="H220" s="47"/>
      <c r="J220" s="47"/>
    </row>
    <row r="221" spans="2:10" x14ac:dyDescent="0.3">
      <c r="B221" s="47">
        <v>42327</v>
      </c>
      <c r="C221" t="s">
        <v>11</v>
      </c>
      <c r="D221" t="s">
        <v>45</v>
      </c>
      <c r="E221" t="s">
        <v>13</v>
      </c>
      <c r="F221" t="s">
        <v>41</v>
      </c>
      <c r="H221" s="47"/>
      <c r="J221" s="47"/>
    </row>
    <row r="222" spans="2:10" x14ac:dyDescent="0.3">
      <c r="B222" s="47">
        <v>42327</v>
      </c>
      <c r="C222" t="s">
        <v>11</v>
      </c>
      <c r="D222" t="s">
        <v>45</v>
      </c>
      <c r="E222" t="s">
        <v>13</v>
      </c>
      <c r="F222" t="s">
        <v>99</v>
      </c>
      <c r="H222" s="47"/>
      <c r="J222" s="47"/>
    </row>
    <row r="223" spans="2:10" x14ac:dyDescent="0.3">
      <c r="B223" s="47">
        <v>42327</v>
      </c>
      <c r="C223" t="s">
        <v>11</v>
      </c>
      <c r="D223" t="s">
        <v>45</v>
      </c>
      <c r="E223" t="s">
        <v>34</v>
      </c>
      <c r="F223" t="s">
        <v>94</v>
      </c>
      <c r="H223" s="47"/>
      <c r="J223" s="47"/>
    </row>
    <row r="224" spans="2:10" x14ac:dyDescent="0.3">
      <c r="B224" s="47">
        <v>42332</v>
      </c>
      <c r="C224" t="s">
        <v>28</v>
      </c>
      <c r="D224" t="s">
        <v>45</v>
      </c>
      <c r="E224" t="s">
        <v>13</v>
      </c>
      <c r="F224" t="s">
        <v>186</v>
      </c>
      <c r="H224" s="47"/>
      <c r="J224" s="47"/>
    </row>
    <row r="225" spans="2:10" x14ac:dyDescent="0.3">
      <c r="B225" s="47">
        <v>42332</v>
      </c>
      <c r="C225" t="s">
        <v>28</v>
      </c>
      <c r="D225" t="s">
        <v>45</v>
      </c>
      <c r="E225" t="s">
        <v>13</v>
      </c>
      <c r="F225" t="s">
        <v>124</v>
      </c>
      <c r="H225" s="47"/>
      <c r="J225" s="47"/>
    </row>
    <row r="226" spans="2:10" x14ac:dyDescent="0.3">
      <c r="B226" s="47">
        <v>42334</v>
      </c>
      <c r="C226" t="s">
        <v>31</v>
      </c>
      <c r="D226" t="s">
        <v>85</v>
      </c>
      <c r="E226" t="s">
        <v>21</v>
      </c>
      <c r="F226" t="s">
        <v>97</v>
      </c>
      <c r="H226" s="47"/>
      <c r="J226" s="47"/>
    </row>
    <row r="227" spans="2:10" x14ac:dyDescent="0.3">
      <c r="B227" s="47">
        <v>42334</v>
      </c>
      <c r="C227" t="s">
        <v>31</v>
      </c>
      <c r="D227" t="s">
        <v>85</v>
      </c>
      <c r="E227" t="s">
        <v>21</v>
      </c>
      <c r="F227" t="s">
        <v>87</v>
      </c>
      <c r="H227" s="47"/>
      <c r="J227" s="47"/>
    </row>
    <row r="228" spans="2:10" x14ac:dyDescent="0.3">
      <c r="B228" s="47">
        <v>42340</v>
      </c>
      <c r="C228" t="s">
        <v>11</v>
      </c>
      <c r="D228" t="s">
        <v>12</v>
      </c>
      <c r="E228" t="s">
        <v>17</v>
      </c>
      <c r="F228" t="s">
        <v>32</v>
      </c>
      <c r="H228" s="47"/>
      <c r="J228" s="47"/>
    </row>
    <row r="229" spans="2:10" x14ac:dyDescent="0.3">
      <c r="B229" s="47">
        <v>42340</v>
      </c>
      <c r="C229" t="s">
        <v>11</v>
      </c>
      <c r="D229" t="s">
        <v>12</v>
      </c>
      <c r="E229" t="s">
        <v>13</v>
      </c>
      <c r="F229" t="s">
        <v>41</v>
      </c>
      <c r="H229" s="47"/>
      <c r="J229" s="47"/>
    </row>
    <row r="230" spans="2:10" x14ac:dyDescent="0.3">
      <c r="B230" s="47">
        <v>42340</v>
      </c>
      <c r="C230" t="s">
        <v>11</v>
      </c>
      <c r="D230" t="s">
        <v>12</v>
      </c>
      <c r="E230" t="s">
        <v>13</v>
      </c>
      <c r="F230" t="s">
        <v>56</v>
      </c>
      <c r="H230" s="47"/>
      <c r="J230" s="47"/>
    </row>
    <row r="231" spans="2:10" x14ac:dyDescent="0.3">
      <c r="B231" s="47">
        <v>42340</v>
      </c>
      <c r="C231" t="s">
        <v>28</v>
      </c>
      <c r="D231" t="s">
        <v>12</v>
      </c>
      <c r="E231" t="s">
        <v>34</v>
      </c>
      <c r="F231" t="s">
        <v>35</v>
      </c>
      <c r="H231" s="47"/>
      <c r="J231" s="47"/>
    </row>
    <row r="232" spans="2:10" x14ac:dyDescent="0.3">
      <c r="B232" s="47">
        <v>42345</v>
      </c>
      <c r="C232" t="s">
        <v>20</v>
      </c>
      <c r="D232" t="s">
        <v>45</v>
      </c>
      <c r="E232" t="s">
        <v>17</v>
      </c>
      <c r="F232" t="s">
        <v>37</v>
      </c>
      <c r="H232" s="47"/>
      <c r="J232" s="47"/>
    </row>
    <row r="233" spans="2:10" x14ac:dyDescent="0.3">
      <c r="B233" s="47">
        <v>42345</v>
      </c>
      <c r="C233" t="s">
        <v>11</v>
      </c>
      <c r="D233" t="s">
        <v>45</v>
      </c>
      <c r="E233" t="s">
        <v>17</v>
      </c>
      <c r="F233" t="s">
        <v>54</v>
      </c>
      <c r="H233" s="47"/>
      <c r="J233" s="47"/>
    </row>
    <row r="234" spans="2:10" x14ac:dyDescent="0.3">
      <c r="B234" s="47">
        <v>42347</v>
      </c>
      <c r="C234" t="s">
        <v>28</v>
      </c>
      <c r="D234" t="s">
        <v>12</v>
      </c>
      <c r="E234" t="s">
        <v>21</v>
      </c>
      <c r="F234" t="s">
        <v>87</v>
      </c>
      <c r="H234" s="47"/>
      <c r="J234" s="47"/>
    </row>
    <row r="235" spans="2:10" x14ac:dyDescent="0.3">
      <c r="B235" s="47">
        <v>42347</v>
      </c>
      <c r="C235" t="s">
        <v>20</v>
      </c>
      <c r="D235" t="s">
        <v>12</v>
      </c>
      <c r="E235" t="s">
        <v>21</v>
      </c>
      <c r="F235" t="s">
        <v>299</v>
      </c>
      <c r="H235" s="47"/>
      <c r="J235" s="47"/>
    </row>
    <row r="236" spans="2:10" x14ac:dyDescent="0.3">
      <c r="B236" s="47">
        <v>42347</v>
      </c>
      <c r="C236" t="s">
        <v>11</v>
      </c>
      <c r="D236" t="s">
        <v>12</v>
      </c>
      <c r="E236" t="s">
        <v>34</v>
      </c>
      <c r="F236" t="s">
        <v>64</v>
      </c>
      <c r="H236" s="47"/>
      <c r="J236" s="47"/>
    </row>
    <row r="237" spans="2:10" x14ac:dyDescent="0.3">
      <c r="B237" s="47">
        <v>42352</v>
      </c>
      <c r="C237" t="s">
        <v>20</v>
      </c>
      <c r="D237" t="s">
        <v>45</v>
      </c>
      <c r="E237" t="s">
        <v>51</v>
      </c>
      <c r="F237" t="s">
        <v>81</v>
      </c>
      <c r="H237" s="47"/>
      <c r="J237" s="47"/>
    </row>
    <row r="238" spans="2:10" x14ac:dyDescent="0.3">
      <c r="B238" s="47">
        <v>42352</v>
      </c>
      <c r="C238" t="s">
        <v>20</v>
      </c>
      <c r="D238" t="s">
        <v>45</v>
      </c>
      <c r="E238" t="s">
        <v>13</v>
      </c>
      <c r="F238" t="s">
        <v>14</v>
      </c>
      <c r="H238" s="47"/>
      <c r="J238" s="47"/>
    </row>
    <row r="239" spans="2:10" x14ac:dyDescent="0.3">
      <c r="B239" s="47">
        <v>42352</v>
      </c>
      <c r="C239" t="s">
        <v>31</v>
      </c>
      <c r="D239" t="s">
        <v>45</v>
      </c>
      <c r="E239" t="s">
        <v>34</v>
      </c>
      <c r="F239" t="s">
        <v>64</v>
      </c>
      <c r="H239" s="47"/>
      <c r="J239" s="47"/>
    </row>
    <row r="240" spans="2:10" x14ac:dyDescent="0.3">
      <c r="B240" s="47">
        <v>42354</v>
      </c>
      <c r="C240" t="s">
        <v>28</v>
      </c>
      <c r="D240" t="s">
        <v>12</v>
      </c>
      <c r="E240" t="s">
        <v>17</v>
      </c>
      <c r="F240" t="s">
        <v>128</v>
      </c>
      <c r="H240" s="47"/>
      <c r="J240" s="47"/>
    </row>
    <row r="241" spans="2:10" x14ac:dyDescent="0.3">
      <c r="B241" s="47">
        <v>42354</v>
      </c>
      <c r="C241" t="s">
        <v>28</v>
      </c>
      <c r="D241" t="s">
        <v>12</v>
      </c>
      <c r="E241" t="s">
        <v>17</v>
      </c>
      <c r="F241" t="s">
        <v>144</v>
      </c>
      <c r="H241" s="47"/>
      <c r="J241" s="47"/>
    </row>
    <row r="242" spans="2:10" x14ac:dyDescent="0.3">
      <c r="B242" s="47">
        <v>42355</v>
      </c>
      <c r="C242" t="s">
        <v>20</v>
      </c>
      <c r="D242" t="s">
        <v>45</v>
      </c>
      <c r="E242" t="s">
        <v>51</v>
      </c>
      <c r="F242" t="s">
        <v>138</v>
      </c>
      <c r="H242" s="47"/>
      <c r="J242" s="47"/>
    </row>
    <row r="243" spans="2:10" x14ac:dyDescent="0.3">
      <c r="B243" s="47">
        <v>42355</v>
      </c>
      <c r="C243" t="s">
        <v>11</v>
      </c>
      <c r="D243" t="s">
        <v>45</v>
      </c>
      <c r="E243" t="s">
        <v>21</v>
      </c>
      <c r="F243" t="s">
        <v>22</v>
      </c>
      <c r="H243" s="47"/>
      <c r="J243" s="47"/>
    </row>
    <row r="244" spans="2:10" x14ac:dyDescent="0.3">
      <c r="B244" s="47">
        <v>42355</v>
      </c>
      <c r="C244" t="s">
        <v>20</v>
      </c>
      <c r="D244" t="s">
        <v>45</v>
      </c>
      <c r="E244" t="s">
        <v>13</v>
      </c>
      <c r="F244" t="s">
        <v>14</v>
      </c>
      <c r="H244" s="47"/>
      <c r="J244" s="47"/>
    </row>
    <row r="245" spans="2:10" x14ac:dyDescent="0.3">
      <c r="B245" s="47">
        <v>42368</v>
      </c>
      <c r="C245" t="s">
        <v>31</v>
      </c>
      <c r="D245" t="s">
        <v>45</v>
      </c>
      <c r="E245" t="s">
        <v>17</v>
      </c>
      <c r="F245" t="s">
        <v>72</v>
      </c>
      <c r="H245" s="47"/>
      <c r="J245" s="47"/>
    </row>
    <row r="246" spans="2:10" x14ac:dyDescent="0.3">
      <c r="B246" s="47">
        <v>42368</v>
      </c>
      <c r="C246" t="s">
        <v>20</v>
      </c>
      <c r="D246" t="s">
        <v>45</v>
      </c>
      <c r="E246" t="s">
        <v>51</v>
      </c>
      <c r="F246" t="s">
        <v>52</v>
      </c>
      <c r="H246" s="47"/>
      <c r="J246" s="47"/>
    </row>
    <row r="247" spans="2:10" x14ac:dyDescent="0.3">
      <c r="B247" s="47">
        <v>42368</v>
      </c>
      <c r="C247" t="s">
        <v>31</v>
      </c>
      <c r="D247" t="s">
        <v>45</v>
      </c>
      <c r="E247" t="s">
        <v>34</v>
      </c>
      <c r="F247" t="s">
        <v>75</v>
      </c>
      <c r="H247" s="47"/>
      <c r="J247" s="47"/>
    </row>
    <row r="248" spans="2:10" x14ac:dyDescent="0.3">
      <c r="B248" s="47">
        <v>42009</v>
      </c>
      <c r="C248" t="s">
        <v>11</v>
      </c>
      <c r="D248" t="s">
        <v>12</v>
      </c>
      <c r="E248" t="s">
        <v>13</v>
      </c>
      <c r="F248" t="s">
        <v>14</v>
      </c>
      <c r="H248" s="47"/>
      <c r="J248" s="47"/>
    </row>
    <row r="249" spans="2:10" x14ac:dyDescent="0.3">
      <c r="B249" s="47">
        <v>42009</v>
      </c>
      <c r="C249" t="s">
        <v>20</v>
      </c>
      <c r="D249" t="s">
        <v>12</v>
      </c>
      <c r="E249" t="s">
        <v>21</v>
      </c>
      <c r="F249" t="s">
        <v>22</v>
      </c>
      <c r="H249" s="47"/>
      <c r="J249" s="47"/>
    </row>
    <row r="250" spans="2:10" x14ac:dyDescent="0.3">
      <c r="B250" s="47">
        <v>42009</v>
      </c>
      <c r="C250" t="s">
        <v>20</v>
      </c>
      <c r="D250" t="s">
        <v>12</v>
      </c>
      <c r="E250" t="s">
        <v>21</v>
      </c>
      <c r="F250" t="s">
        <v>22</v>
      </c>
      <c r="H250" s="47"/>
      <c r="J250" s="47"/>
    </row>
    <row r="251" spans="2:10" x14ac:dyDescent="0.3">
      <c r="B251" s="47">
        <v>42009</v>
      </c>
      <c r="C251" t="s">
        <v>20</v>
      </c>
      <c r="D251" t="s">
        <v>12</v>
      </c>
      <c r="E251" t="s">
        <v>34</v>
      </c>
      <c r="F251" t="s">
        <v>241</v>
      </c>
      <c r="H251" s="47"/>
      <c r="J251" s="47"/>
    </row>
    <row r="252" spans="2:10" x14ac:dyDescent="0.3">
      <c r="B252" s="47">
        <v>42011</v>
      </c>
      <c r="C252" t="s">
        <v>20</v>
      </c>
      <c r="D252" t="s">
        <v>24</v>
      </c>
      <c r="E252" t="s">
        <v>17</v>
      </c>
      <c r="F252" t="s">
        <v>54</v>
      </c>
      <c r="H252" s="47"/>
      <c r="J252" s="47"/>
    </row>
    <row r="253" spans="2:10" x14ac:dyDescent="0.3">
      <c r="B253" s="47">
        <v>42011</v>
      </c>
      <c r="C253" t="s">
        <v>20</v>
      </c>
      <c r="D253" t="s">
        <v>24</v>
      </c>
      <c r="E253" t="s">
        <v>34</v>
      </c>
      <c r="F253" t="s">
        <v>241</v>
      </c>
      <c r="H253" s="47"/>
      <c r="J253" s="47"/>
    </row>
    <row r="254" spans="2:10" x14ac:dyDescent="0.3">
      <c r="B254" s="47">
        <v>42016</v>
      </c>
      <c r="C254" t="s">
        <v>11</v>
      </c>
      <c r="D254" t="s">
        <v>12</v>
      </c>
      <c r="E254" t="s">
        <v>13</v>
      </c>
      <c r="F254" t="s">
        <v>113</v>
      </c>
      <c r="H254" s="47"/>
      <c r="J254" s="47"/>
    </row>
    <row r="255" spans="2:10" x14ac:dyDescent="0.3">
      <c r="B255" s="47">
        <v>42016</v>
      </c>
      <c r="C255" t="s">
        <v>28</v>
      </c>
      <c r="D255" t="s">
        <v>12</v>
      </c>
      <c r="E255" t="s">
        <v>34</v>
      </c>
      <c r="F255" t="s">
        <v>188</v>
      </c>
      <c r="H255" s="47"/>
      <c r="J255" s="47"/>
    </row>
    <row r="256" spans="2:10" x14ac:dyDescent="0.3">
      <c r="B256" s="47">
        <v>42023</v>
      </c>
      <c r="C256" t="s">
        <v>31</v>
      </c>
      <c r="D256" t="s">
        <v>12</v>
      </c>
      <c r="E256" t="s">
        <v>17</v>
      </c>
      <c r="F256" t="s">
        <v>54</v>
      </c>
      <c r="H256" s="47"/>
      <c r="J256" s="47"/>
    </row>
    <row r="257" spans="2:10" x14ac:dyDescent="0.3">
      <c r="B257" s="47">
        <v>42023</v>
      </c>
      <c r="C257" t="s">
        <v>11</v>
      </c>
      <c r="D257" t="s">
        <v>12</v>
      </c>
      <c r="E257" t="s">
        <v>21</v>
      </c>
      <c r="F257" t="s">
        <v>22</v>
      </c>
      <c r="H257" s="47"/>
      <c r="J257" s="47"/>
    </row>
    <row r="258" spans="2:10" x14ac:dyDescent="0.3">
      <c r="B258" s="47">
        <v>42023</v>
      </c>
      <c r="C258" t="s">
        <v>28</v>
      </c>
      <c r="D258" t="s">
        <v>12</v>
      </c>
      <c r="E258" t="s">
        <v>34</v>
      </c>
      <c r="F258" t="s">
        <v>64</v>
      </c>
      <c r="H258" s="47"/>
      <c r="J258" s="47"/>
    </row>
    <row r="259" spans="2:10" x14ac:dyDescent="0.3">
      <c r="B259" s="47">
        <v>42023</v>
      </c>
      <c r="C259" t="s">
        <v>20</v>
      </c>
      <c r="D259" t="s">
        <v>12</v>
      </c>
      <c r="E259" t="s">
        <v>51</v>
      </c>
      <c r="F259" t="s">
        <v>138</v>
      </c>
      <c r="H259" s="47"/>
      <c r="J259" s="47"/>
    </row>
    <row r="260" spans="2:10" x14ac:dyDescent="0.3">
      <c r="B260" s="47">
        <v>42023</v>
      </c>
      <c r="C260" t="s">
        <v>11</v>
      </c>
      <c r="D260" t="s">
        <v>12</v>
      </c>
      <c r="E260" t="s">
        <v>21</v>
      </c>
      <c r="F260" t="s">
        <v>97</v>
      </c>
      <c r="H260" s="47"/>
      <c r="J260" s="47"/>
    </row>
    <row r="261" spans="2:10" x14ac:dyDescent="0.3">
      <c r="B261" s="47">
        <v>42023</v>
      </c>
      <c r="C261" t="s">
        <v>11</v>
      </c>
      <c r="D261" t="s">
        <v>12</v>
      </c>
      <c r="E261" t="s">
        <v>34</v>
      </c>
      <c r="F261" t="s">
        <v>77</v>
      </c>
      <c r="H261" s="47"/>
      <c r="J261" s="47"/>
    </row>
    <row r="262" spans="2:10" x14ac:dyDescent="0.3">
      <c r="B262" s="47">
        <v>42023</v>
      </c>
      <c r="C262" t="s">
        <v>20</v>
      </c>
      <c r="D262" t="s">
        <v>12</v>
      </c>
      <c r="E262" t="s">
        <v>34</v>
      </c>
      <c r="F262" t="s">
        <v>188</v>
      </c>
      <c r="H262" s="47"/>
      <c r="J262" s="47"/>
    </row>
    <row r="263" spans="2:10" x14ac:dyDescent="0.3">
      <c r="B263" s="47">
        <v>42025</v>
      </c>
      <c r="C263" t="s">
        <v>11</v>
      </c>
      <c r="D263" t="s">
        <v>12</v>
      </c>
      <c r="E263" t="s">
        <v>13</v>
      </c>
      <c r="F263" t="s">
        <v>66</v>
      </c>
      <c r="H263" s="47"/>
      <c r="J263" s="47"/>
    </row>
    <row r="264" spans="2:10" x14ac:dyDescent="0.3">
      <c r="B264" s="47">
        <v>42025</v>
      </c>
      <c r="C264" t="s">
        <v>20</v>
      </c>
      <c r="D264" t="s">
        <v>12</v>
      </c>
      <c r="E264" t="s">
        <v>13</v>
      </c>
      <c r="F264" t="s">
        <v>99</v>
      </c>
      <c r="H264" s="47"/>
      <c r="J264" s="47"/>
    </row>
    <row r="265" spans="2:10" x14ac:dyDescent="0.3">
      <c r="B265" s="47">
        <v>42029</v>
      </c>
      <c r="C265" t="s">
        <v>11</v>
      </c>
      <c r="D265" t="s">
        <v>85</v>
      </c>
      <c r="E265" t="s">
        <v>34</v>
      </c>
      <c r="F265" t="s">
        <v>64</v>
      </c>
      <c r="H265" s="47"/>
      <c r="J265" s="47"/>
    </row>
    <row r="266" spans="2:10" x14ac:dyDescent="0.3">
      <c r="B266" s="47">
        <v>42029</v>
      </c>
      <c r="C266" t="s">
        <v>11</v>
      </c>
      <c r="D266" t="s">
        <v>85</v>
      </c>
      <c r="E266" t="s">
        <v>13</v>
      </c>
      <c r="F266" t="s">
        <v>14</v>
      </c>
      <c r="H266" s="47"/>
      <c r="J266" s="47"/>
    </row>
    <row r="267" spans="2:10" x14ac:dyDescent="0.3">
      <c r="B267" s="47">
        <v>42037</v>
      </c>
      <c r="C267" t="s">
        <v>31</v>
      </c>
      <c r="D267" t="s">
        <v>45</v>
      </c>
      <c r="E267" t="s">
        <v>17</v>
      </c>
      <c r="F267" t="s">
        <v>18</v>
      </c>
      <c r="H267" s="47"/>
      <c r="J267" s="47"/>
    </row>
    <row r="268" spans="2:10" x14ac:dyDescent="0.3">
      <c r="B268" s="47">
        <v>42037</v>
      </c>
      <c r="C268" t="s">
        <v>31</v>
      </c>
      <c r="D268" t="s">
        <v>45</v>
      </c>
      <c r="E268" t="s">
        <v>13</v>
      </c>
      <c r="F268" t="s">
        <v>14</v>
      </c>
      <c r="H268" s="47"/>
      <c r="J268" s="47"/>
    </row>
    <row r="269" spans="2:10" x14ac:dyDescent="0.3">
      <c r="B269" s="47">
        <v>42037</v>
      </c>
      <c r="C269" t="s">
        <v>31</v>
      </c>
      <c r="D269" t="s">
        <v>45</v>
      </c>
      <c r="E269" t="s">
        <v>13</v>
      </c>
      <c r="F269" t="s">
        <v>56</v>
      </c>
      <c r="H269" s="47"/>
      <c r="J269" s="47"/>
    </row>
    <row r="270" spans="2:10" x14ac:dyDescent="0.3">
      <c r="B270" s="47">
        <v>42047</v>
      </c>
      <c r="C270" t="s">
        <v>20</v>
      </c>
      <c r="D270" t="s">
        <v>12</v>
      </c>
      <c r="E270" t="s">
        <v>21</v>
      </c>
      <c r="F270" t="s">
        <v>87</v>
      </c>
      <c r="H270" s="47"/>
      <c r="J270" s="47"/>
    </row>
    <row r="271" spans="2:10" x14ac:dyDescent="0.3">
      <c r="B271" s="47">
        <v>42047</v>
      </c>
      <c r="C271" t="s">
        <v>20</v>
      </c>
      <c r="D271" t="s">
        <v>12</v>
      </c>
      <c r="E271" t="s">
        <v>13</v>
      </c>
      <c r="F271" t="s">
        <v>124</v>
      </c>
      <c r="H271" s="47"/>
      <c r="J271" s="47"/>
    </row>
    <row r="272" spans="2:10" x14ac:dyDescent="0.3">
      <c r="B272" s="47">
        <v>42047</v>
      </c>
      <c r="C272" t="s">
        <v>28</v>
      </c>
      <c r="D272" t="s">
        <v>12</v>
      </c>
      <c r="E272" t="s">
        <v>34</v>
      </c>
      <c r="F272" t="s">
        <v>188</v>
      </c>
      <c r="H272" s="47"/>
      <c r="J272" s="47"/>
    </row>
    <row r="273" spans="2:10" x14ac:dyDescent="0.3">
      <c r="B273" s="47">
        <v>42050</v>
      </c>
      <c r="C273" t="s">
        <v>11</v>
      </c>
      <c r="D273" t="s">
        <v>24</v>
      </c>
      <c r="E273" t="s">
        <v>51</v>
      </c>
      <c r="F273" t="s">
        <v>81</v>
      </c>
      <c r="H273" s="47"/>
      <c r="J273" s="47"/>
    </row>
    <row r="274" spans="2:10" x14ac:dyDescent="0.3">
      <c r="B274" s="47">
        <v>42054</v>
      </c>
      <c r="C274" t="s">
        <v>11</v>
      </c>
      <c r="D274" t="s">
        <v>45</v>
      </c>
      <c r="E274" t="s">
        <v>17</v>
      </c>
      <c r="F274" t="s">
        <v>54</v>
      </c>
      <c r="H274" s="47"/>
      <c r="J274" s="47"/>
    </row>
    <row r="275" spans="2:10" x14ac:dyDescent="0.3">
      <c r="B275" s="47">
        <v>42054</v>
      </c>
      <c r="C275" t="s">
        <v>31</v>
      </c>
      <c r="D275" t="s">
        <v>45</v>
      </c>
      <c r="E275" t="s">
        <v>34</v>
      </c>
      <c r="F275" t="s">
        <v>339</v>
      </c>
      <c r="H275" s="47"/>
      <c r="J275" s="47"/>
    </row>
    <row r="276" spans="2:10" x14ac:dyDescent="0.3">
      <c r="B276" s="47">
        <v>42064</v>
      </c>
      <c r="C276" t="s">
        <v>28</v>
      </c>
      <c r="D276" t="s">
        <v>45</v>
      </c>
      <c r="E276" t="s">
        <v>17</v>
      </c>
      <c r="F276" t="s">
        <v>54</v>
      </c>
      <c r="H276" s="47"/>
      <c r="J276" s="47"/>
    </row>
    <row r="277" spans="2:10" x14ac:dyDescent="0.3">
      <c r="B277" s="47">
        <v>42064</v>
      </c>
      <c r="C277" t="s">
        <v>11</v>
      </c>
      <c r="D277" t="s">
        <v>45</v>
      </c>
      <c r="E277" t="s">
        <v>21</v>
      </c>
      <c r="F277" t="s">
        <v>22</v>
      </c>
      <c r="H277" s="47"/>
      <c r="J277" s="47"/>
    </row>
    <row r="278" spans="2:10" x14ac:dyDescent="0.3">
      <c r="B278" s="47">
        <v>42067</v>
      </c>
      <c r="C278" t="s">
        <v>28</v>
      </c>
      <c r="D278" t="s">
        <v>12</v>
      </c>
      <c r="E278" t="s">
        <v>13</v>
      </c>
      <c r="F278" t="s">
        <v>14</v>
      </c>
      <c r="H278" s="47"/>
      <c r="J278" s="47"/>
    </row>
    <row r="279" spans="2:10" x14ac:dyDescent="0.3">
      <c r="B279" s="47">
        <v>42067</v>
      </c>
      <c r="C279" t="s">
        <v>20</v>
      </c>
      <c r="D279" t="s">
        <v>12</v>
      </c>
      <c r="E279" t="s">
        <v>21</v>
      </c>
      <c r="F279" t="s">
        <v>22</v>
      </c>
      <c r="H279" s="47"/>
      <c r="J279" s="47"/>
    </row>
    <row r="280" spans="2:10" x14ac:dyDescent="0.3">
      <c r="B280" s="47">
        <v>42072</v>
      </c>
      <c r="C280" t="s">
        <v>28</v>
      </c>
      <c r="D280" t="s">
        <v>45</v>
      </c>
      <c r="E280" t="s">
        <v>34</v>
      </c>
      <c r="F280" t="s">
        <v>64</v>
      </c>
      <c r="H280" s="47"/>
      <c r="J280" s="47"/>
    </row>
    <row r="281" spans="2:10" x14ac:dyDescent="0.3">
      <c r="B281" s="47">
        <v>42072</v>
      </c>
      <c r="C281" t="s">
        <v>11</v>
      </c>
      <c r="D281" t="s">
        <v>45</v>
      </c>
      <c r="E281" t="s">
        <v>51</v>
      </c>
      <c r="F281" t="s">
        <v>81</v>
      </c>
      <c r="H281" s="47"/>
      <c r="J281" s="47"/>
    </row>
    <row r="282" spans="2:10" x14ac:dyDescent="0.3">
      <c r="B282" s="47">
        <v>42073</v>
      </c>
      <c r="C282" t="s">
        <v>11</v>
      </c>
      <c r="D282" t="s">
        <v>45</v>
      </c>
      <c r="E282" t="s">
        <v>17</v>
      </c>
      <c r="F282" t="s">
        <v>128</v>
      </c>
      <c r="H282" s="47"/>
      <c r="J282" s="47"/>
    </row>
    <row r="283" spans="2:10" x14ac:dyDescent="0.3">
      <c r="B283" s="47">
        <v>42073</v>
      </c>
      <c r="C283" t="s">
        <v>20</v>
      </c>
      <c r="D283" t="s">
        <v>45</v>
      </c>
      <c r="E283" t="s">
        <v>21</v>
      </c>
      <c r="F283" t="s">
        <v>22</v>
      </c>
      <c r="H283" s="47"/>
      <c r="J283" s="47"/>
    </row>
    <row r="284" spans="2:10" x14ac:dyDescent="0.3">
      <c r="B284" s="47">
        <v>42074</v>
      </c>
      <c r="C284" t="s">
        <v>20</v>
      </c>
      <c r="D284" t="s">
        <v>45</v>
      </c>
      <c r="E284" t="s">
        <v>13</v>
      </c>
      <c r="F284" t="s">
        <v>113</v>
      </c>
      <c r="H284" s="47"/>
      <c r="J284" s="47"/>
    </row>
    <row r="285" spans="2:10" x14ac:dyDescent="0.3">
      <c r="B285" s="47">
        <v>42074</v>
      </c>
      <c r="C285" t="s">
        <v>20</v>
      </c>
      <c r="D285" t="s">
        <v>45</v>
      </c>
      <c r="E285" t="s">
        <v>13</v>
      </c>
      <c r="F285" t="s">
        <v>124</v>
      </c>
      <c r="H285" s="47"/>
      <c r="J285" s="47"/>
    </row>
    <row r="286" spans="2:10" x14ac:dyDescent="0.3">
      <c r="B286" s="47">
        <v>42081</v>
      </c>
      <c r="C286" t="s">
        <v>31</v>
      </c>
      <c r="D286" t="s">
        <v>12</v>
      </c>
      <c r="E286" t="s">
        <v>13</v>
      </c>
      <c r="F286" t="s">
        <v>41</v>
      </c>
      <c r="H286" s="47"/>
      <c r="J286" s="47"/>
    </row>
    <row r="287" spans="2:10" x14ac:dyDescent="0.3">
      <c r="B287" s="47">
        <v>42081</v>
      </c>
      <c r="C287" t="s">
        <v>28</v>
      </c>
      <c r="D287" t="s">
        <v>12</v>
      </c>
      <c r="E287" t="s">
        <v>34</v>
      </c>
      <c r="F287" t="s">
        <v>75</v>
      </c>
      <c r="H287" s="47"/>
      <c r="J287" s="47"/>
    </row>
    <row r="288" spans="2:10" x14ac:dyDescent="0.3">
      <c r="B288" s="47">
        <v>42085</v>
      </c>
      <c r="C288" t="s">
        <v>11</v>
      </c>
      <c r="D288" t="s">
        <v>45</v>
      </c>
      <c r="E288" t="s">
        <v>51</v>
      </c>
      <c r="F288" t="s">
        <v>81</v>
      </c>
      <c r="H288" s="47"/>
      <c r="J288" s="47"/>
    </row>
    <row r="289" spans="2:10" x14ac:dyDescent="0.3">
      <c r="B289" s="47">
        <v>42085</v>
      </c>
      <c r="C289" t="s">
        <v>31</v>
      </c>
      <c r="D289" t="s">
        <v>45</v>
      </c>
      <c r="E289" t="s">
        <v>17</v>
      </c>
      <c r="F289" t="s">
        <v>54</v>
      </c>
      <c r="H289" s="47"/>
      <c r="J289" s="47"/>
    </row>
    <row r="290" spans="2:10" x14ac:dyDescent="0.3">
      <c r="B290" s="47">
        <v>42085</v>
      </c>
      <c r="C290" t="s">
        <v>31</v>
      </c>
      <c r="D290" t="s">
        <v>45</v>
      </c>
      <c r="E290" t="s">
        <v>34</v>
      </c>
      <c r="F290" t="s">
        <v>241</v>
      </c>
      <c r="H290" s="47"/>
      <c r="J290" s="47"/>
    </row>
    <row r="291" spans="2:10" x14ac:dyDescent="0.3">
      <c r="B291" s="47">
        <v>42087</v>
      </c>
      <c r="C291" t="s">
        <v>31</v>
      </c>
      <c r="D291" t="s">
        <v>12</v>
      </c>
      <c r="E291" t="s">
        <v>51</v>
      </c>
      <c r="F291" t="s">
        <v>268</v>
      </c>
      <c r="H291" s="47"/>
      <c r="J291" s="47"/>
    </row>
    <row r="292" spans="2:10" x14ac:dyDescent="0.3">
      <c r="B292" s="47">
        <v>42087</v>
      </c>
      <c r="C292" t="s">
        <v>20</v>
      </c>
      <c r="D292" t="s">
        <v>12</v>
      </c>
      <c r="E292" t="s">
        <v>34</v>
      </c>
      <c r="F292" t="s">
        <v>188</v>
      </c>
      <c r="H292" s="47"/>
      <c r="J292" s="47"/>
    </row>
    <row r="293" spans="2:10" x14ac:dyDescent="0.3">
      <c r="B293" s="47">
        <v>42094</v>
      </c>
      <c r="C293" t="s">
        <v>20</v>
      </c>
      <c r="D293" t="s">
        <v>12</v>
      </c>
      <c r="E293" t="s">
        <v>17</v>
      </c>
      <c r="F293" t="s">
        <v>54</v>
      </c>
      <c r="H293" s="47"/>
      <c r="J293" s="47"/>
    </row>
    <row r="294" spans="2:10" x14ac:dyDescent="0.3">
      <c r="B294" s="47">
        <v>42096</v>
      </c>
      <c r="C294" t="s">
        <v>31</v>
      </c>
      <c r="D294" t="s">
        <v>12</v>
      </c>
      <c r="E294" t="s">
        <v>13</v>
      </c>
      <c r="F294" t="s">
        <v>99</v>
      </c>
      <c r="H294" s="47"/>
      <c r="J294" s="47"/>
    </row>
    <row r="295" spans="2:10" x14ac:dyDescent="0.3">
      <c r="B295" s="47">
        <v>42113</v>
      </c>
      <c r="C295" t="s">
        <v>28</v>
      </c>
      <c r="D295" t="s">
        <v>12</v>
      </c>
      <c r="E295" t="s">
        <v>17</v>
      </c>
      <c r="F295" t="s">
        <v>128</v>
      </c>
      <c r="H295" s="47"/>
      <c r="J295" s="47"/>
    </row>
    <row r="296" spans="2:10" x14ac:dyDescent="0.3">
      <c r="B296" s="47">
        <v>42113</v>
      </c>
      <c r="C296" t="s">
        <v>28</v>
      </c>
      <c r="D296" t="s">
        <v>12</v>
      </c>
      <c r="E296" t="s">
        <v>13</v>
      </c>
      <c r="F296" t="s">
        <v>41</v>
      </c>
      <c r="H296" s="47"/>
      <c r="J296" s="47"/>
    </row>
    <row r="297" spans="2:10" x14ac:dyDescent="0.3">
      <c r="B297" s="47">
        <v>42113</v>
      </c>
      <c r="C297" t="s">
        <v>11</v>
      </c>
      <c r="D297" t="s">
        <v>12</v>
      </c>
      <c r="E297" t="s">
        <v>51</v>
      </c>
      <c r="F297" t="s">
        <v>81</v>
      </c>
      <c r="H297" s="47"/>
      <c r="J297" s="47"/>
    </row>
    <row r="298" spans="2:10" x14ac:dyDescent="0.3">
      <c r="B298" s="47">
        <v>42113</v>
      </c>
      <c r="C298" t="s">
        <v>11</v>
      </c>
      <c r="D298" t="s">
        <v>12</v>
      </c>
      <c r="E298" t="s">
        <v>34</v>
      </c>
      <c r="F298" t="s">
        <v>136</v>
      </c>
      <c r="H298" s="47"/>
      <c r="J298" s="47"/>
    </row>
    <row r="299" spans="2:10" x14ac:dyDescent="0.3">
      <c r="B299" s="47">
        <v>42116</v>
      </c>
      <c r="C299" t="s">
        <v>28</v>
      </c>
      <c r="D299" t="s">
        <v>45</v>
      </c>
      <c r="E299" t="s">
        <v>17</v>
      </c>
      <c r="F299" t="s">
        <v>54</v>
      </c>
      <c r="H299" s="47"/>
      <c r="J299" s="47"/>
    </row>
    <row r="300" spans="2:10" x14ac:dyDescent="0.3">
      <c r="B300" s="47">
        <v>42116</v>
      </c>
      <c r="C300" t="s">
        <v>28</v>
      </c>
      <c r="D300" t="s">
        <v>45</v>
      </c>
      <c r="E300" t="s">
        <v>13</v>
      </c>
      <c r="F300" t="s">
        <v>14</v>
      </c>
      <c r="H300" s="47"/>
      <c r="J300" s="47"/>
    </row>
    <row r="301" spans="2:10" x14ac:dyDescent="0.3">
      <c r="B301" s="47">
        <v>42116</v>
      </c>
      <c r="C301" t="s">
        <v>11</v>
      </c>
      <c r="D301" t="s">
        <v>45</v>
      </c>
      <c r="E301" t="s">
        <v>13</v>
      </c>
      <c r="F301" t="s">
        <v>66</v>
      </c>
      <c r="H301" s="47"/>
      <c r="J301" s="47"/>
    </row>
    <row r="302" spans="2:10" x14ac:dyDescent="0.3">
      <c r="B302" s="47">
        <v>42121</v>
      </c>
      <c r="C302" t="s">
        <v>31</v>
      </c>
      <c r="D302" t="s">
        <v>24</v>
      </c>
      <c r="E302" t="s">
        <v>34</v>
      </c>
      <c r="F302" t="s">
        <v>64</v>
      </c>
      <c r="H302" s="47"/>
      <c r="J302" s="47"/>
    </row>
    <row r="303" spans="2:10" x14ac:dyDescent="0.3">
      <c r="B303" s="47">
        <v>42121</v>
      </c>
      <c r="C303" t="s">
        <v>20</v>
      </c>
      <c r="D303" t="s">
        <v>24</v>
      </c>
      <c r="E303" t="s">
        <v>17</v>
      </c>
      <c r="F303" t="s">
        <v>72</v>
      </c>
      <c r="H303" s="47"/>
      <c r="J303" s="47"/>
    </row>
    <row r="304" spans="2:10" x14ac:dyDescent="0.3">
      <c r="B304" s="47">
        <v>42121</v>
      </c>
      <c r="C304" t="s">
        <v>11</v>
      </c>
      <c r="D304" t="s">
        <v>24</v>
      </c>
      <c r="E304" t="s">
        <v>34</v>
      </c>
      <c r="F304" t="s">
        <v>43</v>
      </c>
      <c r="H304" s="47"/>
      <c r="J304" s="47"/>
    </row>
    <row r="305" spans="2:10" x14ac:dyDescent="0.3">
      <c r="B305" s="47">
        <v>42123</v>
      </c>
      <c r="C305" t="s">
        <v>28</v>
      </c>
      <c r="D305" t="s">
        <v>45</v>
      </c>
      <c r="E305" t="s">
        <v>51</v>
      </c>
      <c r="F305" t="s">
        <v>118</v>
      </c>
      <c r="H305" s="47"/>
      <c r="J305" s="47"/>
    </row>
    <row r="306" spans="2:10" x14ac:dyDescent="0.3">
      <c r="B306" s="47">
        <v>42123</v>
      </c>
      <c r="C306" t="s">
        <v>20</v>
      </c>
      <c r="D306" t="s">
        <v>45</v>
      </c>
      <c r="E306" t="s">
        <v>17</v>
      </c>
      <c r="F306" t="s">
        <v>54</v>
      </c>
      <c r="H306" s="47"/>
      <c r="J306" s="47"/>
    </row>
    <row r="307" spans="2:10" x14ac:dyDescent="0.3">
      <c r="B307" s="47">
        <v>42123</v>
      </c>
      <c r="C307" t="s">
        <v>28</v>
      </c>
      <c r="D307" t="s">
        <v>45</v>
      </c>
      <c r="E307" t="s">
        <v>13</v>
      </c>
      <c r="F307" t="s">
        <v>14</v>
      </c>
      <c r="H307" s="47"/>
      <c r="J307" s="47"/>
    </row>
    <row r="308" spans="2:10" x14ac:dyDescent="0.3">
      <c r="B308" s="47">
        <v>42123</v>
      </c>
      <c r="C308" t="s">
        <v>20</v>
      </c>
      <c r="D308" t="s">
        <v>45</v>
      </c>
      <c r="E308" t="s">
        <v>34</v>
      </c>
      <c r="F308" t="s">
        <v>35</v>
      </c>
      <c r="H308" s="47"/>
      <c r="J308" s="47"/>
    </row>
    <row r="309" spans="2:10" x14ac:dyDescent="0.3">
      <c r="B309" s="47">
        <v>42130</v>
      </c>
      <c r="C309" t="s">
        <v>31</v>
      </c>
      <c r="D309" t="s">
        <v>24</v>
      </c>
      <c r="E309" t="s">
        <v>13</v>
      </c>
      <c r="F309" t="s">
        <v>66</v>
      </c>
      <c r="H309" s="47"/>
      <c r="J309" s="47"/>
    </row>
    <row r="310" spans="2:10" x14ac:dyDescent="0.3">
      <c r="B310" s="47">
        <v>42131</v>
      </c>
      <c r="C310" t="s">
        <v>28</v>
      </c>
      <c r="D310" t="s">
        <v>45</v>
      </c>
      <c r="E310" t="s">
        <v>21</v>
      </c>
      <c r="F310" t="s">
        <v>375</v>
      </c>
      <c r="H310" s="47"/>
      <c r="J310" s="47"/>
    </row>
    <row r="311" spans="2:10" x14ac:dyDescent="0.3">
      <c r="B311" s="47">
        <v>42131</v>
      </c>
      <c r="C311" t="s">
        <v>20</v>
      </c>
      <c r="D311" t="s">
        <v>45</v>
      </c>
      <c r="E311" t="s">
        <v>34</v>
      </c>
      <c r="F311" t="s">
        <v>64</v>
      </c>
      <c r="H311" s="47"/>
      <c r="J311" s="47"/>
    </row>
    <row r="312" spans="2:10" x14ac:dyDescent="0.3">
      <c r="B312" s="47">
        <v>42137</v>
      </c>
      <c r="C312" t="s">
        <v>28</v>
      </c>
      <c r="D312" t="s">
        <v>45</v>
      </c>
      <c r="E312" t="s">
        <v>17</v>
      </c>
      <c r="F312" t="s">
        <v>54</v>
      </c>
      <c r="H312" s="47"/>
      <c r="J312" s="47"/>
    </row>
    <row r="313" spans="2:10" x14ac:dyDescent="0.3">
      <c r="B313" s="47">
        <v>42137</v>
      </c>
      <c r="C313" t="s">
        <v>11</v>
      </c>
      <c r="D313" t="s">
        <v>45</v>
      </c>
      <c r="E313" t="s">
        <v>13</v>
      </c>
      <c r="F313" t="s">
        <v>56</v>
      </c>
      <c r="H313" s="47"/>
      <c r="J313" s="47"/>
    </row>
    <row r="314" spans="2:10" x14ac:dyDescent="0.3">
      <c r="B314" s="47">
        <v>42138</v>
      </c>
      <c r="C314" t="s">
        <v>20</v>
      </c>
      <c r="D314" t="s">
        <v>45</v>
      </c>
      <c r="E314" t="s">
        <v>13</v>
      </c>
      <c r="F314" t="s">
        <v>113</v>
      </c>
      <c r="H314" s="47"/>
      <c r="J314" s="47"/>
    </row>
    <row r="315" spans="2:10" x14ac:dyDescent="0.3">
      <c r="B315" s="47">
        <v>42138</v>
      </c>
      <c r="C315" t="s">
        <v>28</v>
      </c>
      <c r="D315" t="s">
        <v>45</v>
      </c>
      <c r="E315" t="s">
        <v>34</v>
      </c>
      <c r="F315" t="s">
        <v>64</v>
      </c>
      <c r="H315" s="47"/>
      <c r="J315" s="47"/>
    </row>
    <row r="316" spans="2:10" x14ac:dyDescent="0.3">
      <c r="B316" s="47">
        <v>42138</v>
      </c>
      <c r="C316" t="s">
        <v>20</v>
      </c>
      <c r="D316" t="s">
        <v>45</v>
      </c>
      <c r="E316" t="s">
        <v>34</v>
      </c>
      <c r="F316" t="s">
        <v>241</v>
      </c>
      <c r="H316" s="47"/>
      <c r="J316" s="47"/>
    </row>
    <row r="317" spans="2:10" x14ac:dyDescent="0.3">
      <c r="B317" s="47">
        <v>42138</v>
      </c>
      <c r="C317" t="s">
        <v>28</v>
      </c>
      <c r="D317" t="s">
        <v>45</v>
      </c>
      <c r="E317" t="s">
        <v>34</v>
      </c>
      <c r="F317" t="s">
        <v>75</v>
      </c>
      <c r="H317" s="47"/>
      <c r="J317" s="47"/>
    </row>
    <row r="318" spans="2:10" x14ac:dyDescent="0.3">
      <c r="B318" s="47">
        <v>42141</v>
      </c>
      <c r="C318" t="s">
        <v>20</v>
      </c>
      <c r="D318" t="s">
        <v>24</v>
      </c>
      <c r="E318" t="s">
        <v>17</v>
      </c>
      <c r="F318" t="s">
        <v>32</v>
      </c>
      <c r="H318" s="47"/>
      <c r="J318" s="47"/>
    </row>
    <row r="319" spans="2:10" x14ac:dyDescent="0.3">
      <c r="B319" s="47">
        <v>42141</v>
      </c>
      <c r="C319" t="s">
        <v>20</v>
      </c>
      <c r="D319" t="s">
        <v>12</v>
      </c>
      <c r="E319" t="s">
        <v>17</v>
      </c>
      <c r="F319" t="s">
        <v>128</v>
      </c>
      <c r="H319" s="47"/>
      <c r="J319" s="47"/>
    </row>
    <row r="320" spans="2:10" x14ac:dyDescent="0.3">
      <c r="B320" s="47">
        <v>42141</v>
      </c>
      <c r="C320" t="s">
        <v>31</v>
      </c>
      <c r="D320" t="s">
        <v>12</v>
      </c>
      <c r="E320" t="s">
        <v>21</v>
      </c>
      <c r="F320" t="s">
        <v>87</v>
      </c>
      <c r="H320" s="47"/>
      <c r="J320" s="47"/>
    </row>
    <row r="321" spans="2:10" x14ac:dyDescent="0.3">
      <c r="B321" s="47">
        <v>42145</v>
      </c>
      <c r="C321" t="s">
        <v>28</v>
      </c>
      <c r="D321" t="s">
        <v>45</v>
      </c>
      <c r="E321" t="s">
        <v>13</v>
      </c>
      <c r="F321" t="s">
        <v>121</v>
      </c>
      <c r="H321" s="47"/>
      <c r="J321" s="47"/>
    </row>
    <row r="322" spans="2:10" x14ac:dyDescent="0.3">
      <c r="B322" s="47">
        <v>42145</v>
      </c>
      <c r="C322" t="s">
        <v>11</v>
      </c>
      <c r="D322" t="s">
        <v>45</v>
      </c>
      <c r="E322" t="s">
        <v>21</v>
      </c>
      <c r="F322" t="s">
        <v>22</v>
      </c>
      <c r="H322" s="47"/>
      <c r="J322" s="47"/>
    </row>
    <row r="323" spans="2:10" x14ac:dyDescent="0.3">
      <c r="B323" s="47">
        <v>42150</v>
      </c>
      <c r="C323" t="s">
        <v>31</v>
      </c>
      <c r="D323" t="s">
        <v>85</v>
      </c>
      <c r="E323" t="s">
        <v>51</v>
      </c>
      <c r="F323" t="s">
        <v>118</v>
      </c>
      <c r="H323" s="47"/>
      <c r="J323" s="47"/>
    </row>
    <row r="324" spans="2:10" x14ac:dyDescent="0.3">
      <c r="B324" s="47">
        <v>42150</v>
      </c>
      <c r="C324" t="s">
        <v>20</v>
      </c>
      <c r="D324" t="s">
        <v>85</v>
      </c>
      <c r="E324" t="s">
        <v>21</v>
      </c>
      <c r="F324" t="s">
        <v>22</v>
      </c>
      <c r="H324" s="47"/>
      <c r="J324" s="47"/>
    </row>
    <row r="325" spans="2:10" x14ac:dyDescent="0.3">
      <c r="B325" s="47">
        <v>42150</v>
      </c>
      <c r="C325" t="s">
        <v>20</v>
      </c>
      <c r="D325" t="s">
        <v>85</v>
      </c>
      <c r="E325" t="s">
        <v>34</v>
      </c>
      <c r="F325" t="s">
        <v>188</v>
      </c>
      <c r="H325" s="47"/>
      <c r="J325" s="47"/>
    </row>
    <row r="326" spans="2:10" x14ac:dyDescent="0.3">
      <c r="B326" s="47">
        <v>42150</v>
      </c>
      <c r="C326" t="s">
        <v>31</v>
      </c>
      <c r="D326" t="s">
        <v>85</v>
      </c>
      <c r="E326" t="s">
        <v>34</v>
      </c>
      <c r="F326" t="s">
        <v>241</v>
      </c>
      <c r="H326" s="47"/>
      <c r="J326" s="47"/>
    </row>
    <row r="327" spans="2:10" x14ac:dyDescent="0.3">
      <c r="B327" s="47">
        <v>42157</v>
      </c>
      <c r="C327" t="s">
        <v>20</v>
      </c>
      <c r="D327" t="s">
        <v>45</v>
      </c>
      <c r="E327" t="s">
        <v>51</v>
      </c>
      <c r="F327" t="s">
        <v>138</v>
      </c>
      <c r="H327" s="47"/>
      <c r="J327" s="47"/>
    </row>
    <row r="328" spans="2:10" x14ac:dyDescent="0.3">
      <c r="B328" s="47">
        <v>42157</v>
      </c>
      <c r="C328" t="s">
        <v>20</v>
      </c>
      <c r="D328" t="s">
        <v>45</v>
      </c>
      <c r="E328" t="s">
        <v>34</v>
      </c>
      <c r="F328" t="s">
        <v>64</v>
      </c>
      <c r="H328" s="47"/>
      <c r="J328" s="47"/>
    </row>
    <row r="329" spans="2:10" x14ac:dyDescent="0.3">
      <c r="B329" s="47">
        <v>42157</v>
      </c>
      <c r="C329" t="s">
        <v>11</v>
      </c>
      <c r="D329" t="s">
        <v>45</v>
      </c>
      <c r="E329" t="s">
        <v>13</v>
      </c>
      <c r="F329" t="s">
        <v>14</v>
      </c>
      <c r="H329" s="47"/>
      <c r="J329" s="47"/>
    </row>
    <row r="330" spans="2:10" x14ac:dyDescent="0.3">
      <c r="B330" s="47">
        <v>42157</v>
      </c>
      <c r="C330" t="s">
        <v>28</v>
      </c>
      <c r="D330" t="s">
        <v>45</v>
      </c>
      <c r="E330" t="s">
        <v>17</v>
      </c>
      <c r="F330" t="s">
        <v>54</v>
      </c>
      <c r="H330" s="47"/>
      <c r="J330" s="47"/>
    </row>
    <row r="331" spans="2:10" x14ac:dyDescent="0.3">
      <c r="B331" s="47">
        <v>42157</v>
      </c>
      <c r="C331" t="s">
        <v>11</v>
      </c>
      <c r="D331" t="s">
        <v>45</v>
      </c>
      <c r="E331" t="s">
        <v>34</v>
      </c>
      <c r="F331" t="s">
        <v>136</v>
      </c>
      <c r="H331" s="47"/>
      <c r="J331" s="47"/>
    </row>
    <row r="332" spans="2:10" x14ac:dyDescent="0.3">
      <c r="B332" s="47">
        <v>42163</v>
      </c>
      <c r="C332" t="s">
        <v>28</v>
      </c>
      <c r="D332" t="s">
        <v>12</v>
      </c>
      <c r="E332" t="s">
        <v>51</v>
      </c>
      <c r="F332" t="s">
        <v>81</v>
      </c>
      <c r="H332" s="47"/>
      <c r="J332" s="47"/>
    </row>
    <row r="333" spans="2:10" x14ac:dyDescent="0.3">
      <c r="B333" s="47">
        <v>42163</v>
      </c>
      <c r="C333" t="s">
        <v>11</v>
      </c>
      <c r="D333" t="s">
        <v>12</v>
      </c>
      <c r="E333" t="s">
        <v>51</v>
      </c>
      <c r="F333" t="s">
        <v>81</v>
      </c>
      <c r="H333" s="47"/>
      <c r="J333" s="47"/>
    </row>
    <row r="334" spans="2:10" x14ac:dyDescent="0.3">
      <c r="B334" s="47">
        <v>42166</v>
      </c>
      <c r="C334" t="s">
        <v>20</v>
      </c>
      <c r="D334" t="s">
        <v>85</v>
      </c>
      <c r="E334" t="s">
        <v>34</v>
      </c>
      <c r="F334" t="s">
        <v>64</v>
      </c>
      <c r="H334" s="47"/>
      <c r="J334" s="47"/>
    </row>
    <row r="335" spans="2:10" x14ac:dyDescent="0.3">
      <c r="B335" s="47">
        <v>42177</v>
      </c>
      <c r="C335" t="s">
        <v>11</v>
      </c>
      <c r="D335" t="s">
        <v>45</v>
      </c>
      <c r="E335" t="s">
        <v>17</v>
      </c>
      <c r="F335" t="s">
        <v>72</v>
      </c>
      <c r="H335" s="47"/>
      <c r="J335" s="47"/>
    </row>
    <row r="336" spans="2:10" x14ac:dyDescent="0.3">
      <c r="B336" s="47">
        <v>42177</v>
      </c>
      <c r="C336" t="s">
        <v>28</v>
      </c>
      <c r="D336" t="s">
        <v>45</v>
      </c>
      <c r="E336" t="s">
        <v>21</v>
      </c>
      <c r="F336" t="s">
        <v>22</v>
      </c>
      <c r="H336" s="47"/>
      <c r="J336" s="47"/>
    </row>
    <row r="337" spans="2:10" x14ac:dyDescent="0.3">
      <c r="B337" s="47">
        <v>42179</v>
      </c>
      <c r="C337" t="s">
        <v>11</v>
      </c>
      <c r="D337" t="s">
        <v>12</v>
      </c>
      <c r="E337" t="s">
        <v>17</v>
      </c>
      <c r="F337" t="s">
        <v>25</v>
      </c>
      <c r="H337" s="47"/>
      <c r="J337" s="47"/>
    </row>
    <row r="338" spans="2:10" x14ac:dyDescent="0.3">
      <c r="B338" s="47">
        <v>42184</v>
      </c>
      <c r="C338" t="s">
        <v>20</v>
      </c>
      <c r="D338" t="s">
        <v>12</v>
      </c>
      <c r="E338" t="s">
        <v>34</v>
      </c>
      <c r="F338" t="s">
        <v>136</v>
      </c>
      <c r="H338" s="47"/>
      <c r="J338" s="47"/>
    </row>
    <row r="339" spans="2:10" x14ac:dyDescent="0.3">
      <c r="B339" s="47">
        <v>42185</v>
      </c>
      <c r="C339" t="s">
        <v>31</v>
      </c>
      <c r="D339" t="s">
        <v>12</v>
      </c>
      <c r="E339" t="s">
        <v>17</v>
      </c>
      <c r="F339" t="s">
        <v>72</v>
      </c>
      <c r="H339" s="47"/>
      <c r="J339" s="47"/>
    </row>
    <row r="340" spans="2:10" x14ac:dyDescent="0.3">
      <c r="B340" s="47">
        <v>42185</v>
      </c>
      <c r="C340" t="s">
        <v>31</v>
      </c>
      <c r="D340" t="s">
        <v>12</v>
      </c>
      <c r="E340" t="s">
        <v>21</v>
      </c>
      <c r="F340" t="s">
        <v>97</v>
      </c>
      <c r="H340" s="47"/>
      <c r="J340" s="47"/>
    </row>
    <row r="341" spans="2:10" x14ac:dyDescent="0.3">
      <c r="B341" s="47">
        <v>42198</v>
      </c>
      <c r="C341" t="s">
        <v>31</v>
      </c>
      <c r="D341" t="s">
        <v>45</v>
      </c>
      <c r="E341" t="s">
        <v>34</v>
      </c>
      <c r="F341" t="s">
        <v>90</v>
      </c>
      <c r="H341" s="47"/>
      <c r="J341" s="47"/>
    </row>
    <row r="342" spans="2:10" x14ac:dyDescent="0.3">
      <c r="B342" s="47">
        <v>42205</v>
      </c>
      <c r="C342" t="s">
        <v>31</v>
      </c>
      <c r="D342" t="s">
        <v>12</v>
      </c>
      <c r="E342" t="s">
        <v>51</v>
      </c>
      <c r="F342" t="s">
        <v>81</v>
      </c>
      <c r="H342" s="47"/>
      <c r="J342" s="47"/>
    </row>
    <row r="343" spans="2:10" x14ac:dyDescent="0.3">
      <c r="B343" s="47">
        <v>42205</v>
      </c>
      <c r="C343" t="s">
        <v>31</v>
      </c>
      <c r="D343" t="s">
        <v>12</v>
      </c>
      <c r="E343" t="s">
        <v>21</v>
      </c>
      <c r="F343" t="s">
        <v>111</v>
      </c>
      <c r="H343" s="47"/>
      <c r="J343" s="47"/>
    </row>
    <row r="344" spans="2:10" x14ac:dyDescent="0.3">
      <c r="B344" s="47">
        <v>42205</v>
      </c>
      <c r="C344" t="s">
        <v>11</v>
      </c>
      <c r="D344" t="s">
        <v>12</v>
      </c>
      <c r="E344" t="s">
        <v>34</v>
      </c>
      <c r="F344" t="s">
        <v>90</v>
      </c>
      <c r="H344" s="47"/>
      <c r="J344" s="47"/>
    </row>
    <row r="345" spans="2:10" x14ac:dyDescent="0.3">
      <c r="B345" s="47">
        <v>42219</v>
      </c>
      <c r="C345" t="s">
        <v>11</v>
      </c>
      <c r="D345" t="s">
        <v>45</v>
      </c>
      <c r="E345" t="s">
        <v>17</v>
      </c>
      <c r="F345" t="s">
        <v>54</v>
      </c>
      <c r="H345" s="47"/>
      <c r="J345" s="47"/>
    </row>
    <row r="346" spans="2:10" x14ac:dyDescent="0.3">
      <c r="B346" s="47">
        <v>42219</v>
      </c>
      <c r="C346" t="s">
        <v>31</v>
      </c>
      <c r="D346" t="s">
        <v>45</v>
      </c>
      <c r="E346" t="s">
        <v>13</v>
      </c>
      <c r="F346" t="s">
        <v>14</v>
      </c>
      <c r="H346" s="47"/>
      <c r="J346" s="47"/>
    </row>
    <row r="347" spans="2:10" x14ac:dyDescent="0.3">
      <c r="B347" s="47">
        <v>42219</v>
      </c>
      <c r="C347" t="s">
        <v>11</v>
      </c>
      <c r="D347" t="s">
        <v>45</v>
      </c>
      <c r="E347" t="s">
        <v>13</v>
      </c>
      <c r="F347" t="s">
        <v>124</v>
      </c>
      <c r="H347" s="47"/>
      <c r="J347" s="47"/>
    </row>
    <row r="348" spans="2:10" x14ac:dyDescent="0.3">
      <c r="B348" s="47">
        <v>42219</v>
      </c>
      <c r="C348" t="s">
        <v>28</v>
      </c>
      <c r="D348" t="s">
        <v>45</v>
      </c>
      <c r="E348" t="s">
        <v>34</v>
      </c>
      <c r="F348" t="s">
        <v>188</v>
      </c>
      <c r="H348" s="47"/>
      <c r="J348" s="47"/>
    </row>
    <row r="349" spans="2:10" x14ac:dyDescent="0.3">
      <c r="B349" s="47">
        <v>42220</v>
      </c>
      <c r="C349" t="s">
        <v>28</v>
      </c>
      <c r="D349" t="s">
        <v>12</v>
      </c>
      <c r="E349" t="s">
        <v>17</v>
      </c>
      <c r="F349" t="s">
        <v>18</v>
      </c>
      <c r="H349" s="47"/>
      <c r="J349" s="47"/>
    </row>
    <row r="350" spans="2:10" x14ac:dyDescent="0.3">
      <c r="B350" s="47">
        <v>42220</v>
      </c>
      <c r="C350" t="s">
        <v>31</v>
      </c>
      <c r="D350" t="s">
        <v>12</v>
      </c>
      <c r="E350" t="s">
        <v>34</v>
      </c>
      <c r="F350" t="s">
        <v>43</v>
      </c>
      <c r="H350" s="47"/>
      <c r="J350" s="47"/>
    </row>
    <row r="351" spans="2:10" x14ac:dyDescent="0.3">
      <c r="B351" s="47">
        <v>42226</v>
      </c>
      <c r="C351" t="s">
        <v>11</v>
      </c>
      <c r="D351" t="s">
        <v>85</v>
      </c>
      <c r="E351" t="s">
        <v>51</v>
      </c>
      <c r="F351" t="s">
        <v>52</v>
      </c>
      <c r="H351" s="47"/>
      <c r="J351" s="47"/>
    </row>
    <row r="352" spans="2:10" x14ac:dyDescent="0.3">
      <c r="B352" s="47">
        <v>42226</v>
      </c>
      <c r="C352" t="s">
        <v>20</v>
      </c>
      <c r="D352" t="s">
        <v>85</v>
      </c>
      <c r="E352" t="s">
        <v>51</v>
      </c>
      <c r="F352" t="s">
        <v>81</v>
      </c>
      <c r="H352" s="47"/>
      <c r="J352" s="47"/>
    </row>
    <row r="353" spans="2:10" x14ac:dyDescent="0.3">
      <c r="B353" s="47">
        <v>42233</v>
      </c>
      <c r="C353" t="s">
        <v>11</v>
      </c>
      <c r="D353" t="s">
        <v>12</v>
      </c>
      <c r="E353" t="s">
        <v>51</v>
      </c>
      <c r="F353" t="s">
        <v>81</v>
      </c>
      <c r="H353" s="47"/>
      <c r="J353" s="47"/>
    </row>
    <row r="354" spans="2:10" x14ac:dyDescent="0.3">
      <c r="B354" s="47">
        <v>42233</v>
      </c>
      <c r="C354" t="s">
        <v>28</v>
      </c>
      <c r="D354" t="s">
        <v>12</v>
      </c>
      <c r="E354" t="s">
        <v>13</v>
      </c>
      <c r="F354" t="s">
        <v>14</v>
      </c>
      <c r="H354" s="47"/>
      <c r="J354" s="47"/>
    </row>
    <row r="355" spans="2:10" x14ac:dyDescent="0.3">
      <c r="B355" s="47">
        <v>42233</v>
      </c>
      <c r="C355" t="s">
        <v>31</v>
      </c>
      <c r="D355" t="s">
        <v>12</v>
      </c>
      <c r="E355" t="s">
        <v>34</v>
      </c>
      <c r="F355" t="s">
        <v>64</v>
      </c>
      <c r="H355" s="47"/>
      <c r="J355" s="47"/>
    </row>
    <row r="356" spans="2:10" x14ac:dyDescent="0.3">
      <c r="B356" s="47">
        <v>42239</v>
      </c>
      <c r="C356" t="s">
        <v>11</v>
      </c>
      <c r="D356" t="s">
        <v>12</v>
      </c>
      <c r="E356" t="s">
        <v>17</v>
      </c>
      <c r="F356" t="s">
        <v>29</v>
      </c>
      <c r="H356" s="47"/>
      <c r="J356" s="47"/>
    </row>
    <row r="357" spans="2:10" x14ac:dyDescent="0.3">
      <c r="B357" s="47">
        <v>42239</v>
      </c>
      <c r="C357" t="s">
        <v>11</v>
      </c>
      <c r="D357" t="s">
        <v>12</v>
      </c>
      <c r="E357" t="s">
        <v>17</v>
      </c>
      <c r="F357" t="s">
        <v>54</v>
      </c>
      <c r="H357" s="47"/>
      <c r="J357" s="47"/>
    </row>
    <row r="358" spans="2:10" x14ac:dyDescent="0.3">
      <c r="B358" s="47">
        <v>42240</v>
      </c>
      <c r="C358" t="s">
        <v>20</v>
      </c>
      <c r="D358" t="s">
        <v>12</v>
      </c>
      <c r="E358" t="s">
        <v>13</v>
      </c>
      <c r="F358" t="s">
        <v>14</v>
      </c>
      <c r="H358" s="47"/>
      <c r="J358" s="47"/>
    </row>
    <row r="359" spans="2:10" x14ac:dyDescent="0.3">
      <c r="B359" s="47">
        <v>42240</v>
      </c>
      <c r="C359" t="s">
        <v>31</v>
      </c>
      <c r="D359" t="s">
        <v>85</v>
      </c>
      <c r="E359" t="s">
        <v>17</v>
      </c>
      <c r="F359" t="s">
        <v>54</v>
      </c>
      <c r="H359" s="47"/>
      <c r="J359" s="47"/>
    </row>
    <row r="360" spans="2:10" x14ac:dyDescent="0.3">
      <c r="B360" s="47">
        <v>42241</v>
      </c>
      <c r="C360" t="s">
        <v>31</v>
      </c>
      <c r="D360" t="s">
        <v>12</v>
      </c>
      <c r="E360" t="s">
        <v>17</v>
      </c>
      <c r="F360" t="s">
        <v>37</v>
      </c>
      <c r="H360" s="47"/>
      <c r="J360" s="47"/>
    </row>
    <row r="361" spans="2:10" x14ac:dyDescent="0.3">
      <c r="B361" s="47">
        <v>42241</v>
      </c>
      <c r="C361" t="s">
        <v>11</v>
      </c>
      <c r="D361" t="s">
        <v>12</v>
      </c>
      <c r="E361" t="s">
        <v>34</v>
      </c>
      <c r="F361" t="s">
        <v>188</v>
      </c>
      <c r="H361" s="47"/>
      <c r="J361" s="47"/>
    </row>
    <row r="362" spans="2:10" x14ac:dyDescent="0.3">
      <c r="B362" s="47">
        <v>42242</v>
      </c>
      <c r="C362" t="s">
        <v>20</v>
      </c>
      <c r="D362" t="s">
        <v>12</v>
      </c>
      <c r="E362" t="s">
        <v>17</v>
      </c>
      <c r="F362" t="s">
        <v>128</v>
      </c>
      <c r="H362" s="47"/>
      <c r="J362" s="47"/>
    </row>
    <row r="363" spans="2:10" x14ac:dyDescent="0.3">
      <c r="B363" s="47">
        <v>42242</v>
      </c>
      <c r="C363" t="s">
        <v>20</v>
      </c>
      <c r="D363" t="s">
        <v>12</v>
      </c>
      <c r="E363" t="s">
        <v>21</v>
      </c>
      <c r="F363" t="s">
        <v>22</v>
      </c>
      <c r="H363" s="47"/>
      <c r="J363" s="47"/>
    </row>
    <row r="364" spans="2:10" x14ac:dyDescent="0.3">
      <c r="B364" s="47">
        <v>42243</v>
      </c>
      <c r="C364" t="s">
        <v>20</v>
      </c>
      <c r="D364" t="s">
        <v>12</v>
      </c>
      <c r="E364" t="s">
        <v>51</v>
      </c>
      <c r="F364" t="s">
        <v>268</v>
      </c>
      <c r="H364" s="47"/>
      <c r="J364" s="47"/>
    </row>
    <row r="365" spans="2:10" x14ac:dyDescent="0.3">
      <c r="B365" s="47">
        <v>42243</v>
      </c>
      <c r="C365" t="s">
        <v>31</v>
      </c>
      <c r="D365" t="s">
        <v>12</v>
      </c>
      <c r="E365" t="s">
        <v>51</v>
      </c>
      <c r="F365" t="s">
        <v>138</v>
      </c>
      <c r="H365" s="47"/>
      <c r="J365" s="47"/>
    </row>
    <row r="366" spans="2:10" x14ac:dyDescent="0.3">
      <c r="B366" s="47">
        <v>42243</v>
      </c>
      <c r="C366" t="s">
        <v>20</v>
      </c>
      <c r="D366" t="s">
        <v>12</v>
      </c>
      <c r="E366" t="s">
        <v>17</v>
      </c>
      <c r="F366" t="s">
        <v>54</v>
      </c>
      <c r="H366" s="47"/>
      <c r="J366" s="47"/>
    </row>
    <row r="367" spans="2:10" x14ac:dyDescent="0.3">
      <c r="B367" s="47">
        <v>42246</v>
      </c>
      <c r="C367" t="s">
        <v>11</v>
      </c>
      <c r="D367" t="s">
        <v>12</v>
      </c>
      <c r="E367" t="s">
        <v>17</v>
      </c>
      <c r="F367" t="s">
        <v>54</v>
      </c>
      <c r="H367" s="47"/>
      <c r="J367" s="47"/>
    </row>
    <row r="368" spans="2:10" x14ac:dyDescent="0.3">
      <c r="B368" s="47">
        <v>42246</v>
      </c>
      <c r="C368" t="s">
        <v>31</v>
      </c>
      <c r="D368" t="s">
        <v>12</v>
      </c>
      <c r="E368" t="s">
        <v>21</v>
      </c>
      <c r="F368" t="s">
        <v>22</v>
      </c>
      <c r="H368" s="47"/>
      <c r="J368" s="47"/>
    </row>
    <row r="369" spans="2:10" x14ac:dyDescent="0.3">
      <c r="B369" s="47">
        <v>42250</v>
      </c>
      <c r="C369" t="s">
        <v>11</v>
      </c>
      <c r="D369" t="s">
        <v>12</v>
      </c>
      <c r="E369" t="s">
        <v>17</v>
      </c>
      <c r="F369" t="s">
        <v>54</v>
      </c>
      <c r="H369" s="47"/>
      <c r="J369" s="47"/>
    </row>
    <row r="370" spans="2:10" x14ac:dyDescent="0.3">
      <c r="B370" s="47">
        <v>42250</v>
      </c>
      <c r="C370" t="s">
        <v>31</v>
      </c>
      <c r="D370" t="s">
        <v>12</v>
      </c>
      <c r="E370" t="s">
        <v>13</v>
      </c>
      <c r="F370" t="s">
        <v>99</v>
      </c>
      <c r="H370" s="47"/>
      <c r="J370" s="47"/>
    </row>
    <row r="371" spans="2:10" x14ac:dyDescent="0.3">
      <c r="B371" s="47">
        <v>42250</v>
      </c>
      <c r="C371" t="s">
        <v>31</v>
      </c>
      <c r="D371" t="s">
        <v>12</v>
      </c>
      <c r="E371" t="s">
        <v>17</v>
      </c>
      <c r="F371" t="s">
        <v>54</v>
      </c>
      <c r="H371" s="47"/>
      <c r="J371" s="47"/>
    </row>
    <row r="372" spans="2:10" x14ac:dyDescent="0.3">
      <c r="B372" s="47">
        <v>42263</v>
      </c>
      <c r="C372" t="s">
        <v>28</v>
      </c>
      <c r="D372" t="s">
        <v>45</v>
      </c>
      <c r="E372" t="s">
        <v>21</v>
      </c>
      <c r="F372" t="s">
        <v>22</v>
      </c>
      <c r="H372" s="47"/>
      <c r="J372" s="47"/>
    </row>
    <row r="373" spans="2:10" x14ac:dyDescent="0.3">
      <c r="B373" s="47">
        <v>42274</v>
      </c>
      <c r="C373" t="s">
        <v>11</v>
      </c>
      <c r="D373" t="s">
        <v>12</v>
      </c>
      <c r="E373" t="s">
        <v>17</v>
      </c>
      <c r="F373" t="s">
        <v>54</v>
      </c>
      <c r="H373" s="47"/>
      <c r="J373" s="47"/>
    </row>
    <row r="374" spans="2:10" x14ac:dyDescent="0.3">
      <c r="B374" s="47">
        <v>42274</v>
      </c>
      <c r="C374" t="s">
        <v>20</v>
      </c>
      <c r="D374" t="s">
        <v>12</v>
      </c>
      <c r="E374" t="s">
        <v>34</v>
      </c>
      <c r="F374" t="s">
        <v>136</v>
      </c>
      <c r="H374" s="47"/>
      <c r="J374" s="47"/>
    </row>
    <row r="375" spans="2:10" x14ac:dyDescent="0.3">
      <c r="B375" s="47">
        <v>42277</v>
      </c>
      <c r="C375" t="s">
        <v>20</v>
      </c>
      <c r="D375" t="s">
        <v>12</v>
      </c>
      <c r="E375" t="s">
        <v>21</v>
      </c>
      <c r="F375" t="s">
        <v>97</v>
      </c>
      <c r="H375" s="47"/>
      <c r="J375" s="47"/>
    </row>
    <row r="376" spans="2:10" x14ac:dyDescent="0.3">
      <c r="B376" s="47">
        <v>42277</v>
      </c>
      <c r="C376" t="s">
        <v>31</v>
      </c>
      <c r="D376" t="s">
        <v>12</v>
      </c>
      <c r="E376" t="s">
        <v>51</v>
      </c>
      <c r="F376" t="s">
        <v>81</v>
      </c>
      <c r="H376" s="47"/>
      <c r="J376" s="47"/>
    </row>
    <row r="377" spans="2:10" x14ac:dyDescent="0.3">
      <c r="B377" s="47">
        <v>42289</v>
      </c>
      <c r="C377" t="s">
        <v>20</v>
      </c>
      <c r="D377" t="s">
        <v>12</v>
      </c>
      <c r="E377" t="s">
        <v>17</v>
      </c>
      <c r="F377" t="s">
        <v>128</v>
      </c>
      <c r="H377" s="47"/>
      <c r="J377" s="47"/>
    </row>
    <row r="378" spans="2:10" x14ac:dyDescent="0.3">
      <c r="B378" s="47">
        <v>42289</v>
      </c>
      <c r="C378" t="s">
        <v>11</v>
      </c>
      <c r="D378" t="s">
        <v>12</v>
      </c>
      <c r="E378" t="s">
        <v>21</v>
      </c>
      <c r="F378" t="s">
        <v>111</v>
      </c>
      <c r="H378" s="47"/>
      <c r="J378" s="47"/>
    </row>
    <row r="379" spans="2:10" x14ac:dyDescent="0.3">
      <c r="B379" s="47">
        <v>42289</v>
      </c>
      <c r="C379" t="s">
        <v>31</v>
      </c>
      <c r="D379" t="s">
        <v>12</v>
      </c>
      <c r="E379" t="s">
        <v>34</v>
      </c>
      <c r="F379" t="s">
        <v>339</v>
      </c>
      <c r="H379" s="47"/>
      <c r="J379" s="47"/>
    </row>
    <row r="380" spans="2:10" x14ac:dyDescent="0.3">
      <c r="B380" s="47">
        <v>42291</v>
      </c>
      <c r="C380" t="s">
        <v>11</v>
      </c>
      <c r="D380" t="s">
        <v>45</v>
      </c>
      <c r="E380" t="s">
        <v>17</v>
      </c>
      <c r="F380" t="s">
        <v>54</v>
      </c>
      <c r="H380" s="47"/>
      <c r="J380" s="47"/>
    </row>
    <row r="381" spans="2:10" x14ac:dyDescent="0.3">
      <c r="B381" s="47">
        <v>42291</v>
      </c>
      <c r="C381" t="s">
        <v>20</v>
      </c>
      <c r="D381" t="s">
        <v>45</v>
      </c>
      <c r="E381" t="s">
        <v>51</v>
      </c>
      <c r="F381" t="s">
        <v>81</v>
      </c>
      <c r="H381" s="47"/>
      <c r="J381" s="47"/>
    </row>
    <row r="382" spans="2:10" x14ac:dyDescent="0.3">
      <c r="B382" s="47">
        <v>42291</v>
      </c>
      <c r="C382" t="s">
        <v>11</v>
      </c>
      <c r="D382" t="s">
        <v>45</v>
      </c>
      <c r="E382" t="s">
        <v>34</v>
      </c>
      <c r="F382" t="s">
        <v>64</v>
      </c>
      <c r="H382" s="47"/>
      <c r="J382" s="47"/>
    </row>
    <row r="383" spans="2:10" x14ac:dyDescent="0.3">
      <c r="B383" s="47">
        <v>42292</v>
      </c>
      <c r="C383" t="s">
        <v>11</v>
      </c>
      <c r="D383" t="s">
        <v>12</v>
      </c>
      <c r="E383" t="s">
        <v>21</v>
      </c>
      <c r="F383" t="s">
        <v>47</v>
      </c>
      <c r="H383" s="47"/>
      <c r="J383" s="47"/>
    </row>
    <row r="384" spans="2:10" x14ac:dyDescent="0.3">
      <c r="B384" s="47">
        <v>42292</v>
      </c>
      <c r="C384" t="s">
        <v>11</v>
      </c>
      <c r="D384" t="s">
        <v>12</v>
      </c>
      <c r="E384" t="s">
        <v>34</v>
      </c>
      <c r="F384" t="s">
        <v>64</v>
      </c>
      <c r="H384" s="47"/>
      <c r="J384" s="47"/>
    </row>
    <row r="385" spans="2:10" x14ac:dyDescent="0.3">
      <c r="B385" s="47">
        <v>42292</v>
      </c>
      <c r="C385" t="s">
        <v>20</v>
      </c>
      <c r="D385" t="s">
        <v>12</v>
      </c>
      <c r="E385" t="s">
        <v>13</v>
      </c>
      <c r="F385" t="s">
        <v>41</v>
      </c>
      <c r="H385" s="47"/>
      <c r="J385" s="47"/>
    </row>
    <row r="386" spans="2:10" x14ac:dyDescent="0.3">
      <c r="B386" s="47">
        <v>42299</v>
      </c>
      <c r="C386" t="s">
        <v>28</v>
      </c>
      <c r="D386" t="s">
        <v>24</v>
      </c>
      <c r="E386" t="s">
        <v>21</v>
      </c>
      <c r="F386" t="s">
        <v>22</v>
      </c>
      <c r="H386" s="47"/>
      <c r="J386" s="47"/>
    </row>
    <row r="387" spans="2:10" x14ac:dyDescent="0.3">
      <c r="B387" s="47">
        <v>42299</v>
      </c>
      <c r="C387" t="s">
        <v>20</v>
      </c>
      <c r="D387" t="s">
        <v>24</v>
      </c>
      <c r="E387" t="s">
        <v>34</v>
      </c>
      <c r="F387" t="s">
        <v>241</v>
      </c>
      <c r="H387" s="47"/>
      <c r="J387" s="47"/>
    </row>
    <row r="388" spans="2:10" x14ac:dyDescent="0.3">
      <c r="B388" s="47">
        <v>42303</v>
      </c>
      <c r="C388" t="s">
        <v>28</v>
      </c>
      <c r="D388" t="s">
        <v>12</v>
      </c>
      <c r="E388" t="s">
        <v>17</v>
      </c>
      <c r="F388" t="s">
        <v>72</v>
      </c>
      <c r="H388" s="47"/>
      <c r="J388" s="47"/>
    </row>
    <row r="389" spans="2:10" x14ac:dyDescent="0.3">
      <c r="B389" s="47">
        <v>42303</v>
      </c>
      <c r="C389" t="s">
        <v>11</v>
      </c>
      <c r="D389" t="s">
        <v>12</v>
      </c>
      <c r="E389" t="s">
        <v>13</v>
      </c>
      <c r="F389" t="s">
        <v>124</v>
      </c>
      <c r="H389" s="47"/>
      <c r="J389" s="47"/>
    </row>
    <row r="390" spans="2:10" x14ac:dyDescent="0.3">
      <c r="B390" s="47">
        <v>42306</v>
      </c>
      <c r="C390" t="s">
        <v>11</v>
      </c>
      <c r="D390" t="s">
        <v>12</v>
      </c>
      <c r="E390" t="s">
        <v>51</v>
      </c>
      <c r="F390" t="s">
        <v>81</v>
      </c>
      <c r="H390" s="47"/>
      <c r="J390" s="47"/>
    </row>
    <row r="391" spans="2:10" x14ac:dyDescent="0.3">
      <c r="B391" s="47">
        <v>42306</v>
      </c>
      <c r="C391" t="s">
        <v>20</v>
      </c>
      <c r="D391" t="s">
        <v>12</v>
      </c>
      <c r="E391" t="s">
        <v>51</v>
      </c>
      <c r="F391" t="s">
        <v>81</v>
      </c>
      <c r="H391" s="47"/>
      <c r="J391" s="47"/>
    </row>
    <row r="392" spans="2:10" x14ac:dyDescent="0.3">
      <c r="B392" s="47">
        <v>42306</v>
      </c>
      <c r="C392" t="s">
        <v>28</v>
      </c>
      <c r="D392" t="s">
        <v>12</v>
      </c>
      <c r="E392" t="s">
        <v>51</v>
      </c>
      <c r="F392" t="s">
        <v>81</v>
      </c>
      <c r="H392" s="47"/>
      <c r="J392" s="47"/>
    </row>
    <row r="393" spans="2:10" x14ac:dyDescent="0.3">
      <c r="B393" s="47">
        <v>42309</v>
      </c>
      <c r="C393" t="s">
        <v>28</v>
      </c>
      <c r="D393" t="s">
        <v>45</v>
      </c>
      <c r="E393" t="s">
        <v>13</v>
      </c>
      <c r="F393" t="s">
        <v>14</v>
      </c>
      <c r="H393" s="47"/>
      <c r="J393" s="47"/>
    </row>
    <row r="394" spans="2:10" x14ac:dyDescent="0.3">
      <c r="B394" s="47">
        <v>42310</v>
      </c>
      <c r="C394" t="s">
        <v>28</v>
      </c>
      <c r="D394" t="s">
        <v>12</v>
      </c>
      <c r="E394" t="s">
        <v>51</v>
      </c>
      <c r="F394" t="s">
        <v>81</v>
      </c>
      <c r="H394" s="47"/>
      <c r="J394" s="47"/>
    </row>
    <row r="395" spans="2:10" x14ac:dyDescent="0.3">
      <c r="B395" s="47">
        <v>42310</v>
      </c>
      <c r="C395" t="s">
        <v>28</v>
      </c>
      <c r="D395" t="s">
        <v>12</v>
      </c>
      <c r="E395" t="s">
        <v>21</v>
      </c>
      <c r="F395" t="s">
        <v>22</v>
      </c>
      <c r="H395" s="47"/>
      <c r="J395" s="47"/>
    </row>
    <row r="396" spans="2:10" x14ac:dyDescent="0.3">
      <c r="B396" s="47">
        <v>42310</v>
      </c>
      <c r="C396" t="s">
        <v>11</v>
      </c>
      <c r="D396" t="s">
        <v>12</v>
      </c>
      <c r="E396" t="s">
        <v>51</v>
      </c>
      <c r="F396" t="s">
        <v>81</v>
      </c>
      <c r="H396" s="47"/>
      <c r="J396" s="47"/>
    </row>
    <row r="397" spans="2:10" x14ac:dyDescent="0.3">
      <c r="B397" s="47">
        <v>42313</v>
      </c>
      <c r="C397" t="s">
        <v>20</v>
      </c>
      <c r="D397" t="s">
        <v>12</v>
      </c>
      <c r="E397" t="s">
        <v>17</v>
      </c>
      <c r="F397" t="s">
        <v>134</v>
      </c>
      <c r="H397" s="47"/>
      <c r="J397" s="47"/>
    </row>
    <row r="398" spans="2:10" x14ac:dyDescent="0.3">
      <c r="B398" s="47">
        <v>42313</v>
      </c>
      <c r="C398" t="s">
        <v>11</v>
      </c>
      <c r="D398" t="s">
        <v>12</v>
      </c>
      <c r="E398" t="s">
        <v>21</v>
      </c>
      <c r="F398" t="s">
        <v>39</v>
      </c>
      <c r="H398" s="47"/>
      <c r="J398" s="47"/>
    </row>
    <row r="399" spans="2:10" x14ac:dyDescent="0.3">
      <c r="B399" s="47">
        <v>42313</v>
      </c>
      <c r="C399" t="s">
        <v>20</v>
      </c>
      <c r="D399" t="s">
        <v>12</v>
      </c>
      <c r="E399" t="s">
        <v>13</v>
      </c>
      <c r="F399" t="s">
        <v>14</v>
      </c>
      <c r="H399" s="47"/>
      <c r="J399" s="47"/>
    </row>
    <row r="400" spans="2:10" x14ac:dyDescent="0.3">
      <c r="B400" s="47">
        <v>42326</v>
      </c>
      <c r="C400" t="s">
        <v>31</v>
      </c>
      <c r="D400" t="s">
        <v>45</v>
      </c>
      <c r="E400" t="s">
        <v>17</v>
      </c>
      <c r="F400" t="s">
        <v>134</v>
      </c>
      <c r="H400" s="47"/>
      <c r="J400" s="47"/>
    </row>
    <row r="401" spans="2:10" x14ac:dyDescent="0.3">
      <c r="B401" s="47">
        <v>42326</v>
      </c>
      <c r="C401" t="s">
        <v>11</v>
      </c>
      <c r="D401" t="s">
        <v>45</v>
      </c>
      <c r="E401" t="s">
        <v>34</v>
      </c>
      <c r="F401" t="s">
        <v>64</v>
      </c>
      <c r="H401" s="47"/>
      <c r="J401" s="47"/>
    </row>
    <row r="402" spans="2:10" x14ac:dyDescent="0.3">
      <c r="B402" s="47">
        <v>42326</v>
      </c>
      <c r="C402" t="s">
        <v>28</v>
      </c>
      <c r="D402" t="s">
        <v>45</v>
      </c>
      <c r="E402" t="s">
        <v>13</v>
      </c>
      <c r="F402" t="s">
        <v>66</v>
      </c>
      <c r="H402" s="47"/>
      <c r="J402" s="47"/>
    </row>
    <row r="403" spans="2:10" x14ac:dyDescent="0.3">
      <c r="B403" s="47">
        <v>42330</v>
      </c>
      <c r="C403" t="s">
        <v>28</v>
      </c>
      <c r="D403" t="s">
        <v>45</v>
      </c>
      <c r="E403" t="s">
        <v>17</v>
      </c>
      <c r="F403" t="s">
        <v>79</v>
      </c>
      <c r="H403" s="47"/>
      <c r="J403" s="47"/>
    </row>
    <row r="404" spans="2:10" x14ac:dyDescent="0.3">
      <c r="B404" s="47">
        <v>42330</v>
      </c>
      <c r="C404" t="s">
        <v>11</v>
      </c>
      <c r="D404" t="s">
        <v>45</v>
      </c>
      <c r="E404" t="s">
        <v>13</v>
      </c>
      <c r="F404" t="s">
        <v>186</v>
      </c>
      <c r="H404" s="47"/>
      <c r="J404" s="47"/>
    </row>
    <row r="405" spans="2:10" x14ac:dyDescent="0.3">
      <c r="B405" s="47">
        <v>42344</v>
      </c>
      <c r="C405" t="s">
        <v>28</v>
      </c>
      <c r="D405" t="s">
        <v>45</v>
      </c>
      <c r="E405" t="s">
        <v>13</v>
      </c>
      <c r="F405" t="s">
        <v>14</v>
      </c>
      <c r="H405" s="47"/>
      <c r="J405" s="47"/>
    </row>
    <row r="406" spans="2:10" x14ac:dyDescent="0.3">
      <c r="B406" s="47">
        <v>42344</v>
      </c>
      <c r="C406" t="s">
        <v>11</v>
      </c>
      <c r="D406" t="s">
        <v>45</v>
      </c>
      <c r="E406" t="s">
        <v>13</v>
      </c>
      <c r="F406" t="s">
        <v>99</v>
      </c>
      <c r="H406" s="47"/>
      <c r="J406" s="47"/>
    </row>
    <row r="407" spans="2:10" x14ac:dyDescent="0.3">
      <c r="B407" s="47">
        <v>42344</v>
      </c>
      <c r="C407" t="s">
        <v>28</v>
      </c>
      <c r="D407" t="s">
        <v>45</v>
      </c>
      <c r="E407" t="s">
        <v>13</v>
      </c>
      <c r="F407" t="s">
        <v>124</v>
      </c>
      <c r="H407" s="47"/>
      <c r="J407" s="47"/>
    </row>
    <row r="408" spans="2:10" x14ac:dyDescent="0.3">
      <c r="B408" s="47">
        <v>42345</v>
      </c>
      <c r="C408" t="s">
        <v>20</v>
      </c>
      <c r="D408" t="s">
        <v>12</v>
      </c>
      <c r="E408" t="s">
        <v>13</v>
      </c>
      <c r="F408" t="s">
        <v>14</v>
      </c>
      <c r="H408" s="47"/>
      <c r="J408" s="47"/>
    </row>
    <row r="409" spans="2:10" x14ac:dyDescent="0.3">
      <c r="B409" s="47">
        <v>42351</v>
      </c>
      <c r="C409" t="s">
        <v>20</v>
      </c>
      <c r="D409" t="s">
        <v>12</v>
      </c>
      <c r="E409" t="s">
        <v>51</v>
      </c>
      <c r="F409" t="s">
        <v>81</v>
      </c>
      <c r="H409" s="47"/>
      <c r="J409" s="47"/>
    </row>
    <row r="410" spans="2:10" x14ac:dyDescent="0.3">
      <c r="B410" s="47">
        <v>42353</v>
      </c>
      <c r="C410" t="s">
        <v>31</v>
      </c>
      <c r="D410" t="s">
        <v>24</v>
      </c>
      <c r="E410" t="s">
        <v>13</v>
      </c>
      <c r="F410" t="s">
        <v>99</v>
      </c>
      <c r="H410" s="47"/>
      <c r="J410" s="47"/>
    </row>
    <row r="411" spans="2:10" x14ac:dyDescent="0.3">
      <c r="B411" s="47">
        <v>42354</v>
      </c>
      <c r="C411" t="s">
        <v>11</v>
      </c>
      <c r="D411" t="s">
        <v>12</v>
      </c>
      <c r="E411" t="s">
        <v>17</v>
      </c>
      <c r="F411" t="s">
        <v>32</v>
      </c>
      <c r="H411" s="47"/>
      <c r="J411" s="47"/>
    </row>
    <row r="412" spans="2:10" x14ac:dyDescent="0.3">
      <c r="B412" s="47">
        <v>42354</v>
      </c>
      <c r="C412" t="s">
        <v>11</v>
      </c>
      <c r="D412" t="s">
        <v>12</v>
      </c>
      <c r="E412" t="s">
        <v>13</v>
      </c>
      <c r="F412" t="s">
        <v>99</v>
      </c>
      <c r="H412" s="47"/>
      <c r="J412" s="47"/>
    </row>
    <row r="413" spans="2:10" x14ac:dyDescent="0.3">
      <c r="B413" s="47">
        <v>42355</v>
      </c>
      <c r="C413" t="s">
        <v>20</v>
      </c>
      <c r="D413" t="s">
        <v>12</v>
      </c>
      <c r="E413" t="s">
        <v>21</v>
      </c>
      <c r="F413" t="s">
        <v>47</v>
      </c>
      <c r="H413" s="47"/>
      <c r="J413" s="47"/>
    </row>
    <row r="414" spans="2:10" x14ac:dyDescent="0.3">
      <c r="B414" s="47">
        <v>42355</v>
      </c>
      <c r="C414" t="s">
        <v>28</v>
      </c>
      <c r="D414" t="s">
        <v>12</v>
      </c>
      <c r="E414" t="s">
        <v>21</v>
      </c>
      <c r="F414" t="s">
        <v>22</v>
      </c>
      <c r="H414" s="47"/>
      <c r="J414" s="47"/>
    </row>
    <row r="415" spans="2:10" x14ac:dyDescent="0.3">
      <c r="B415" s="47">
        <v>42358</v>
      </c>
      <c r="C415" t="s">
        <v>31</v>
      </c>
      <c r="D415" t="s">
        <v>12</v>
      </c>
      <c r="E415" t="s">
        <v>17</v>
      </c>
      <c r="F415" t="s">
        <v>54</v>
      </c>
      <c r="H415" s="47"/>
      <c r="J415" s="47"/>
    </row>
    <row r="416" spans="2:10" x14ac:dyDescent="0.3">
      <c r="B416" s="47">
        <v>42358</v>
      </c>
      <c r="C416" t="s">
        <v>20</v>
      </c>
      <c r="D416" t="s">
        <v>12</v>
      </c>
      <c r="E416" t="s">
        <v>21</v>
      </c>
      <c r="F416" t="s">
        <v>22</v>
      </c>
      <c r="H416" s="47"/>
      <c r="J416" s="47"/>
    </row>
    <row r="417" spans="2:10" x14ac:dyDescent="0.3">
      <c r="B417" s="47">
        <v>42360</v>
      </c>
      <c r="C417" t="s">
        <v>11</v>
      </c>
      <c r="D417" t="s">
        <v>12</v>
      </c>
      <c r="E417" t="s">
        <v>51</v>
      </c>
      <c r="F417" t="s">
        <v>268</v>
      </c>
      <c r="H417" s="47"/>
      <c r="J417" s="47"/>
    </row>
    <row r="418" spans="2:10" x14ac:dyDescent="0.3">
      <c r="B418" s="47">
        <v>42360</v>
      </c>
      <c r="C418" t="s">
        <v>11</v>
      </c>
      <c r="D418" t="s">
        <v>12</v>
      </c>
      <c r="E418" t="s">
        <v>51</v>
      </c>
      <c r="F418" t="s">
        <v>81</v>
      </c>
      <c r="H418" s="47"/>
      <c r="J418" s="47"/>
    </row>
    <row r="419" spans="2:10" x14ac:dyDescent="0.3">
      <c r="B419" s="47">
        <v>42360</v>
      </c>
      <c r="C419" t="s">
        <v>28</v>
      </c>
      <c r="D419" t="s">
        <v>45</v>
      </c>
      <c r="E419" t="s">
        <v>17</v>
      </c>
      <c r="F419" t="s">
        <v>54</v>
      </c>
      <c r="H419" s="47"/>
      <c r="J419" s="47"/>
    </row>
    <row r="420" spans="2:10" x14ac:dyDescent="0.3">
      <c r="B420" s="47">
        <v>42360</v>
      </c>
      <c r="C420" t="s">
        <v>28</v>
      </c>
      <c r="D420" t="s">
        <v>45</v>
      </c>
      <c r="E420" t="s">
        <v>51</v>
      </c>
      <c r="F420" t="s">
        <v>81</v>
      </c>
      <c r="H420" s="47"/>
      <c r="J420" s="47"/>
    </row>
    <row r="421" spans="2:10" x14ac:dyDescent="0.3">
      <c r="B421" s="47">
        <v>42362</v>
      </c>
      <c r="C421" t="s">
        <v>31</v>
      </c>
      <c r="D421" t="s">
        <v>45</v>
      </c>
      <c r="E421" t="s">
        <v>13</v>
      </c>
      <c r="F421" t="s">
        <v>56</v>
      </c>
      <c r="H421" s="47"/>
      <c r="J421" s="47"/>
    </row>
    <row r="422" spans="2:10" x14ac:dyDescent="0.3">
      <c r="B422" s="47">
        <v>42362</v>
      </c>
      <c r="C422" t="s">
        <v>28</v>
      </c>
      <c r="D422" t="s">
        <v>45</v>
      </c>
      <c r="E422" t="s">
        <v>34</v>
      </c>
      <c r="F422" t="s">
        <v>90</v>
      </c>
      <c r="H422" s="47"/>
      <c r="J422" s="47"/>
    </row>
    <row r="423" spans="2:10" x14ac:dyDescent="0.3">
      <c r="B423" s="47">
        <v>42362</v>
      </c>
      <c r="C423" t="s">
        <v>28</v>
      </c>
      <c r="D423" t="s">
        <v>45</v>
      </c>
      <c r="E423" t="s">
        <v>51</v>
      </c>
      <c r="F423" t="s">
        <v>268</v>
      </c>
      <c r="H423" s="47"/>
      <c r="J423" s="47"/>
    </row>
    <row r="424" spans="2:10" x14ac:dyDescent="0.3">
      <c r="B424" s="47">
        <v>42362</v>
      </c>
      <c r="C424" t="s">
        <v>31</v>
      </c>
      <c r="D424" t="s">
        <v>45</v>
      </c>
      <c r="E424" t="s">
        <v>34</v>
      </c>
      <c r="F424" t="s">
        <v>64</v>
      </c>
      <c r="H424" s="47"/>
      <c r="J424" s="47"/>
    </row>
    <row r="425" spans="2:10" x14ac:dyDescent="0.3">
      <c r="B425" s="47">
        <v>42362</v>
      </c>
      <c r="C425" t="s">
        <v>20</v>
      </c>
      <c r="D425" t="s">
        <v>45</v>
      </c>
      <c r="E425" t="s">
        <v>13</v>
      </c>
      <c r="F425" t="s">
        <v>14</v>
      </c>
      <c r="H425" s="47"/>
      <c r="J425" s="47"/>
    </row>
    <row r="426" spans="2:10" x14ac:dyDescent="0.3">
      <c r="B426" s="47">
        <v>42365</v>
      </c>
      <c r="C426" t="s">
        <v>11</v>
      </c>
      <c r="D426" t="s">
        <v>85</v>
      </c>
      <c r="E426" t="s">
        <v>51</v>
      </c>
      <c r="F426" t="s">
        <v>118</v>
      </c>
      <c r="H426" s="47"/>
      <c r="J426" s="47"/>
    </row>
    <row r="427" spans="2:10" x14ac:dyDescent="0.3">
      <c r="B427" s="47">
        <v>42365</v>
      </c>
      <c r="C427" t="s">
        <v>11</v>
      </c>
      <c r="D427" t="s">
        <v>85</v>
      </c>
      <c r="E427" t="s">
        <v>51</v>
      </c>
      <c r="F427" t="s">
        <v>52</v>
      </c>
      <c r="H427" s="47"/>
      <c r="J427" s="47"/>
    </row>
    <row r="428" spans="2:10" x14ac:dyDescent="0.3">
      <c r="B428" s="47">
        <v>42366</v>
      </c>
      <c r="C428" t="s">
        <v>20</v>
      </c>
      <c r="D428" t="s">
        <v>12</v>
      </c>
      <c r="E428" t="s">
        <v>13</v>
      </c>
      <c r="F428" t="s">
        <v>66</v>
      </c>
      <c r="H428" s="47"/>
      <c r="J428" s="47"/>
    </row>
    <row r="429" spans="2:10" x14ac:dyDescent="0.3">
      <c r="B429" s="47">
        <v>42366</v>
      </c>
      <c r="C429" t="s">
        <v>11</v>
      </c>
      <c r="D429" t="s">
        <v>12</v>
      </c>
      <c r="E429" t="s">
        <v>34</v>
      </c>
      <c r="F429" t="s">
        <v>188</v>
      </c>
      <c r="H429" s="47"/>
      <c r="J429" s="47"/>
    </row>
    <row r="430" spans="2:10" x14ac:dyDescent="0.3">
      <c r="B430" s="47">
        <v>42366</v>
      </c>
      <c r="C430" t="s">
        <v>20</v>
      </c>
      <c r="D430" t="s">
        <v>12</v>
      </c>
      <c r="E430" t="s">
        <v>34</v>
      </c>
      <c r="F430" t="s">
        <v>68</v>
      </c>
      <c r="H430" s="47"/>
      <c r="J430" s="47"/>
    </row>
    <row r="431" spans="2:10" x14ac:dyDescent="0.3">
      <c r="B431" s="47">
        <v>42366</v>
      </c>
      <c r="C431" t="s">
        <v>28</v>
      </c>
      <c r="D431" t="s">
        <v>45</v>
      </c>
      <c r="E431" t="s">
        <v>51</v>
      </c>
      <c r="F431" t="s">
        <v>81</v>
      </c>
      <c r="H431" s="47"/>
      <c r="J431" s="47"/>
    </row>
    <row r="432" spans="2:10" x14ac:dyDescent="0.3">
      <c r="B432" s="47">
        <v>42366</v>
      </c>
      <c r="C432" t="s">
        <v>31</v>
      </c>
      <c r="D432" t="s">
        <v>45</v>
      </c>
      <c r="E432" t="s">
        <v>51</v>
      </c>
      <c r="F432" t="s">
        <v>81</v>
      </c>
      <c r="H432" s="47"/>
      <c r="J432" s="47"/>
    </row>
    <row r="433" spans="2:10" x14ac:dyDescent="0.3">
      <c r="B433" s="47">
        <v>42366</v>
      </c>
      <c r="C433" t="s">
        <v>11</v>
      </c>
      <c r="D433" t="s">
        <v>45</v>
      </c>
      <c r="E433" t="s">
        <v>34</v>
      </c>
      <c r="F433" t="s">
        <v>75</v>
      </c>
      <c r="H433" s="47"/>
      <c r="J433" s="47"/>
    </row>
    <row r="434" spans="2:10" x14ac:dyDescent="0.3">
      <c r="B434" s="47">
        <v>42005</v>
      </c>
      <c r="C434" t="s">
        <v>11</v>
      </c>
      <c r="D434" t="s">
        <v>12</v>
      </c>
      <c r="E434" t="s">
        <v>13</v>
      </c>
      <c r="F434" t="s">
        <v>14</v>
      </c>
      <c r="H434" s="47"/>
      <c r="J434" s="47"/>
    </row>
    <row r="435" spans="2:10" x14ac:dyDescent="0.3">
      <c r="B435" s="47">
        <v>42005</v>
      </c>
      <c r="C435" t="s">
        <v>20</v>
      </c>
      <c r="D435" t="s">
        <v>12</v>
      </c>
      <c r="E435" t="s">
        <v>21</v>
      </c>
      <c r="F435" t="s">
        <v>22</v>
      </c>
      <c r="H435" s="47"/>
      <c r="J435" s="47"/>
    </row>
    <row r="436" spans="2:10" x14ac:dyDescent="0.3">
      <c r="B436" s="47">
        <v>42005</v>
      </c>
      <c r="C436" t="s">
        <v>20</v>
      </c>
      <c r="D436" t="s">
        <v>12</v>
      </c>
      <c r="E436" t="s">
        <v>21</v>
      </c>
      <c r="F436" t="s">
        <v>22</v>
      </c>
      <c r="H436" s="47"/>
      <c r="J436" s="47"/>
    </row>
    <row r="437" spans="2:10" x14ac:dyDescent="0.3">
      <c r="B437" s="47">
        <v>42005</v>
      </c>
      <c r="C437" t="s">
        <v>20</v>
      </c>
      <c r="D437" t="s">
        <v>12</v>
      </c>
      <c r="E437" t="s">
        <v>34</v>
      </c>
      <c r="F437" t="s">
        <v>241</v>
      </c>
      <c r="H437" s="47"/>
      <c r="J437" s="47"/>
    </row>
    <row r="438" spans="2:10" x14ac:dyDescent="0.3">
      <c r="B438" s="47">
        <v>42007</v>
      </c>
      <c r="C438" t="s">
        <v>20</v>
      </c>
      <c r="D438" t="s">
        <v>24</v>
      </c>
      <c r="E438" t="s">
        <v>17</v>
      </c>
      <c r="F438" t="s">
        <v>54</v>
      </c>
      <c r="H438" s="47"/>
      <c r="J438" s="47"/>
    </row>
    <row r="439" spans="2:10" x14ac:dyDescent="0.3">
      <c r="B439" s="47">
        <v>42007</v>
      </c>
      <c r="C439" t="s">
        <v>20</v>
      </c>
      <c r="D439" t="s">
        <v>24</v>
      </c>
      <c r="E439" t="s">
        <v>34</v>
      </c>
      <c r="F439" t="s">
        <v>241</v>
      </c>
      <c r="H439" s="47"/>
      <c r="J439" s="47"/>
    </row>
    <row r="440" spans="2:10" x14ac:dyDescent="0.3">
      <c r="B440" s="47">
        <v>42012</v>
      </c>
      <c r="C440" t="s">
        <v>11</v>
      </c>
      <c r="D440" t="s">
        <v>12</v>
      </c>
      <c r="E440" t="s">
        <v>13</v>
      </c>
      <c r="F440" t="s">
        <v>113</v>
      </c>
      <c r="H440" s="47"/>
      <c r="J440" s="47"/>
    </row>
    <row r="441" spans="2:10" x14ac:dyDescent="0.3">
      <c r="B441" s="47">
        <v>42012</v>
      </c>
      <c r="C441" t="s">
        <v>28</v>
      </c>
      <c r="D441" t="s">
        <v>12</v>
      </c>
      <c r="E441" t="s">
        <v>34</v>
      </c>
      <c r="F441" t="s">
        <v>188</v>
      </c>
      <c r="H441" s="47"/>
      <c r="J441" s="47"/>
    </row>
    <row r="442" spans="2:10" x14ac:dyDescent="0.3">
      <c r="B442" s="47">
        <v>42019</v>
      </c>
      <c r="C442" t="s">
        <v>31</v>
      </c>
      <c r="D442" t="s">
        <v>12</v>
      </c>
      <c r="E442" t="s">
        <v>17</v>
      </c>
      <c r="F442" t="s">
        <v>54</v>
      </c>
      <c r="H442" s="47"/>
      <c r="J442" s="47"/>
    </row>
    <row r="443" spans="2:10" x14ac:dyDescent="0.3">
      <c r="B443" s="47">
        <v>42019</v>
      </c>
      <c r="C443" t="s">
        <v>11</v>
      </c>
      <c r="D443" t="s">
        <v>12</v>
      </c>
      <c r="E443" t="s">
        <v>21</v>
      </c>
      <c r="F443" t="s">
        <v>22</v>
      </c>
      <c r="H443" s="47"/>
      <c r="J443" s="47"/>
    </row>
    <row r="444" spans="2:10" x14ac:dyDescent="0.3">
      <c r="B444" s="47">
        <v>42019</v>
      </c>
      <c r="C444" t="s">
        <v>28</v>
      </c>
      <c r="D444" t="s">
        <v>12</v>
      </c>
      <c r="E444" t="s">
        <v>34</v>
      </c>
      <c r="F444" t="s">
        <v>64</v>
      </c>
      <c r="H444" s="47"/>
      <c r="J444" s="47"/>
    </row>
    <row r="445" spans="2:10" x14ac:dyDescent="0.3">
      <c r="B445" s="47">
        <v>42019</v>
      </c>
      <c r="C445" t="s">
        <v>20</v>
      </c>
      <c r="D445" t="s">
        <v>12</v>
      </c>
      <c r="E445" t="s">
        <v>51</v>
      </c>
      <c r="F445" t="s">
        <v>138</v>
      </c>
      <c r="H445" s="47"/>
      <c r="J445" s="47"/>
    </row>
    <row r="446" spans="2:10" x14ac:dyDescent="0.3">
      <c r="B446" s="47">
        <v>42019</v>
      </c>
      <c r="C446" t="s">
        <v>11</v>
      </c>
      <c r="D446" t="s">
        <v>12</v>
      </c>
      <c r="E446" t="s">
        <v>21</v>
      </c>
      <c r="F446" t="s">
        <v>97</v>
      </c>
      <c r="H446" s="47"/>
      <c r="J446" s="47"/>
    </row>
    <row r="447" spans="2:10" x14ac:dyDescent="0.3">
      <c r="B447" s="47">
        <v>42019</v>
      </c>
      <c r="C447" t="s">
        <v>11</v>
      </c>
      <c r="D447" t="s">
        <v>12</v>
      </c>
      <c r="E447" t="s">
        <v>34</v>
      </c>
      <c r="F447" t="s">
        <v>77</v>
      </c>
      <c r="H447" s="47"/>
      <c r="J447" s="47"/>
    </row>
    <row r="448" spans="2:10" x14ac:dyDescent="0.3">
      <c r="B448" s="47">
        <v>42019</v>
      </c>
      <c r="C448" t="s">
        <v>20</v>
      </c>
      <c r="D448" t="s">
        <v>12</v>
      </c>
      <c r="E448" t="s">
        <v>34</v>
      </c>
      <c r="F448" t="s">
        <v>188</v>
      </c>
      <c r="H448" s="47"/>
      <c r="J448" s="47"/>
    </row>
    <row r="449" spans="2:10" x14ac:dyDescent="0.3">
      <c r="B449" s="47">
        <v>42021</v>
      </c>
      <c r="C449" t="s">
        <v>11</v>
      </c>
      <c r="D449" t="s">
        <v>12</v>
      </c>
      <c r="E449" t="s">
        <v>13</v>
      </c>
      <c r="F449" t="s">
        <v>66</v>
      </c>
      <c r="H449" s="47"/>
      <c r="J449" s="47"/>
    </row>
    <row r="450" spans="2:10" x14ac:dyDescent="0.3">
      <c r="B450" s="47">
        <v>42021</v>
      </c>
      <c r="C450" t="s">
        <v>20</v>
      </c>
      <c r="D450" t="s">
        <v>12</v>
      </c>
      <c r="E450" t="s">
        <v>13</v>
      </c>
      <c r="F450" t="s">
        <v>99</v>
      </c>
      <c r="H450" s="47"/>
      <c r="J450" s="47"/>
    </row>
    <row r="451" spans="2:10" x14ac:dyDescent="0.3">
      <c r="B451" s="47">
        <v>42025</v>
      </c>
      <c r="C451" t="s">
        <v>11</v>
      </c>
      <c r="D451" t="s">
        <v>85</v>
      </c>
      <c r="E451" t="s">
        <v>34</v>
      </c>
      <c r="F451" t="s">
        <v>64</v>
      </c>
      <c r="H451" s="47"/>
      <c r="J451" s="47"/>
    </row>
    <row r="452" spans="2:10" x14ac:dyDescent="0.3">
      <c r="B452" s="47">
        <v>42025</v>
      </c>
      <c r="C452" t="s">
        <v>11</v>
      </c>
      <c r="D452" t="s">
        <v>85</v>
      </c>
      <c r="E452" t="s">
        <v>13</v>
      </c>
      <c r="F452" t="s">
        <v>14</v>
      </c>
      <c r="H452" s="47"/>
      <c r="J452" s="47"/>
    </row>
    <row r="453" spans="2:10" x14ac:dyDescent="0.3">
      <c r="B453" s="47">
        <v>42033</v>
      </c>
      <c r="C453" t="s">
        <v>31</v>
      </c>
      <c r="D453" t="s">
        <v>45</v>
      </c>
      <c r="E453" t="s">
        <v>17</v>
      </c>
      <c r="F453" t="s">
        <v>18</v>
      </c>
      <c r="H453" s="47"/>
      <c r="J453" s="47"/>
    </row>
    <row r="454" spans="2:10" x14ac:dyDescent="0.3">
      <c r="B454" s="47">
        <v>42033</v>
      </c>
      <c r="C454" t="s">
        <v>31</v>
      </c>
      <c r="D454" t="s">
        <v>45</v>
      </c>
      <c r="E454" t="s">
        <v>13</v>
      </c>
      <c r="F454" t="s">
        <v>14</v>
      </c>
      <c r="H454" s="47"/>
      <c r="J454" s="47"/>
    </row>
    <row r="455" spans="2:10" x14ac:dyDescent="0.3">
      <c r="B455" s="47">
        <v>42033</v>
      </c>
      <c r="C455" t="s">
        <v>31</v>
      </c>
      <c r="D455" t="s">
        <v>45</v>
      </c>
      <c r="E455" t="s">
        <v>13</v>
      </c>
      <c r="F455" t="s">
        <v>56</v>
      </c>
      <c r="H455" s="47"/>
      <c r="J455" s="47"/>
    </row>
    <row r="456" spans="2:10" x14ac:dyDescent="0.3">
      <c r="B456" s="47">
        <v>42043</v>
      </c>
      <c r="C456" t="s">
        <v>20</v>
      </c>
      <c r="D456" t="s">
        <v>12</v>
      </c>
      <c r="E456" t="s">
        <v>21</v>
      </c>
      <c r="F456" t="s">
        <v>87</v>
      </c>
      <c r="H456" s="47"/>
      <c r="J456" s="47"/>
    </row>
    <row r="457" spans="2:10" x14ac:dyDescent="0.3">
      <c r="B457" s="47">
        <v>42043</v>
      </c>
      <c r="C457" t="s">
        <v>20</v>
      </c>
      <c r="D457" t="s">
        <v>12</v>
      </c>
      <c r="E457" t="s">
        <v>13</v>
      </c>
      <c r="F457" t="s">
        <v>124</v>
      </c>
      <c r="H457" s="47"/>
      <c r="J457" s="47"/>
    </row>
    <row r="458" spans="2:10" x14ac:dyDescent="0.3">
      <c r="B458" s="47">
        <v>42043</v>
      </c>
      <c r="C458" t="s">
        <v>28</v>
      </c>
      <c r="D458" t="s">
        <v>12</v>
      </c>
      <c r="E458" t="s">
        <v>34</v>
      </c>
      <c r="F458" t="s">
        <v>188</v>
      </c>
      <c r="H458" s="47"/>
      <c r="J458" s="47"/>
    </row>
    <row r="459" spans="2:10" x14ac:dyDescent="0.3">
      <c r="B459" s="47">
        <v>42046</v>
      </c>
      <c r="C459" t="s">
        <v>11</v>
      </c>
      <c r="D459" t="s">
        <v>24</v>
      </c>
      <c r="E459" t="s">
        <v>51</v>
      </c>
      <c r="F459" t="s">
        <v>81</v>
      </c>
      <c r="H459" s="47"/>
      <c r="J459" s="47"/>
    </row>
    <row r="460" spans="2:10" x14ac:dyDescent="0.3">
      <c r="B460" s="47">
        <v>42050</v>
      </c>
      <c r="C460" t="s">
        <v>11</v>
      </c>
      <c r="D460" t="s">
        <v>45</v>
      </c>
      <c r="E460" t="s">
        <v>17</v>
      </c>
      <c r="F460" t="s">
        <v>54</v>
      </c>
      <c r="H460" s="47"/>
      <c r="J460" s="47"/>
    </row>
    <row r="461" spans="2:10" x14ac:dyDescent="0.3">
      <c r="B461" s="47">
        <v>42050</v>
      </c>
      <c r="C461" t="s">
        <v>31</v>
      </c>
      <c r="D461" t="s">
        <v>45</v>
      </c>
      <c r="E461" t="s">
        <v>34</v>
      </c>
      <c r="F461" t="s">
        <v>339</v>
      </c>
      <c r="H461" s="47"/>
      <c r="J461" s="47"/>
    </row>
    <row r="462" spans="2:10" x14ac:dyDescent="0.3">
      <c r="B462" s="47">
        <v>42060</v>
      </c>
      <c r="C462" t="s">
        <v>28</v>
      </c>
      <c r="D462" t="s">
        <v>45</v>
      </c>
      <c r="E462" t="s">
        <v>17</v>
      </c>
      <c r="F462" t="s">
        <v>54</v>
      </c>
      <c r="H462" s="47"/>
      <c r="J462" s="47"/>
    </row>
    <row r="463" spans="2:10" x14ac:dyDescent="0.3">
      <c r="B463" s="47">
        <v>42060</v>
      </c>
      <c r="C463" t="s">
        <v>11</v>
      </c>
      <c r="D463" t="s">
        <v>45</v>
      </c>
      <c r="E463" t="s">
        <v>21</v>
      </c>
      <c r="F463" t="s">
        <v>22</v>
      </c>
      <c r="H463" s="47"/>
      <c r="J463" s="47"/>
    </row>
    <row r="464" spans="2:10" x14ac:dyDescent="0.3">
      <c r="B464" s="47">
        <v>42063</v>
      </c>
      <c r="C464" t="s">
        <v>28</v>
      </c>
      <c r="D464" t="s">
        <v>12</v>
      </c>
      <c r="E464" t="s">
        <v>13</v>
      </c>
      <c r="F464" t="s">
        <v>14</v>
      </c>
      <c r="H464" s="47"/>
      <c r="J464" s="47"/>
    </row>
    <row r="465" spans="2:10" x14ac:dyDescent="0.3">
      <c r="B465" s="47">
        <v>42063</v>
      </c>
      <c r="C465" t="s">
        <v>20</v>
      </c>
      <c r="D465" t="s">
        <v>12</v>
      </c>
      <c r="E465" t="s">
        <v>21</v>
      </c>
      <c r="F465" t="s">
        <v>22</v>
      </c>
      <c r="H465" s="47"/>
      <c r="J465" s="47"/>
    </row>
    <row r="466" spans="2:10" x14ac:dyDescent="0.3">
      <c r="B466" s="47">
        <v>42067</v>
      </c>
      <c r="C466" t="s">
        <v>28</v>
      </c>
      <c r="D466" t="s">
        <v>45</v>
      </c>
      <c r="E466" t="s">
        <v>34</v>
      </c>
      <c r="F466" t="s">
        <v>64</v>
      </c>
      <c r="H466" s="47"/>
      <c r="J466" s="47"/>
    </row>
    <row r="467" spans="2:10" x14ac:dyDescent="0.3">
      <c r="B467" s="47">
        <v>42067</v>
      </c>
      <c r="C467" t="s">
        <v>11</v>
      </c>
      <c r="D467" t="s">
        <v>45</v>
      </c>
      <c r="E467" t="s">
        <v>51</v>
      </c>
      <c r="F467" t="s">
        <v>81</v>
      </c>
      <c r="H467" s="47"/>
      <c r="J467" s="47"/>
    </row>
    <row r="468" spans="2:10" x14ac:dyDescent="0.3">
      <c r="B468" s="47">
        <v>42068</v>
      </c>
      <c r="C468" t="s">
        <v>11</v>
      </c>
      <c r="D468" t="s">
        <v>45</v>
      </c>
      <c r="E468" t="s">
        <v>17</v>
      </c>
      <c r="F468" t="s">
        <v>128</v>
      </c>
      <c r="H468" s="47"/>
      <c r="J468" s="47"/>
    </row>
    <row r="469" spans="2:10" x14ac:dyDescent="0.3">
      <c r="B469" s="47">
        <v>42068</v>
      </c>
      <c r="C469" t="s">
        <v>20</v>
      </c>
      <c r="D469" t="s">
        <v>45</v>
      </c>
      <c r="E469" t="s">
        <v>21</v>
      </c>
      <c r="F469" t="s">
        <v>22</v>
      </c>
      <c r="H469" s="47"/>
      <c r="J469" s="47"/>
    </row>
    <row r="470" spans="2:10" x14ac:dyDescent="0.3">
      <c r="B470" s="47">
        <v>42069</v>
      </c>
      <c r="C470" t="s">
        <v>20</v>
      </c>
      <c r="D470" t="s">
        <v>45</v>
      </c>
      <c r="E470" t="s">
        <v>13</v>
      </c>
      <c r="F470" t="s">
        <v>113</v>
      </c>
      <c r="H470" s="47"/>
      <c r="J470" s="47"/>
    </row>
    <row r="471" spans="2:10" x14ac:dyDescent="0.3">
      <c r="B471" s="47">
        <v>42069</v>
      </c>
      <c r="C471" t="s">
        <v>20</v>
      </c>
      <c r="D471" t="s">
        <v>45</v>
      </c>
      <c r="E471" t="s">
        <v>13</v>
      </c>
      <c r="F471" t="s">
        <v>124</v>
      </c>
      <c r="H471" s="47"/>
      <c r="J471" s="47"/>
    </row>
    <row r="472" spans="2:10" x14ac:dyDescent="0.3">
      <c r="B472" s="47">
        <v>42076</v>
      </c>
      <c r="C472" t="s">
        <v>31</v>
      </c>
      <c r="D472" t="s">
        <v>12</v>
      </c>
      <c r="E472" t="s">
        <v>13</v>
      </c>
      <c r="F472" t="s">
        <v>41</v>
      </c>
      <c r="H472" s="47"/>
      <c r="J472" s="47"/>
    </row>
    <row r="473" spans="2:10" x14ac:dyDescent="0.3">
      <c r="B473" s="47">
        <v>42076</v>
      </c>
      <c r="C473" t="s">
        <v>28</v>
      </c>
      <c r="D473" t="s">
        <v>12</v>
      </c>
      <c r="E473" t="s">
        <v>34</v>
      </c>
      <c r="F473" t="s">
        <v>75</v>
      </c>
      <c r="H473" s="47"/>
      <c r="J473" s="47"/>
    </row>
    <row r="474" spans="2:10" x14ac:dyDescent="0.3">
      <c r="B474" s="47">
        <v>42080</v>
      </c>
      <c r="C474" t="s">
        <v>11</v>
      </c>
      <c r="D474" t="s">
        <v>45</v>
      </c>
      <c r="E474" t="s">
        <v>51</v>
      </c>
      <c r="F474" t="s">
        <v>81</v>
      </c>
      <c r="H474" s="47"/>
      <c r="J474" s="47"/>
    </row>
    <row r="475" spans="2:10" x14ac:dyDescent="0.3">
      <c r="B475" s="47">
        <v>42080</v>
      </c>
      <c r="C475" t="s">
        <v>31</v>
      </c>
      <c r="D475" t="s">
        <v>45</v>
      </c>
      <c r="E475" t="s">
        <v>17</v>
      </c>
      <c r="F475" t="s">
        <v>54</v>
      </c>
      <c r="H475" s="47"/>
      <c r="J475" s="47"/>
    </row>
    <row r="476" spans="2:10" x14ac:dyDescent="0.3">
      <c r="B476" s="47">
        <v>42080</v>
      </c>
      <c r="C476" t="s">
        <v>31</v>
      </c>
      <c r="D476" t="s">
        <v>45</v>
      </c>
      <c r="E476" t="s">
        <v>34</v>
      </c>
      <c r="F476" t="s">
        <v>241</v>
      </c>
      <c r="H476" s="47"/>
      <c r="J476" s="47"/>
    </row>
    <row r="477" spans="2:10" x14ac:dyDescent="0.3">
      <c r="B477" s="47">
        <v>42082</v>
      </c>
      <c r="C477" t="s">
        <v>31</v>
      </c>
      <c r="D477" t="s">
        <v>12</v>
      </c>
      <c r="E477" t="s">
        <v>51</v>
      </c>
      <c r="F477" t="s">
        <v>268</v>
      </c>
      <c r="H477" s="47"/>
      <c r="J477" s="47"/>
    </row>
    <row r="478" spans="2:10" x14ac:dyDescent="0.3">
      <c r="B478" s="47">
        <v>42082</v>
      </c>
      <c r="C478" t="s">
        <v>20</v>
      </c>
      <c r="D478" t="s">
        <v>12</v>
      </c>
      <c r="E478" t="s">
        <v>34</v>
      </c>
      <c r="F478" t="s">
        <v>188</v>
      </c>
      <c r="H478" s="47"/>
      <c r="J478" s="47"/>
    </row>
    <row r="479" spans="2:10" x14ac:dyDescent="0.3">
      <c r="B479" s="47">
        <v>42089</v>
      </c>
      <c r="C479" t="s">
        <v>20</v>
      </c>
      <c r="D479" t="s">
        <v>12</v>
      </c>
      <c r="E479" t="s">
        <v>17</v>
      </c>
      <c r="F479" t="s">
        <v>54</v>
      </c>
      <c r="H479" s="47"/>
      <c r="J479" s="47"/>
    </row>
    <row r="480" spans="2:10" x14ac:dyDescent="0.3">
      <c r="B480" s="47">
        <v>42091</v>
      </c>
      <c r="C480" t="s">
        <v>31</v>
      </c>
      <c r="D480" t="s">
        <v>12</v>
      </c>
      <c r="E480" t="s">
        <v>13</v>
      </c>
      <c r="F480" t="s">
        <v>99</v>
      </c>
      <c r="H480" s="47"/>
      <c r="J480" s="47"/>
    </row>
    <row r="481" spans="2:10" x14ac:dyDescent="0.3">
      <c r="B481" s="47">
        <v>42108</v>
      </c>
      <c r="C481" t="s">
        <v>28</v>
      </c>
      <c r="D481" t="s">
        <v>12</v>
      </c>
      <c r="E481" t="s">
        <v>17</v>
      </c>
      <c r="F481" t="s">
        <v>128</v>
      </c>
      <c r="H481" s="47"/>
      <c r="J481" s="47"/>
    </row>
    <row r="482" spans="2:10" x14ac:dyDescent="0.3">
      <c r="B482" s="47">
        <v>42108</v>
      </c>
      <c r="C482" t="s">
        <v>28</v>
      </c>
      <c r="D482" t="s">
        <v>12</v>
      </c>
      <c r="E482" t="s">
        <v>13</v>
      </c>
      <c r="F482" t="s">
        <v>41</v>
      </c>
      <c r="H482" s="47"/>
      <c r="J482" s="47"/>
    </row>
    <row r="483" spans="2:10" x14ac:dyDescent="0.3">
      <c r="B483" s="47">
        <v>42108</v>
      </c>
      <c r="C483" t="s">
        <v>11</v>
      </c>
      <c r="D483" t="s">
        <v>12</v>
      </c>
      <c r="E483" t="s">
        <v>51</v>
      </c>
      <c r="F483" t="s">
        <v>81</v>
      </c>
      <c r="H483" s="47"/>
      <c r="J483" s="47"/>
    </row>
    <row r="484" spans="2:10" x14ac:dyDescent="0.3">
      <c r="B484" s="47">
        <v>42108</v>
      </c>
      <c r="C484" t="s">
        <v>11</v>
      </c>
      <c r="D484" t="s">
        <v>12</v>
      </c>
      <c r="E484" t="s">
        <v>34</v>
      </c>
      <c r="F484" t="s">
        <v>136</v>
      </c>
      <c r="H484" s="47"/>
      <c r="J484" s="47"/>
    </row>
    <row r="485" spans="2:10" x14ac:dyDescent="0.3">
      <c r="B485" s="47">
        <v>42111</v>
      </c>
      <c r="C485" t="s">
        <v>28</v>
      </c>
      <c r="D485" t="s">
        <v>45</v>
      </c>
      <c r="E485" t="s">
        <v>17</v>
      </c>
      <c r="F485" t="s">
        <v>54</v>
      </c>
      <c r="H485" s="47"/>
      <c r="J485" s="47"/>
    </row>
    <row r="486" spans="2:10" x14ac:dyDescent="0.3">
      <c r="B486" s="47">
        <v>42111</v>
      </c>
      <c r="C486" t="s">
        <v>28</v>
      </c>
      <c r="D486" t="s">
        <v>45</v>
      </c>
      <c r="E486" t="s">
        <v>13</v>
      </c>
      <c r="F486" t="s">
        <v>14</v>
      </c>
      <c r="H486" s="47"/>
      <c r="J486" s="47"/>
    </row>
    <row r="487" spans="2:10" x14ac:dyDescent="0.3">
      <c r="B487" s="47">
        <v>42111</v>
      </c>
      <c r="C487" t="s">
        <v>11</v>
      </c>
      <c r="D487" t="s">
        <v>45</v>
      </c>
      <c r="E487" t="s">
        <v>13</v>
      </c>
      <c r="F487" t="s">
        <v>66</v>
      </c>
      <c r="H487" s="47"/>
      <c r="J487" s="47"/>
    </row>
    <row r="488" spans="2:10" x14ac:dyDescent="0.3">
      <c r="B488" s="47">
        <v>42116</v>
      </c>
      <c r="C488" t="s">
        <v>31</v>
      </c>
      <c r="D488" t="s">
        <v>24</v>
      </c>
      <c r="E488" t="s">
        <v>34</v>
      </c>
      <c r="F488" t="s">
        <v>64</v>
      </c>
      <c r="H488" s="47"/>
      <c r="J488" s="47"/>
    </row>
    <row r="489" spans="2:10" x14ac:dyDescent="0.3">
      <c r="B489" s="47">
        <v>42116</v>
      </c>
      <c r="C489" t="s">
        <v>20</v>
      </c>
      <c r="D489" t="s">
        <v>24</v>
      </c>
      <c r="E489" t="s">
        <v>17</v>
      </c>
      <c r="F489" t="s">
        <v>72</v>
      </c>
      <c r="H489" s="47"/>
      <c r="J489" s="47"/>
    </row>
    <row r="490" spans="2:10" x14ac:dyDescent="0.3">
      <c r="B490" s="47">
        <v>42116</v>
      </c>
      <c r="C490" t="s">
        <v>11</v>
      </c>
      <c r="D490" t="s">
        <v>24</v>
      </c>
      <c r="E490" t="s">
        <v>34</v>
      </c>
      <c r="F490" t="s">
        <v>43</v>
      </c>
      <c r="H490" s="47"/>
      <c r="J490" s="47"/>
    </row>
    <row r="491" spans="2:10" x14ac:dyDescent="0.3">
      <c r="B491" s="47">
        <v>42118</v>
      </c>
      <c r="C491" t="s">
        <v>28</v>
      </c>
      <c r="D491" t="s">
        <v>45</v>
      </c>
      <c r="E491" t="s">
        <v>51</v>
      </c>
      <c r="F491" t="s">
        <v>118</v>
      </c>
      <c r="H491" s="47"/>
      <c r="J491" s="47"/>
    </row>
    <row r="492" spans="2:10" x14ac:dyDescent="0.3">
      <c r="B492" s="47">
        <v>42118</v>
      </c>
      <c r="C492" t="s">
        <v>20</v>
      </c>
      <c r="D492" t="s">
        <v>45</v>
      </c>
      <c r="E492" t="s">
        <v>17</v>
      </c>
      <c r="F492" t="s">
        <v>54</v>
      </c>
      <c r="H492" s="47"/>
      <c r="J492" s="47"/>
    </row>
    <row r="493" spans="2:10" x14ac:dyDescent="0.3">
      <c r="B493" s="47">
        <v>42118</v>
      </c>
      <c r="C493" t="s">
        <v>28</v>
      </c>
      <c r="D493" t="s">
        <v>45</v>
      </c>
      <c r="E493" t="s">
        <v>13</v>
      </c>
      <c r="F493" t="s">
        <v>14</v>
      </c>
      <c r="H493" s="47"/>
      <c r="J493" s="47"/>
    </row>
    <row r="494" spans="2:10" x14ac:dyDescent="0.3">
      <c r="B494" s="47">
        <v>42118</v>
      </c>
      <c r="C494" t="s">
        <v>20</v>
      </c>
      <c r="D494" t="s">
        <v>45</v>
      </c>
      <c r="E494" t="s">
        <v>34</v>
      </c>
      <c r="F494" t="s">
        <v>35</v>
      </c>
      <c r="H494" s="47"/>
      <c r="J494" s="47"/>
    </row>
    <row r="495" spans="2:10" x14ac:dyDescent="0.3">
      <c r="B495" s="47">
        <v>42125</v>
      </c>
      <c r="C495" t="s">
        <v>31</v>
      </c>
      <c r="D495" t="s">
        <v>24</v>
      </c>
      <c r="E495" t="s">
        <v>13</v>
      </c>
      <c r="F495" t="s">
        <v>66</v>
      </c>
      <c r="H495" s="47"/>
      <c r="J495" s="47"/>
    </row>
    <row r="496" spans="2:10" x14ac:dyDescent="0.3">
      <c r="B496" s="47">
        <v>42126</v>
      </c>
      <c r="C496" t="s">
        <v>28</v>
      </c>
      <c r="D496" t="s">
        <v>45</v>
      </c>
      <c r="E496" t="s">
        <v>21</v>
      </c>
      <c r="F496" t="s">
        <v>375</v>
      </c>
      <c r="H496" s="47"/>
      <c r="J496" s="47"/>
    </row>
    <row r="497" spans="2:10" x14ac:dyDescent="0.3">
      <c r="B497" s="47">
        <v>42126</v>
      </c>
      <c r="C497" t="s">
        <v>20</v>
      </c>
      <c r="D497" t="s">
        <v>45</v>
      </c>
      <c r="E497" t="s">
        <v>34</v>
      </c>
      <c r="F497" t="s">
        <v>64</v>
      </c>
      <c r="H497" s="47"/>
      <c r="J497" s="47"/>
    </row>
    <row r="498" spans="2:10" x14ac:dyDescent="0.3">
      <c r="B498" s="47">
        <v>42132</v>
      </c>
      <c r="C498" t="s">
        <v>28</v>
      </c>
      <c r="D498" t="s">
        <v>45</v>
      </c>
      <c r="E498" t="s">
        <v>17</v>
      </c>
      <c r="F498" t="s">
        <v>54</v>
      </c>
      <c r="H498" s="47"/>
      <c r="J498" s="47"/>
    </row>
    <row r="499" spans="2:10" x14ac:dyDescent="0.3">
      <c r="B499" s="47">
        <v>42132</v>
      </c>
      <c r="C499" t="s">
        <v>11</v>
      </c>
      <c r="D499" t="s">
        <v>45</v>
      </c>
      <c r="E499" t="s">
        <v>13</v>
      </c>
      <c r="F499" t="s">
        <v>56</v>
      </c>
      <c r="H499" s="47"/>
      <c r="J499" s="47"/>
    </row>
    <row r="500" spans="2:10" x14ac:dyDescent="0.3">
      <c r="B500" s="47">
        <v>42133</v>
      </c>
      <c r="C500" t="s">
        <v>20</v>
      </c>
      <c r="D500" t="s">
        <v>45</v>
      </c>
      <c r="E500" t="s">
        <v>13</v>
      </c>
      <c r="F500" t="s">
        <v>113</v>
      </c>
      <c r="H500" s="47"/>
      <c r="J500" s="47"/>
    </row>
    <row r="501" spans="2:10" x14ac:dyDescent="0.3">
      <c r="B501" s="47">
        <v>42133</v>
      </c>
      <c r="C501" t="s">
        <v>28</v>
      </c>
      <c r="D501" t="s">
        <v>45</v>
      </c>
      <c r="E501" t="s">
        <v>34</v>
      </c>
      <c r="F501" t="s">
        <v>64</v>
      </c>
      <c r="H501" s="47"/>
      <c r="J501" s="47"/>
    </row>
    <row r="502" spans="2:10" x14ac:dyDescent="0.3">
      <c r="B502" s="47">
        <v>42133</v>
      </c>
      <c r="C502" t="s">
        <v>20</v>
      </c>
      <c r="D502" t="s">
        <v>45</v>
      </c>
      <c r="E502" t="s">
        <v>34</v>
      </c>
      <c r="F502" t="s">
        <v>241</v>
      </c>
      <c r="H502" s="47"/>
      <c r="J502" s="47"/>
    </row>
    <row r="503" spans="2:10" x14ac:dyDescent="0.3">
      <c r="B503" s="47">
        <v>42133</v>
      </c>
      <c r="C503" t="s">
        <v>28</v>
      </c>
      <c r="D503" t="s">
        <v>45</v>
      </c>
      <c r="E503" t="s">
        <v>34</v>
      </c>
      <c r="F503" t="s">
        <v>75</v>
      </c>
      <c r="H503" s="47"/>
      <c r="J503" s="47"/>
    </row>
    <row r="504" spans="2:10" x14ac:dyDescent="0.3">
      <c r="B504" s="47">
        <v>42136</v>
      </c>
      <c r="C504" t="s">
        <v>20</v>
      </c>
      <c r="D504" t="s">
        <v>24</v>
      </c>
      <c r="E504" t="s">
        <v>17</v>
      </c>
      <c r="F504" t="s">
        <v>32</v>
      </c>
      <c r="H504" s="47"/>
      <c r="J504" s="47"/>
    </row>
    <row r="505" spans="2:10" x14ac:dyDescent="0.3">
      <c r="B505" s="47">
        <v>42136</v>
      </c>
      <c r="C505" t="s">
        <v>20</v>
      </c>
      <c r="D505" t="s">
        <v>12</v>
      </c>
      <c r="E505" t="s">
        <v>17</v>
      </c>
      <c r="F505" t="s">
        <v>128</v>
      </c>
      <c r="H505" s="47"/>
      <c r="J505" s="47"/>
    </row>
    <row r="506" spans="2:10" x14ac:dyDescent="0.3">
      <c r="B506" s="47">
        <v>42136</v>
      </c>
      <c r="C506" t="s">
        <v>31</v>
      </c>
      <c r="D506" t="s">
        <v>12</v>
      </c>
      <c r="E506" t="s">
        <v>21</v>
      </c>
      <c r="F506" t="s">
        <v>87</v>
      </c>
      <c r="H506" s="47"/>
      <c r="J506" s="47"/>
    </row>
    <row r="507" spans="2:10" x14ac:dyDescent="0.3">
      <c r="B507" s="47">
        <v>42140</v>
      </c>
      <c r="C507" t="s">
        <v>28</v>
      </c>
      <c r="D507" t="s">
        <v>45</v>
      </c>
      <c r="E507" t="s">
        <v>13</v>
      </c>
      <c r="F507" t="s">
        <v>121</v>
      </c>
      <c r="H507" s="47"/>
      <c r="J507" s="47"/>
    </row>
    <row r="508" spans="2:10" x14ac:dyDescent="0.3">
      <c r="B508" s="47">
        <v>42140</v>
      </c>
      <c r="C508" t="s">
        <v>11</v>
      </c>
      <c r="D508" t="s">
        <v>45</v>
      </c>
      <c r="E508" t="s">
        <v>21</v>
      </c>
      <c r="F508" t="s">
        <v>22</v>
      </c>
      <c r="H508" s="47"/>
      <c r="J508" s="47"/>
    </row>
    <row r="509" spans="2:10" x14ac:dyDescent="0.3">
      <c r="B509" s="47">
        <v>42145</v>
      </c>
      <c r="C509" t="s">
        <v>31</v>
      </c>
      <c r="D509" t="s">
        <v>85</v>
      </c>
      <c r="E509" t="s">
        <v>51</v>
      </c>
      <c r="F509" t="s">
        <v>118</v>
      </c>
      <c r="H509" s="47"/>
      <c r="J509" s="47"/>
    </row>
    <row r="510" spans="2:10" x14ac:dyDescent="0.3">
      <c r="B510" s="47">
        <v>42145</v>
      </c>
      <c r="C510" t="s">
        <v>20</v>
      </c>
      <c r="D510" t="s">
        <v>85</v>
      </c>
      <c r="E510" t="s">
        <v>21</v>
      </c>
      <c r="F510" t="s">
        <v>22</v>
      </c>
      <c r="H510" s="47"/>
      <c r="J510" s="47"/>
    </row>
    <row r="511" spans="2:10" x14ac:dyDescent="0.3">
      <c r="B511" s="47">
        <v>42145</v>
      </c>
      <c r="C511" t="s">
        <v>20</v>
      </c>
      <c r="D511" t="s">
        <v>85</v>
      </c>
      <c r="E511" t="s">
        <v>34</v>
      </c>
      <c r="F511" t="s">
        <v>188</v>
      </c>
      <c r="H511" s="47"/>
      <c r="J511" s="47"/>
    </row>
    <row r="512" spans="2:10" x14ac:dyDescent="0.3">
      <c r="B512" s="47">
        <v>42145</v>
      </c>
      <c r="C512" t="s">
        <v>31</v>
      </c>
      <c r="D512" t="s">
        <v>85</v>
      </c>
      <c r="E512" t="s">
        <v>34</v>
      </c>
      <c r="F512" t="s">
        <v>241</v>
      </c>
      <c r="H512" s="47"/>
      <c r="J512" s="47"/>
    </row>
    <row r="513" spans="2:10" x14ac:dyDescent="0.3">
      <c r="B513" s="47">
        <v>42152</v>
      </c>
      <c r="C513" t="s">
        <v>20</v>
      </c>
      <c r="D513" t="s">
        <v>45</v>
      </c>
      <c r="E513" t="s">
        <v>51</v>
      </c>
      <c r="F513" t="s">
        <v>138</v>
      </c>
      <c r="H513" s="47"/>
      <c r="J513" s="47"/>
    </row>
    <row r="514" spans="2:10" x14ac:dyDescent="0.3">
      <c r="B514" s="47">
        <v>42152</v>
      </c>
      <c r="C514" t="s">
        <v>20</v>
      </c>
      <c r="D514" t="s">
        <v>45</v>
      </c>
      <c r="E514" t="s">
        <v>34</v>
      </c>
      <c r="F514" t="s">
        <v>64</v>
      </c>
      <c r="H514" s="47"/>
      <c r="J514" s="47"/>
    </row>
    <row r="515" spans="2:10" x14ac:dyDescent="0.3">
      <c r="B515" s="47">
        <v>42152</v>
      </c>
      <c r="C515" t="s">
        <v>11</v>
      </c>
      <c r="D515" t="s">
        <v>45</v>
      </c>
      <c r="E515" t="s">
        <v>13</v>
      </c>
      <c r="F515" t="s">
        <v>14</v>
      </c>
      <c r="H515" s="47"/>
      <c r="J515" s="47"/>
    </row>
    <row r="516" spans="2:10" x14ac:dyDescent="0.3">
      <c r="B516" s="47">
        <v>42152</v>
      </c>
      <c r="C516" t="s">
        <v>28</v>
      </c>
      <c r="D516" t="s">
        <v>45</v>
      </c>
      <c r="E516" t="s">
        <v>17</v>
      </c>
      <c r="F516" t="s">
        <v>54</v>
      </c>
      <c r="H516" s="47"/>
      <c r="J516" s="47"/>
    </row>
    <row r="517" spans="2:10" x14ac:dyDescent="0.3">
      <c r="B517" s="47">
        <v>42152</v>
      </c>
      <c r="C517" t="s">
        <v>11</v>
      </c>
      <c r="D517" t="s">
        <v>45</v>
      </c>
      <c r="E517" t="s">
        <v>34</v>
      </c>
      <c r="F517" t="s">
        <v>136</v>
      </c>
      <c r="H517" s="47"/>
      <c r="J517" s="47"/>
    </row>
    <row r="518" spans="2:10" x14ac:dyDescent="0.3">
      <c r="B518" s="47">
        <v>42158</v>
      </c>
      <c r="C518" t="s">
        <v>28</v>
      </c>
      <c r="D518" t="s">
        <v>12</v>
      </c>
      <c r="E518" t="s">
        <v>51</v>
      </c>
      <c r="F518" t="s">
        <v>81</v>
      </c>
      <c r="H518" s="47"/>
      <c r="J518" s="47"/>
    </row>
    <row r="519" spans="2:10" x14ac:dyDescent="0.3">
      <c r="B519" s="47">
        <v>42158</v>
      </c>
      <c r="C519" t="s">
        <v>11</v>
      </c>
      <c r="D519" t="s">
        <v>12</v>
      </c>
      <c r="E519" t="s">
        <v>51</v>
      </c>
      <c r="F519" t="s">
        <v>81</v>
      </c>
      <c r="H519" s="47"/>
      <c r="J519" s="47"/>
    </row>
    <row r="520" spans="2:10" x14ac:dyDescent="0.3">
      <c r="B520" s="47">
        <v>42161</v>
      </c>
      <c r="C520" t="s">
        <v>20</v>
      </c>
      <c r="D520" t="s">
        <v>85</v>
      </c>
      <c r="E520" t="s">
        <v>34</v>
      </c>
      <c r="F520" t="s">
        <v>64</v>
      </c>
      <c r="H520" s="47"/>
      <c r="J520" s="47"/>
    </row>
    <row r="521" spans="2:10" x14ac:dyDescent="0.3">
      <c r="B521" s="47">
        <v>42172</v>
      </c>
      <c r="C521" t="s">
        <v>11</v>
      </c>
      <c r="D521" t="s">
        <v>45</v>
      </c>
      <c r="E521" t="s">
        <v>17</v>
      </c>
      <c r="F521" t="s">
        <v>72</v>
      </c>
      <c r="H521" s="47"/>
      <c r="J521" s="47"/>
    </row>
    <row r="522" spans="2:10" x14ac:dyDescent="0.3">
      <c r="B522" s="47">
        <v>42172</v>
      </c>
      <c r="C522" t="s">
        <v>28</v>
      </c>
      <c r="D522" t="s">
        <v>45</v>
      </c>
      <c r="E522" t="s">
        <v>21</v>
      </c>
      <c r="F522" t="s">
        <v>22</v>
      </c>
      <c r="H522" s="47"/>
      <c r="J522" s="47"/>
    </row>
    <row r="523" spans="2:10" x14ac:dyDescent="0.3">
      <c r="B523" s="47">
        <v>42174</v>
      </c>
      <c r="C523" t="s">
        <v>11</v>
      </c>
      <c r="D523" t="s">
        <v>12</v>
      </c>
      <c r="E523" t="s">
        <v>17</v>
      </c>
      <c r="F523" t="s">
        <v>25</v>
      </c>
      <c r="H523" s="47"/>
      <c r="J523" s="47"/>
    </row>
    <row r="524" spans="2:10" x14ac:dyDescent="0.3">
      <c r="B524" s="47">
        <v>42179</v>
      </c>
      <c r="C524" t="s">
        <v>20</v>
      </c>
      <c r="D524" t="s">
        <v>12</v>
      </c>
      <c r="E524" t="s">
        <v>34</v>
      </c>
      <c r="F524" t="s">
        <v>136</v>
      </c>
      <c r="H524" s="47"/>
      <c r="J524" s="47"/>
    </row>
    <row r="525" spans="2:10" x14ac:dyDescent="0.3">
      <c r="B525" s="47">
        <v>42180</v>
      </c>
      <c r="C525" t="s">
        <v>31</v>
      </c>
      <c r="D525" t="s">
        <v>12</v>
      </c>
      <c r="E525" t="s">
        <v>17</v>
      </c>
      <c r="F525" t="s">
        <v>72</v>
      </c>
      <c r="H525" s="47"/>
      <c r="J525" s="47"/>
    </row>
    <row r="526" spans="2:10" x14ac:dyDescent="0.3">
      <c r="B526" s="47">
        <v>42180</v>
      </c>
      <c r="C526" t="s">
        <v>31</v>
      </c>
      <c r="D526" t="s">
        <v>12</v>
      </c>
      <c r="E526" t="s">
        <v>21</v>
      </c>
      <c r="F526" t="s">
        <v>97</v>
      </c>
      <c r="H526" s="47"/>
      <c r="J526" s="47"/>
    </row>
    <row r="527" spans="2:10" x14ac:dyDescent="0.3">
      <c r="B527" s="47">
        <v>42193</v>
      </c>
      <c r="C527" t="s">
        <v>31</v>
      </c>
      <c r="D527" t="s">
        <v>45</v>
      </c>
      <c r="E527" t="s">
        <v>34</v>
      </c>
      <c r="F527" t="s">
        <v>90</v>
      </c>
      <c r="H527" s="47"/>
      <c r="J527" s="47"/>
    </row>
    <row r="528" spans="2:10" x14ac:dyDescent="0.3">
      <c r="B528" s="47">
        <v>42200</v>
      </c>
      <c r="C528" t="s">
        <v>31</v>
      </c>
      <c r="D528" t="s">
        <v>12</v>
      </c>
      <c r="E528" t="s">
        <v>51</v>
      </c>
      <c r="F528" t="s">
        <v>81</v>
      </c>
      <c r="H528" s="47"/>
      <c r="J528" s="47"/>
    </row>
    <row r="529" spans="2:10" x14ac:dyDescent="0.3">
      <c r="B529" s="47">
        <v>42200</v>
      </c>
      <c r="C529" t="s">
        <v>31</v>
      </c>
      <c r="D529" t="s">
        <v>12</v>
      </c>
      <c r="E529" t="s">
        <v>21</v>
      </c>
      <c r="F529" t="s">
        <v>111</v>
      </c>
      <c r="H529" s="47"/>
      <c r="J529" s="47"/>
    </row>
    <row r="530" spans="2:10" x14ac:dyDescent="0.3">
      <c r="B530" s="47">
        <v>42200</v>
      </c>
      <c r="C530" t="s">
        <v>11</v>
      </c>
      <c r="D530" t="s">
        <v>12</v>
      </c>
      <c r="E530" t="s">
        <v>34</v>
      </c>
      <c r="F530" t="s">
        <v>90</v>
      </c>
      <c r="H530" s="47"/>
      <c r="J530" s="47"/>
    </row>
    <row r="531" spans="2:10" x14ac:dyDescent="0.3">
      <c r="B531" s="47">
        <v>42214</v>
      </c>
      <c r="C531" t="s">
        <v>11</v>
      </c>
      <c r="D531" t="s">
        <v>45</v>
      </c>
      <c r="E531" t="s">
        <v>17</v>
      </c>
      <c r="F531" t="s">
        <v>54</v>
      </c>
      <c r="H531" s="47"/>
      <c r="J531" s="47"/>
    </row>
    <row r="532" spans="2:10" x14ac:dyDescent="0.3">
      <c r="B532" s="47">
        <v>42214</v>
      </c>
      <c r="C532" t="s">
        <v>31</v>
      </c>
      <c r="D532" t="s">
        <v>45</v>
      </c>
      <c r="E532" t="s">
        <v>13</v>
      </c>
      <c r="F532" t="s">
        <v>14</v>
      </c>
      <c r="H532" s="47"/>
      <c r="J532" s="47"/>
    </row>
    <row r="533" spans="2:10" x14ac:dyDescent="0.3">
      <c r="B533" s="47">
        <v>42214</v>
      </c>
      <c r="C533" t="s">
        <v>11</v>
      </c>
      <c r="D533" t="s">
        <v>45</v>
      </c>
      <c r="E533" t="s">
        <v>13</v>
      </c>
      <c r="F533" t="s">
        <v>124</v>
      </c>
      <c r="H533" s="47"/>
      <c r="J533" s="47"/>
    </row>
    <row r="534" spans="2:10" x14ac:dyDescent="0.3">
      <c r="B534" s="47">
        <v>42214</v>
      </c>
      <c r="C534" t="s">
        <v>28</v>
      </c>
      <c r="D534" t="s">
        <v>45</v>
      </c>
      <c r="E534" t="s">
        <v>34</v>
      </c>
      <c r="F534" t="s">
        <v>188</v>
      </c>
      <c r="H534" s="47"/>
      <c r="J534" s="47"/>
    </row>
    <row r="535" spans="2:10" x14ac:dyDescent="0.3">
      <c r="B535" s="47">
        <v>42215</v>
      </c>
      <c r="C535" t="s">
        <v>28</v>
      </c>
      <c r="D535" t="s">
        <v>12</v>
      </c>
      <c r="E535" t="s">
        <v>17</v>
      </c>
      <c r="F535" t="s">
        <v>18</v>
      </c>
      <c r="H535" s="47"/>
      <c r="J535" s="47"/>
    </row>
    <row r="536" spans="2:10" x14ac:dyDescent="0.3">
      <c r="B536" s="47">
        <v>42215</v>
      </c>
      <c r="C536" t="s">
        <v>31</v>
      </c>
      <c r="D536" t="s">
        <v>12</v>
      </c>
      <c r="E536" t="s">
        <v>34</v>
      </c>
      <c r="F536" t="s">
        <v>43</v>
      </c>
      <c r="H536" s="47"/>
      <c r="J536" s="47"/>
    </row>
    <row r="537" spans="2:10" x14ac:dyDescent="0.3">
      <c r="B537" s="47">
        <v>42221</v>
      </c>
      <c r="C537" t="s">
        <v>11</v>
      </c>
      <c r="D537" t="s">
        <v>85</v>
      </c>
      <c r="E537" t="s">
        <v>51</v>
      </c>
      <c r="F537" t="s">
        <v>52</v>
      </c>
      <c r="H537" s="47"/>
      <c r="J537" s="47"/>
    </row>
    <row r="538" spans="2:10" x14ac:dyDescent="0.3">
      <c r="B538" s="47">
        <v>42221</v>
      </c>
      <c r="C538" t="s">
        <v>20</v>
      </c>
      <c r="D538" t="s">
        <v>85</v>
      </c>
      <c r="E538" t="s">
        <v>51</v>
      </c>
      <c r="F538" t="s">
        <v>81</v>
      </c>
      <c r="H538" s="47"/>
      <c r="J538" s="47"/>
    </row>
    <row r="539" spans="2:10" x14ac:dyDescent="0.3">
      <c r="B539" s="47">
        <v>42228</v>
      </c>
      <c r="C539" t="s">
        <v>11</v>
      </c>
      <c r="D539" t="s">
        <v>12</v>
      </c>
      <c r="E539" t="s">
        <v>51</v>
      </c>
      <c r="F539" t="s">
        <v>81</v>
      </c>
      <c r="H539" s="47"/>
      <c r="J539" s="47"/>
    </row>
    <row r="540" spans="2:10" x14ac:dyDescent="0.3">
      <c r="B540" s="47">
        <v>42228</v>
      </c>
      <c r="C540" t="s">
        <v>28</v>
      </c>
      <c r="D540" t="s">
        <v>12</v>
      </c>
      <c r="E540" t="s">
        <v>13</v>
      </c>
      <c r="F540" t="s">
        <v>14</v>
      </c>
      <c r="H540" s="47"/>
      <c r="J540" s="47"/>
    </row>
    <row r="541" spans="2:10" x14ac:dyDescent="0.3">
      <c r="B541" s="47">
        <v>42228</v>
      </c>
      <c r="C541" t="s">
        <v>31</v>
      </c>
      <c r="D541" t="s">
        <v>12</v>
      </c>
      <c r="E541" t="s">
        <v>34</v>
      </c>
      <c r="F541" t="s">
        <v>64</v>
      </c>
      <c r="H541" s="47"/>
      <c r="J541" s="47"/>
    </row>
    <row r="542" spans="2:10" x14ac:dyDescent="0.3">
      <c r="B542" s="47">
        <v>42234</v>
      </c>
      <c r="C542" t="s">
        <v>11</v>
      </c>
      <c r="D542" t="s">
        <v>12</v>
      </c>
      <c r="E542" t="s">
        <v>17</v>
      </c>
      <c r="F542" t="s">
        <v>29</v>
      </c>
      <c r="H542" s="47"/>
      <c r="J542" s="47"/>
    </row>
    <row r="543" spans="2:10" x14ac:dyDescent="0.3">
      <c r="B543" s="47">
        <v>42234</v>
      </c>
      <c r="C543" t="s">
        <v>11</v>
      </c>
      <c r="D543" t="s">
        <v>12</v>
      </c>
      <c r="E543" t="s">
        <v>17</v>
      </c>
      <c r="F543" t="s">
        <v>54</v>
      </c>
      <c r="H543" s="47"/>
      <c r="J543" s="47"/>
    </row>
    <row r="544" spans="2:10" x14ac:dyDescent="0.3">
      <c r="B544" s="47">
        <v>42235</v>
      </c>
      <c r="C544" t="s">
        <v>20</v>
      </c>
      <c r="D544" t="s">
        <v>12</v>
      </c>
      <c r="E544" t="s">
        <v>13</v>
      </c>
      <c r="F544" t="s">
        <v>14</v>
      </c>
      <c r="H544" s="47"/>
      <c r="J544" s="47"/>
    </row>
    <row r="545" spans="2:10" x14ac:dyDescent="0.3">
      <c r="B545" s="47">
        <v>42235</v>
      </c>
      <c r="C545" t="s">
        <v>31</v>
      </c>
      <c r="D545" t="s">
        <v>85</v>
      </c>
      <c r="E545" t="s">
        <v>17</v>
      </c>
      <c r="F545" t="s">
        <v>54</v>
      </c>
      <c r="H545" s="47"/>
      <c r="J545" s="47"/>
    </row>
    <row r="546" spans="2:10" x14ac:dyDescent="0.3">
      <c r="B546" s="47">
        <v>42236</v>
      </c>
      <c r="C546" t="s">
        <v>31</v>
      </c>
      <c r="D546" t="s">
        <v>12</v>
      </c>
      <c r="E546" t="s">
        <v>17</v>
      </c>
      <c r="F546" t="s">
        <v>37</v>
      </c>
      <c r="H546" s="47"/>
      <c r="J546" s="47"/>
    </row>
    <row r="547" spans="2:10" x14ac:dyDescent="0.3">
      <c r="B547" s="47">
        <v>42236</v>
      </c>
      <c r="C547" t="s">
        <v>11</v>
      </c>
      <c r="D547" t="s">
        <v>12</v>
      </c>
      <c r="E547" t="s">
        <v>34</v>
      </c>
      <c r="F547" t="s">
        <v>188</v>
      </c>
      <c r="H547" s="47"/>
      <c r="J547" s="47"/>
    </row>
    <row r="548" spans="2:10" x14ac:dyDescent="0.3">
      <c r="B548" s="47">
        <v>42237</v>
      </c>
      <c r="C548" t="s">
        <v>20</v>
      </c>
      <c r="D548" t="s">
        <v>12</v>
      </c>
      <c r="E548" t="s">
        <v>17</v>
      </c>
      <c r="F548" t="s">
        <v>128</v>
      </c>
      <c r="H548" s="47"/>
      <c r="J548" s="47"/>
    </row>
    <row r="549" spans="2:10" x14ac:dyDescent="0.3">
      <c r="B549" s="47">
        <v>42237</v>
      </c>
      <c r="C549" t="s">
        <v>20</v>
      </c>
      <c r="D549" t="s">
        <v>12</v>
      </c>
      <c r="E549" t="s">
        <v>21</v>
      </c>
      <c r="F549" t="s">
        <v>22</v>
      </c>
      <c r="H549" s="47"/>
      <c r="J549" s="47"/>
    </row>
    <row r="550" spans="2:10" x14ac:dyDescent="0.3">
      <c r="B550" s="47">
        <v>42238</v>
      </c>
      <c r="C550" t="s">
        <v>20</v>
      </c>
      <c r="D550" t="s">
        <v>12</v>
      </c>
      <c r="E550" t="s">
        <v>51</v>
      </c>
      <c r="F550" t="s">
        <v>268</v>
      </c>
      <c r="H550" s="47"/>
      <c r="J550" s="47"/>
    </row>
    <row r="551" spans="2:10" x14ac:dyDescent="0.3">
      <c r="B551" s="47">
        <v>42238</v>
      </c>
      <c r="C551" t="s">
        <v>31</v>
      </c>
      <c r="D551" t="s">
        <v>12</v>
      </c>
      <c r="E551" t="s">
        <v>51</v>
      </c>
      <c r="F551" t="s">
        <v>138</v>
      </c>
      <c r="H551" s="47"/>
      <c r="J551" s="47"/>
    </row>
    <row r="552" spans="2:10" x14ac:dyDescent="0.3">
      <c r="B552" s="47">
        <v>42238</v>
      </c>
      <c r="C552" t="s">
        <v>20</v>
      </c>
      <c r="D552" t="s">
        <v>12</v>
      </c>
      <c r="E552" t="s">
        <v>17</v>
      </c>
      <c r="F552" t="s">
        <v>54</v>
      </c>
      <c r="H552" s="47"/>
      <c r="J552" s="47"/>
    </row>
    <row r="553" spans="2:10" x14ac:dyDescent="0.3">
      <c r="B553" s="47">
        <v>42241</v>
      </c>
      <c r="C553" t="s">
        <v>11</v>
      </c>
      <c r="D553" t="s">
        <v>12</v>
      </c>
      <c r="E553" t="s">
        <v>17</v>
      </c>
      <c r="F553" t="s">
        <v>54</v>
      </c>
      <c r="H553" s="47"/>
      <c r="J553" s="47"/>
    </row>
    <row r="554" spans="2:10" x14ac:dyDescent="0.3">
      <c r="B554" s="47">
        <v>42241</v>
      </c>
      <c r="C554" t="s">
        <v>31</v>
      </c>
      <c r="D554" t="s">
        <v>12</v>
      </c>
      <c r="E554" t="s">
        <v>21</v>
      </c>
      <c r="F554" t="s">
        <v>22</v>
      </c>
      <c r="H554" s="47"/>
      <c r="J554" s="47"/>
    </row>
    <row r="555" spans="2:10" x14ac:dyDescent="0.3">
      <c r="B555" s="47">
        <v>42245</v>
      </c>
      <c r="C555" t="s">
        <v>11</v>
      </c>
      <c r="D555" t="s">
        <v>12</v>
      </c>
      <c r="E555" t="s">
        <v>17</v>
      </c>
      <c r="F555" t="s">
        <v>54</v>
      </c>
      <c r="H555" s="47"/>
      <c r="J555" s="47"/>
    </row>
    <row r="556" spans="2:10" x14ac:dyDescent="0.3">
      <c r="B556" s="47">
        <v>42245</v>
      </c>
      <c r="C556" t="s">
        <v>31</v>
      </c>
      <c r="D556" t="s">
        <v>12</v>
      </c>
      <c r="E556" t="s">
        <v>13</v>
      </c>
      <c r="F556" t="s">
        <v>99</v>
      </c>
      <c r="H556" s="47"/>
      <c r="J556" s="47"/>
    </row>
    <row r="557" spans="2:10" x14ac:dyDescent="0.3">
      <c r="B557" s="47">
        <v>42245</v>
      </c>
      <c r="C557" t="s">
        <v>31</v>
      </c>
      <c r="D557" t="s">
        <v>12</v>
      </c>
      <c r="E557" t="s">
        <v>17</v>
      </c>
      <c r="F557" t="s">
        <v>54</v>
      </c>
      <c r="H557" s="47"/>
      <c r="J557" s="47"/>
    </row>
    <row r="558" spans="2:10" x14ac:dyDescent="0.3">
      <c r="B558" s="47">
        <v>42258</v>
      </c>
      <c r="C558" t="s">
        <v>28</v>
      </c>
      <c r="D558" t="s">
        <v>45</v>
      </c>
      <c r="E558" t="s">
        <v>21</v>
      </c>
      <c r="F558" t="s">
        <v>22</v>
      </c>
      <c r="H558" s="47"/>
      <c r="J558" s="47"/>
    </row>
    <row r="559" spans="2:10" x14ac:dyDescent="0.3">
      <c r="B559" s="47">
        <v>42269</v>
      </c>
      <c r="C559" t="s">
        <v>11</v>
      </c>
      <c r="D559" t="s">
        <v>12</v>
      </c>
      <c r="E559" t="s">
        <v>17</v>
      </c>
      <c r="F559" t="s">
        <v>54</v>
      </c>
      <c r="H559" s="47"/>
      <c r="J559" s="47"/>
    </row>
    <row r="560" spans="2:10" x14ac:dyDescent="0.3">
      <c r="B560" s="47">
        <v>42269</v>
      </c>
      <c r="C560" t="s">
        <v>20</v>
      </c>
      <c r="D560" t="s">
        <v>12</v>
      </c>
      <c r="E560" t="s">
        <v>34</v>
      </c>
      <c r="F560" t="s">
        <v>136</v>
      </c>
      <c r="H560" s="47"/>
      <c r="J560" s="47"/>
    </row>
    <row r="561" spans="2:10" x14ac:dyDescent="0.3">
      <c r="B561" s="47">
        <v>42272</v>
      </c>
      <c r="C561" t="s">
        <v>20</v>
      </c>
      <c r="D561" t="s">
        <v>12</v>
      </c>
      <c r="E561" t="s">
        <v>21</v>
      </c>
      <c r="F561" t="s">
        <v>97</v>
      </c>
      <c r="H561" s="47"/>
      <c r="J561" s="47"/>
    </row>
    <row r="562" spans="2:10" x14ac:dyDescent="0.3">
      <c r="B562" s="47">
        <v>42272</v>
      </c>
      <c r="C562" t="s">
        <v>31</v>
      </c>
      <c r="D562" t="s">
        <v>12</v>
      </c>
      <c r="E562" t="s">
        <v>51</v>
      </c>
      <c r="F562" t="s">
        <v>81</v>
      </c>
      <c r="H562" s="47"/>
      <c r="J562" s="47"/>
    </row>
    <row r="563" spans="2:10" x14ac:dyDescent="0.3">
      <c r="B563" s="47">
        <v>42284</v>
      </c>
      <c r="C563" t="s">
        <v>20</v>
      </c>
      <c r="D563" t="s">
        <v>12</v>
      </c>
      <c r="E563" t="s">
        <v>17</v>
      </c>
      <c r="F563" t="s">
        <v>128</v>
      </c>
      <c r="H563" s="47"/>
      <c r="J563" s="47"/>
    </row>
    <row r="564" spans="2:10" x14ac:dyDescent="0.3">
      <c r="B564" s="47">
        <v>42284</v>
      </c>
      <c r="C564" t="s">
        <v>11</v>
      </c>
      <c r="D564" t="s">
        <v>12</v>
      </c>
      <c r="E564" t="s">
        <v>21</v>
      </c>
      <c r="F564" t="s">
        <v>111</v>
      </c>
      <c r="H564" s="47"/>
      <c r="J564" s="47"/>
    </row>
    <row r="565" spans="2:10" x14ac:dyDescent="0.3">
      <c r="B565" s="47">
        <v>42284</v>
      </c>
      <c r="C565" t="s">
        <v>31</v>
      </c>
      <c r="D565" t="s">
        <v>12</v>
      </c>
      <c r="E565" t="s">
        <v>34</v>
      </c>
      <c r="F565" t="s">
        <v>339</v>
      </c>
      <c r="H565" s="47"/>
      <c r="J565" s="47"/>
    </row>
    <row r="566" spans="2:10" x14ac:dyDescent="0.3">
      <c r="B566" s="47">
        <v>42286</v>
      </c>
      <c r="C566" t="s">
        <v>11</v>
      </c>
      <c r="D566" t="s">
        <v>45</v>
      </c>
      <c r="E566" t="s">
        <v>17</v>
      </c>
      <c r="F566" t="s">
        <v>54</v>
      </c>
      <c r="H566" s="47"/>
      <c r="J566" s="47"/>
    </row>
    <row r="567" spans="2:10" x14ac:dyDescent="0.3">
      <c r="B567" s="47">
        <v>42286</v>
      </c>
      <c r="C567" t="s">
        <v>20</v>
      </c>
      <c r="D567" t="s">
        <v>45</v>
      </c>
      <c r="E567" t="s">
        <v>51</v>
      </c>
      <c r="F567" t="s">
        <v>81</v>
      </c>
      <c r="H567" s="47"/>
      <c r="J567" s="47"/>
    </row>
    <row r="568" spans="2:10" x14ac:dyDescent="0.3">
      <c r="B568" s="47">
        <v>42286</v>
      </c>
      <c r="C568" t="s">
        <v>11</v>
      </c>
      <c r="D568" t="s">
        <v>45</v>
      </c>
      <c r="E568" t="s">
        <v>34</v>
      </c>
      <c r="F568" t="s">
        <v>64</v>
      </c>
      <c r="H568" s="47"/>
      <c r="J568" s="47"/>
    </row>
    <row r="569" spans="2:10" x14ac:dyDescent="0.3">
      <c r="B569" s="47">
        <v>42287</v>
      </c>
      <c r="C569" t="s">
        <v>11</v>
      </c>
      <c r="D569" t="s">
        <v>12</v>
      </c>
      <c r="E569" t="s">
        <v>21</v>
      </c>
      <c r="F569" t="s">
        <v>47</v>
      </c>
      <c r="H569" s="47"/>
      <c r="J569" s="47"/>
    </row>
    <row r="570" spans="2:10" x14ac:dyDescent="0.3">
      <c r="B570" s="47">
        <v>42287</v>
      </c>
      <c r="C570" t="s">
        <v>11</v>
      </c>
      <c r="D570" t="s">
        <v>12</v>
      </c>
      <c r="E570" t="s">
        <v>34</v>
      </c>
      <c r="F570" t="s">
        <v>64</v>
      </c>
      <c r="H570" s="47"/>
      <c r="J570" s="47"/>
    </row>
    <row r="571" spans="2:10" x14ac:dyDescent="0.3">
      <c r="B571" s="47">
        <v>42287</v>
      </c>
      <c r="C571" t="s">
        <v>20</v>
      </c>
      <c r="D571" t="s">
        <v>12</v>
      </c>
      <c r="E571" t="s">
        <v>13</v>
      </c>
      <c r="F571" t="s">
        <v>41</v>
      </c>
      <c r="H571" s="47"/>
      <c r="J571" s="47"/>
    </row>
    <row r="572" spans="2:10" x14ac:dyDescent="0.3">
      <c r="B572" s="47">
        <v>42294</v>
      </c>
      <c r="C572" t="s">
        <v>28</v>
      </c>
      <c r="D572" t="s">
        <v>24</v>
      </c>
      <c r="E572" t="s">
        <v>21</v>
      </c>
      <c r="F572" t="s">
        <v>22</v>
      </c>
      <c r="H572" s="47"/>
      <c r="J572" s="47"/>
    </row>
    <row r="573" spans="2:10" x14ac:dyDescent="0.3">
      <c r="B573" s="47">
        <v>42294</v>
      </c>
      <c r="C573" t="s">
        <v>20</v>
      </c>
      <c r="D573" t="s">
        <v>24</v>
      </c>
      <c r="E573" t="s">
        <v>34</v>
      </c>
      <c r="F573" t="s">
        <v>241</v>
      </c>
      <c r="H573" s="47"/>
      <c r="J573" s="47"/>
    </row>
    <row r="574" spans="2:10" x14ac:dyDescent="0.3">
      <c r="B574" s="47">
        <v>42298</v>
      </c>
      <c r="C574" t="s">
        <v>28</v>
      </c>
      <c r="D574" t="s">
        <v>12</v>
      </c>
      <c r="E574" t="s">
        <v>17</v>
      </c>
      <c r="F574" t="s">
        <v>72</v>
      </c>
      <c r="H574" s="47"/>
      <c r="J574" s="47"/>
    </row>
    <row r="575" spans="2:10" x14ac:dyDescent="0.3">
      <c r="B575" s="47">
        <v>42298</v>
      </c>
      <c r="C575" t="s">
        <v>11</v>
      </c>
      <c r="D575" t="s">
        <v>12</v>
      </c>
      <c r="E575" t="s">
        <v>13</v>
      </c>
      <c r="F575" t="s">
        <v>124</v>
      </c>
      <c r="H575" s="47"/>
      <c r="J575" s="47"/>
    </row>
    <row r="576" spans="2:10" x14ac:dyDescent="0.3">
      <c r="B576" s="47">
        <v>42301</v>
      </c>
      <c r="C576" t="s">
        <v>11</v>
      </c>
      <c r="D576" t="s">
        <v>12</v>
      </c>
      <c r="E576" t="s">
        <v>51</v>
      </c>
      <c r="F576" t="s">
        <v>81</v>
      </c>
      <c r="H576" s="47"/>
      <c r="J576" s="47"/>
    </row>
    <row r="577" spans="2:10" x14ac:dyDescent="0.3">
      <c r="B577" s="47">
        <v>42301</v>
      </c>
      <c r="C577" t="s">
        <v>20</v>
      </c>
      <c r="D577" t="s">
        <v>12</v>
      </c>
      <c r="E577" t="s">
        <v>51</v>
      </c>
      <c r="F577" t="s">
        <v>81</v>
      </c>
      <c r="H577" s="47"/>
      <c r="J577" s="47"/>
    </row>
    <row r="578" spans="2:10" x14ac:dyDescent="0.3">
      <c r="B578" s="47">
        <v>42301</v>
      </c>
      <c r="C578" t="s">
        <v>28</v>
      </c>
      <c r="D578" t="s">
        <v>12</v>
      </c>
      <c r="E578" t="s">
        <v>51</v>
      </c>
      <c r="F578" t="s">
        <v>81</v>
      </c>
      <c r="H578" s="47"/>
      <c r="J578" s="47"/>
    </row>
    <row r="579" spans="2:10" x14ac:dyDescent="0.3">
      <c r="B579" s="47">
        <v>42304</v>
      </c>
      <c r="C579" t="s">
        <v>28</v>
      </c>
      <c r="D579" t="s">
        <v>45</v>
      </c>
      <c r="E579" t="s">
        <v>13</v>
      </c>
      <c r="F579" t="s">
        <v>14</v>
      </c>
      <c r="H579" s="47"/>
      <c r="J579" s="47"/>
    </row>
    <row r="580" spans="2:10" x14ac:dyDescent="0.3">
      <c r="B580" s="47">
        <v>42305</v>
      </c>
      <c r="C580" t="s">
        <v>28</v>
      </c>
      <c r="D580" t="s">
        <v>12</v>
      </c>
      <c r="E580" t="s">
        <v>51</v>
      </c>
      <c r="F580" t="s">
        <v>81</v>
      </c>
      <c r="H580" s="47"/>
      <c r="J580" s="47"/>
    </row>
    <row r="581" spans="2:10" x14ac:dyDescent="0.3">
      <c r="B581" s="47">
        <v>42305</v>
      </c>
      <c r="C581" t="s">
        <v>28</v>
      </c>
      <c r="D581" t="s">
        <v>12</v>
      </c>
      <c r="E581" t="s">
        <v>21</v>
      </c>
      <c r="F581" t="s">
        <v>22</v>
      </c>
      <c r="H581" s="47"/>
      <c r="J581" s="47"/>
    </row>
    <row r="582" spans="2:10" x14ac:dyDescent="0.3">
      <c r="B582" s="47">
        <v>42305</v>
      </c>
      <c r="C582" t="s">
        <v>11</v>
      </c>
      <c r="D582" t="s">
        <v>12</v>
      </c>
      <c r="E582" t="s">
        <v>51</v>
      </c>
      <c r="F582" t="s">
        <v>81</v>
      </c>
      <c r="H582" s="47"/>
      <c r="J582" s="47"/>
    </row>
    <row r="583" spans="2:10" x14ac:dyDescent="0.3">
      <c r="B583" s="47">
        <v>42308</v>
      </c>
      <c r="C583" t="s">
        <v>20</v>
      </c>
      <c r="D583" t="s">
        <v>12</v>
      </c>
      <c r="E583" t="s">
        <v>17</v>
      </c>
      <c r="F583" t="s">
        <v>134</v>
      </c>
      <c r="H583" s="47"/>
      <c r="J583" s="47"/>
    </row>
    <row r="584" spans="2:10" x14ac:dyDescent="0.3">
      <c r="B584" s="47">
        <v>42308</v>
      </c>
      <c r="C584" t="s">
        <v>11</v>
      </c>
      <c r="D584" t="s">
        <v>12</v>
      </c>
      <c r="E584" t="s">
        <v>21</v>
      </c>
      <c r="F584" t="s">
        <v>39</v>
      </c>
      <c r="H584" s="47"/>
      <c r="J584" s="47"/>
    </row>
    <row r="585" spans="2:10" x14ac:dyDescent="0.3">
      <c r="B585" s="47">
        <v>42308</v>
      </c>
      <c r="C585" t="s">
        <v>20</v>
      </c>
      <c r="D585" t="s">
        <v>12</v>
      </c>
      <c r="E585" t="s">
        <v>13</v>
      </c>
      <c r="F585" t="s">
        <v>14</v>
      </c>
      <c r="H585" s="47"/>
      <c r="J585" s="47"/>
    </row>
    <row r="586" spans="2:10" x14ac:dyDescent="0.3">
      <c r="B586" s="47">
        <v>42321</v>
      </c>
      <c r="C586" t="s">
        <v>31</v>
      </c>
      <c r="D586" t="s">
        <v>45</v>
      </c>
      <c r="E586" t="s">
        <v>17</v>
      </c>
      <c r="F586" t="s">
        <v>134</v>
      </c>
      <c r="H586" s="47"/>
      <c r="J586" s="47"/>
    </row>
    <row r="587" spans="2:10" x14ac:dyDescent="0.3">
      <c r="B587" s="47">
        <v>42321</v>
      </c>
      <c r="C587" t="s">
        <v>11</v>
      </c>
      <c r="D587" t="s">
        <v>45</v>
      </c>
      <c r="E587" t="s">
        <v>34</v>
      </c>
      <c r="F587" t="s">
        <v>64</v>
      </c>
      <c r="H587" s="47"/>
      <c r="J587" s="47"/>
    </row>
    <row r="588" spans="2:10" x14ac:dyDescent="0.3">
      <c r="B588" s="47">
        <v>42321</v>
      </c>
      <c r="C588" t="s">
        <v>28</v>
      </c>
      <c r="D588" t="s">
        <v>45</v>
      </c>
      <c r="E588" t="s">
        <v>13</v>
      </c>
      <c r="F588" t="s">
        <v>66</v>
      </c>
      <c r="H588" s="47"/>
      <c r="J588" s="47"/>
    </row>
    <row r="589" spans="2:10" x14ac:dyDescent="0.3">
      <c r="B589" s="47">
        <v>42325</v>
      </c>
      <c r="C589" t="s">
        <v>28</v>
      </c>
      <c r="D589" t="s">
        <v>45</v>
      </c>
      <c r="E589" t="s">
        <v>17</v>
      </c>
      <c r="F589" t="s">
        <v>79</v>
      </c>
      <c r="H589" s="47"/>
      <c r="J589" s="47"/>
    </row>
    <row r="590" spans="2:10" x14ac:dyDescent="0.3">
      <c r="B590" s="47">
        <v>42325</v>
      </c>
      <c r="C590" t="s">
        <v>11</v>
      </c>
      <c r="D590" t="s">
        <v>45</v>
      </c>
      <c r="E590" t="s">
        <v>13</v>
      </c>
      <c r="F590" t="s">
        <v>186</v>
      </c>
      <c r="H590" s="47"/>
      <c r="J590" s="47"/>
    </row>
    <row r="591" spans="2:10" x14ac:dyDescent="0.3">
      <c r="B591" s="47">
        <v>42339</v>
      </c>
      <c r="C591" t="s">
        <v>28</v>
      </c>
      <c r="D591" t="s">
        <v>45</v>
      </c>
      <c r="E591" t="s">
        <v>13</v>
      </c>
      <c r="F591" t="s">
        <v>14</v>
      </c>
      <c r="H591" s="47"/>
      <c r="J591" s="47"/>
    </row>
    <row r="592" spans="2:10" x14ac:dyDescent="0.3">
      <c r="B592" s="47">
        <v>42339</v>
      </c>
      <c r="C592" t="s">
        <v>11</v>
      </c>
      <c r="D592" t="s">
        <v>45</v>
      </c>
      <c r="E592" t="s">
        <v>13</v>
      </c>
      <c r="F592" t="s">
        <v>99</v>
      </c>
      <c r="H592" s="47"/>
      <c r="J592" s="47"/>
    </row>
    <row r="593" spans="2:10" x14ac:dyDescent="0.3">
      <c r="B593" s="47">
        <v>42339</v>
      </c>
      <c r="C593" t="s">
        <v>28</v>
      </c>
      <c r="D593" t="s">
        <v>45</v>
      </c>
      <c r="E593" t="s">
        <v>13</v>
      </c>
      <c r="F593" t="s">
        <v>124</v>
      </c>
      <c r="H593" s="47"/>
      <c r="J593" s="47"/>
    </row>
    <row r="594" spans="2:10" x14ac:dyDescent="0.3">
      <c r="B594" s="47">
        <v>42340</v>
      </c>
      <c r="C594" t="s">
        <v>20</v>
      </c>
      <c r="D594" t="s">
        <v>12</v>
      </c>
      <c r="E594" t="s">
        <v>13</v>
      </c>
      <c r="F594" t="s">
        <v>14</v>
      </c>
      <c r="H594" s="47"/>
      <c r="J594" s="47"/>
    </row>
    <row r="595" spans="2:10" x14ac:dyDescent="0.3">
      <c r="B595" s="47">
        <v>42346</v>
      </c>
      <c r="C595" t="s">
        <v>20</v>
      </c>
      <c r="D595" t="s">
        <v>12</v>
      </c>
      <c r="E595" t="s">
        <v>51</v>
      </c>
      <c r="F595" t="s">
        <v>81</v>
      </c>
      <c r="H595" s="47"/>
      <c r="J595" s="47"/>
    </row>
    <row r="596" spans="2:10" x14ac:dyDescent="0.3">
      <c r="B596" s="47">
        <v>42348</v>
      </c>
      <c r="C596" t="s">
        <v>31</v>
      </c>
      <c r="D596" t="s">
        <v>24</v>
      </c>
      <c r="E596" t="s">
        <v>13</v>
      </c>
      <c r="F596" t="s">
        <v>99</v>
      </c>
      <c r="H596" s="47"/>
      <c r="J596" s="47"/>
    </row>
    <row r="597" spans="2:10" x14ac:dyDescent="0.3">
      <c r="B597" s="47">
        <v>42349</v>
      </c>
      <c r="C597" t="s">
        <v>11</v>
      </c>
      <c r="D597" t="s">
        <v>12</v>
      </c>
      <c r="E597" t="s">
        <v>17</v>
      </c>
      <c r="F597" t="s">
        <v>32</v>
      </c>
      <c r="H597" s="47"/>
      <c r="J597" s="47"/>
    </row>
    <row r="598" spans="2:10" x14ac:dyDescent="0.3">
      <c r="B598" s="47">
        <v>42349</v>
      </c>
      <c r="C598" t="s">
        <v>11</v>
      </c>
      <c r="D598" t="s">
        <v>12</v>
      </c>
      <c r="E598" t="s">
        <v>13</v>
      </c>
      <c r="F598" t="s">
        <v>99</v>
      </c>
      <c r="H598" s="47"/>
      <c r="J598" s="47"/>
    </row>
    <row r="599" spans="2:10" x14ac:dyDescent="0.3">
      <c r="B599" s="47">
        <v>42350</v>
      </c>
      <c r="C599" t="s">
        <v>20</v>
      </c>
      <c r="D599" t="s">
        <v>12</v>
      </c>
      <c r="E599" t="s">
        <v>21</v>
      </c>
      <c r="F599" t="s">
        <v>47</v>
      </c>
      <c r="H599" s="47"/>
      <c r="J599" s="47"/>
    </row>
    <row r="600" spans="2:10" x14ac:dyDescent="0.3">
      <c r="B600" s="47">
        <v>42350</v>
      </c>
      <c r="C600" t="s">
        <v>28</v>
      </c>
      <c r="D600" t="s">
        <v>12</v>
      </c>
      <c r="E600" t="s">
        <v>21</v>
      </c>
      <c r="F600" t="s">
        <v>22</v>
      </c>
      <c r="H600" s="47"/>
      <c r="J600" s="47"/>
    </row>
    <row r="601" spans="2:10" x14ac:dyDescent="0.3">
      <c r="B601" s="47">
        <v>42353</v>
      </c>
      <c r="C601" t="s">
        <v>31</v>
      </c>
      <c r="D601" t="s">
        <v>12</v>
      </c>
      <c r="E601" t="s">
        <v>17</v>
      </c>
      <c r="F601" t="s">
        <v>54</v>
      </c>
      <c r="H601" s="47"/>
      <c r="J601" s="47"/>
    </row>
    <row r="602" spans="2:10" x14ac:dyDescent="0.3">
      <c r="B602" s="47">
        <v>42353</v>
      </c>
      <c r="C602" t="s">
        <v>20</v>
      </c>
      <c r="D602" t="s">
        <v>12</v>
      </c>
      <c r="E602" t="s">
        <v>21</v>
      </c>
      <c r="F602" t="s">
        <v>22</v>
      </c>
      <c r="H602" s="47"/>
      <c r="J602" s="47"/>
    </row>
    <row r="603" spans="2:10" x14ac:dyDescent="0.3">
      <c r="B603" s="47">
        <v>42355</v>
      </c>
      <c r="C603" t="s">
        <v>11</v>
      </c>
      <c r="D603" t="s">
        <v>12</v>
      </c>
      <c r="E603" t="s">
        <v>51</v>
      </c>
      <c r="F603" t="s">
        <v>268</v>
      </c>
      <c r="H603" s="47"/>
      <c r="J603" s="47"/>
    </row>
    <row r="604" spans="2:10" x14ac:dyDescent="0.3">
      <c r="B604" s="47">
        <v>42355</v>
      </c>
      <c r="C604" t="s">
        <v>11</v>
      </c>
      <c r="D604" t="s">
        <v>12</v>
      </c>
      <c r="E604" t="s">
        <v>51</v>
      </c>
      <c r="F604" t="s">
        <v>81</v>
      </c>
      <c r="H604" s="47"/>
      <c r="J604" s="47"/>
    </row>
    <row r="605" spans="2:10" x14ac:dyDescent="0.3">
      <c r="B605" s="47">
        <v>42355</v>
      </c>
      <c r="C605" t="s">
        <v>28</v>
      </c>
      <c r="D605" t="s">
        <v>45</v>
      </c>
      <c r="E605" t="s">
        <v>17</v>
      </c>
      <c r="F605" t="s">
        <v>54</v>
      </c>
      <c r="H605" s="47"/>
      <c r="J605" s="47"/>
    </row>
    <row r="606" spans="2:10" x14ac:dyDescent="0.3">
      <c r="B606" s="47">
        <v>42355</v>
      </c>
      <c r="C606" t="s">
        <v>28</v>
      </c>
      <c r="D606" t="s">
        <v>45</v>
      </c>
      <c r="E606" t="s">
        <v>51</v>
      </c>
      <c r="F606" t="s">
        <v>81</v>
      </c>
      <c r="H606" s="47"/>
      <c r="J606" s="47"/>
    </row>
    <row r="607" spans="2:10" x14ac:dyDescent="0.3">
      <c r="B607" s="47">
        <v>42357</v>
      </c>
      <c r="C607" t="s">
        <v>31</v>
      </c>
      <c r="D607" t="s">
        <v>45</v>
      </c>
      <c r="E607" t="s">
        <v>13</v>
      </c>
      <c r="F607" t="s">
        <v>56</v>
      </c>
      <c r="H607" s="47"/>
      <c r="J607" s="47"/>
    </row>
    <row r="608" spans="2:10" x14ac:dyDescent="0.3">
      <c r="B608" s="47">
        <v>42357</v>
      </c>
      <c r="C608" t="s">
        <v>28</v>
      </c>
      <c r="D608" t="s">
        <v>45</v>
      </c>
      <c r="E608" t="s">
        <v>34</v>
      </c>
      <c r="F608" t="s">
        <v>90</v>
      </c>
      <c r="H608" s="47"/>
      <c r="J608" s="47"/>
    </row>
    <row r="609" spans="2:10" x14ac:dyDescent="0.3">
      <c r="B609" s="47">
        <v>42357</v>
      </c>
      <c r="C609" t="s">
        <v>28</v>
      </c>
      <c r="D609" t="s">
        <v>45</v>
      </c>
      <c r="E609" t="s">
        <v>51</v>
      </c>
      <c r="F609" t="s">
        <v>268</v>
      </c>
      <c r="H609" s="47"/>
      <c r="J609" s="47"/>
    </row>
    <row r="610" spans="2:10" x14ac:dyDescent="0.3">
      <c r="B610" s="47">
        <v>42357</v>
      </c>
      <c r="C610" t="s">
        <v>31</v>
      </c>
      <c r="D610" t="s">
        <v>45</v>
      </c>
      <c r="E610" t="s">
        <v>34</v>
      </c>
      <c r="F610" t="s">
        <v>64</v>
      </c>
      <c r="H610" s="47"/>
      <c r="J610" s="47"/>
    </row>
    <row r="611" spans="2:10" x14ac:dyDescent="0.3">
      <c r="B611" s="47">
        <v>42357</v>
      </c>
      <c r="C611" t="s">
        <v>20</v>
      </c>
      <c r="D611" t="s">
        <v>45</v>
      </c>
      <c r="E611" t="s">
        <v>13</v>
      </c>
      <c r="F611" t="s">
        <v>14</v>
      </c>
      <c r="H611" s="47"/>
      <c r="J611" s="47"/>
    </row>
    <row r="612" spans="2:10" x14ac:dyDescent="0.3">
      <c r="B612" s="47">
        <v>42360</v>
      </c>
      <c r="C612" t="s">
        <v>11</v>
      </c>
      <c r="D612" t="s">
        <v>85</v>
      </c>
      <c r="E612" t="s">
        <v>51</v>
      </c>
      <c r="F612" t="s">
        <v>118</v>
      </c>
      <c r="H612" s="47"/>
      <c r="J612" s="47"/>
    </row>
    <row r="613" spans="2:10" x14ac:dyDescent="0.3">
      <c r="B613" s="47">
        <v>42360</v>
      </c>
      <c r="C613" t="s">
        <v>11</v>
      </c>
      <c r="D613" t="s">
        <v>85</v>
      </c>
      <c r="E613" t="s">
        <v>51</v>
      </c>
      <c r="F613" t="s">
        <v>52</v>
      </c>
      <c r="H613" s="47"/>
      <c r="J613" s="47"/>
    </row>
    <row r="614" spans="2:10" x14ac:dyDescent="0.3">
      <c r="B614" s="47">
        <v>42361</v>
      </c>
      <c r="C614" t="s">
        <v>20</v>
      </c>
      <c r="D614" t="s">
        <v>12</v>
      </c>
      <c r="E614" t="s">
        <v>13</v>
      </c>
      <c r="F614" t="s">
        <v>66</v>
      </c>
      <c r="H614" s="47"/>
      <c r="J614" s="47"/>
    </row>
    <row r="615" spans="2:10" x14ac:dyDescent="0.3">
      <c r="B615" s="47">
        <v>42361</v>
      </c>
      <c r="C615" t="s">
        <v>11</v>
      </c>
      <c r="D615" t="s">
        <v>12</v>
      </c>
      <c r="E615" t="s">
        <v>34</v>
      </c>
      <c r="F615" t="s">
        <v>188</v>
      </c>
      <c r="H615" s="47"/>
      <c r="J615" s="47"/>
    </row>
    <row r="616" spans="2:10" x14ac:dyDescent="0.3">
      <c r="B616" s="47">
        <v>42361</v>
      </c>
      <c r="C616" t="s">
        <v>20</v>
      </c>
      <c r="D616" t="s">
        <v>12</v>
      </c>
      <c r="E616" t="s">
        <v>34</v>
      </c>
      <c r="F616" t="s">
        <v>68</v>
      </c>
      <c r="H616" s="47"/>
      <c r="J616" s="47"/>
    </row>
    <row r="617" spans="2:10" x14ac:dyDescent="0.3">
      <c r="B617" s="47">
        <v>42361</v>
      </c>
      <c r="C617" t="s">
        <v>28</v>
      </c>
      <c r="D617" t="s">
        <v>45</v>
      </c>
      <c r="E617" t="s">
        <v>51</v>
      </c>
      <c r="F617" t="s">
        <v>81</v>
      </c>
      <c r="H617" s="47"/>
      <c r="J617" s="47"/>
    </row>
    <row r="618" spans="2:10" x14ac:dyDescent="0.3">
      <c r="H618" s="47"/>
      <c r="J618" s="47"/>
    </row>
    <row r="619" spans="2:10" x14ac:dyDescent="0.3">
      <c r="H619" s="47"/>
      <c r="J619" s="47"/>
    </row>
    <row r="620" spans="2:10" x14ac:dyDescent="0.3">
      <c r="H620" s="47"/>
      <c r="J620" s="47"/>
    </row>
    <row r="621" spans="2:10" x14ac:dyDescent="0.3">
      <c r="H621" s="47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20</vt:i4>
      </vt:variant>
    </vt:vector>
  </HeadingPairs>
  <TitlesOfParts>
    <vt:vector size="31" baseType="lpstr">
      <vt:lpstr>EL TIO TECH</vt:lpstr>
      <vt:lpstr>Ejercicio 01</vt:lpstr>
      <vt:lpstr>Ejercicio 02</vt:lpstr>
      <vt:lpstr>Ejercicio 03</vt:lpstr>
      <vt:lpstr>Ejercicio 04</vt:lpstr>
      <vt:lpstr>Ejercicio 05</vt:lpstr>
      <vt:lpstr>Ejercicio 6</vt:lpstr>
      <vt:lpstr>Ejercicio 7</vt:lpstr>
      <vt:lpstr>Ejercicio 8</vt:lpstr>
      <vt:lpstr>Ejercicio 9</vt:lpstr>
      <vt:lpstr>Ejercicio 10</vt:lpstr>
      <vt:lpstr>'Ejercicio 01'!Área_de_extracción</vt:lpstr>
      <vt:lpstr>'Ejercicio 02'!Área_de_extracción</vt:lpstr>
      <vt:lpstr>'Ejercicio 03'!Área_de_extracción</vt:lpstr>
      <vt:lpstr>'Ejercicio 04'!Área_de_extracción</vt:lpstr>
      <vt:lpstr>'Ejercicio 05'!Área_de_extracción</vt:lpstr>
      <vt:lpstr>'Ejercicio 10'!Área_de_extracción</vt:lpstr>
      <vt:lpstr>'Ejercicio 6'!Área_de_extracción</vt:lpstr>
      <vt:lpstr>'Ejercicio 7'!Área_de_extracción</vt:lpstr>
      <vt:lpstr>'Ejercicio 8'!Área_de_extracción</vt:lpstr>
      <vt:lpstr>'Ejercicio 9'!Área_de_extracción</vt:lpstr>
      <vt:lpstr>'Ejercicio 01'!Criterios</vt:lpstr>
      <vt:lpstr>'Ejercicio 02'!Criterios</vt:lpstr>
      <vt:lpstr>'Ejercicio 03'!Criterios</vt:lpstr>
      <vt:lpstr>'Ejercicio 04'!Criterios</vt:lpstr>
      <vt:lpstr>'Ejercicio 05'!Criterios</vt:lpstr>
      <vt:lpstr>'Ejercicio 10'!Criterios</vt:lpstr>
      <vt:lpstr>'Ejercicio 6'!Criterios</vt:lpstr>
      <vt:lpstr>'Ejercicio 7'!Criterios</vt:lpstr>
      <vt:lpstr>'Ejercicio 8'!Criterios</vt:lpstr>
      <vt:lpstr>'Ejercicio 9'!Criterios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Miguel Vela Vela</dc:creator>
  <cp:lastModifiedBy>PASCALITO-08</cp:lastModifiedBy>
  <cp:lastPrinted>2026-09-29T01:08:41Z</cp:lastPrinted>
  <dcterms:created xsi:type="dcterms:W3CDTF">2023-03-13T02:33:16Z</dcterms:created>
  <dcterms:modified xsi:type="dcterms:W3CDTF">2026-09-29T01:08:43Z</dcterms:modified>
</cp:coreProperties>
</file>