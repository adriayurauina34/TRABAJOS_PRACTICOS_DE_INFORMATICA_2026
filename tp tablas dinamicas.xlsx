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SCALITO-08\Downloads\"/>
    </mc:Choice>
  </mc:AlternateContent>
  <xr:revisionPtr revIDLastSave="0" documentId="8_{F0E2F167-B34E-4F8E-B0C2-3C41D81928B9}" xr6:coauthVersionLast="36" xr6:coauthVersionMax="36" xr10:uidLastSave="{00000000-0000-0000-0000-000000000000}"/>
  <bookViews>
    <workbookView xWindow="0" yWindow="0" windowWidth="23040" windowHeight="9060" activeTab="1" xr2:uid="{60322BFA-E994-4E6A-875B-0C51D5614A3F}"/>
  </bookViews>
  <sheets>
    <sheet name="Base_de_Datos" sheetId="1" r:id="rId1"/>
    <sheet name="Dashboard_Ventas" sheetId="3" r:id="rId2"/>
  </sheets>
  <definedNames>
    <definedName name="NativeTimeline_Fecha">#N/A</definedName>
    <definedName name="SegmentaciónDeDatos_Categoría">#N/A</definedName>
    <definedName name="SegmentaciónDeDatos_Región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</calcChain>
</file>

<file path=xl/sharedStrings.xml><?xml version="1.0" encoding="utf-8"?>
<sst xmlns="http://schemas.openxmlformats.org/spreadsheetml/2006/main" count="117" uniqueCount="52">
  <si>
    <t>ID_Venta</t>
  </si>
  <si>
    <t>Fecha</t>
  </si>
  <si>
    <t>Región</t>
  </si>
  <si>
    <t>Vendedor</t>
  </si>
  <si>
    <t>Categoría</t>
  </si>
  <si>
    <t>Producto</t>
  </si>
  <si>
    <t>Unidades</t>
  </si>
  <si>
    <t>Precio_Unitario</t>
  </si>
  <si>
    <t>V-1001</t>
  </si>
  <si>
    <t>Norte</t>
  </si>
  <si>
    <t>Carlos Gómez</t>
  </si>
  <si>
    <t>Electrónica</t>
  </si>
  <si>
    <t>Monitor 24"</t>
  </si>
  <si>
    <t>V-1002</t>
  </si>
  <si>
    <t>Sur</t>
  </si>
  <si>
    <t>Ana Martínez</t>
  </si>
  <si>
    <t>Muebles</t>
  </si>
  <si>
    <t>Silla Ergonómica</t>
  </si>
  <si>
    <t>V-1003</t>
  </si>
  <si>
    <t>Centro</t>
  </si>
  <si>
    <t>Teclado Mecánico</t>
  </si>
  <si>
    <t>V-1004</t>
  </si>
  <si>
    <t>Lucía Fernández</t>
  </si>
  <si>
    <t>Escritorio MDF</t>
  </si>
  <si>
    <t>V-1005</t>
  </si>
  <si>
    <t>V-1006</t>
  </si>
  <si>
    <t>Roberto Díaz</t>
  </si>
  <si>
    <t>Papelería</t>
  </si>
  <si>
    <t>Resma A4</t>
  </si>
  <si>
    <t>V-1007</t>
  </si>
  <si>
    <t>V-1008</t>
  </si>
  <si>
    <t>Laptop i5</t>
  </si>
  <si>
    <t>V-1009</t>
  </si>
  <si>
    <t>V-1010</t>
  </si>
  <si>
    <t>V-1011</t>
  </si>
  <si>
    <t>V-1012</t>
  </si>
  <si>
    <t>V-1013</t>
  </si>
  <si>
    <t>V-1014</t>
  </si>
  <si>
    <t>V-1015</t>
  </si>
  <si>
    <t>Total general</t>
  </si>
  <si>
    <t>Total Facturado</t>
  </si>
  <si>
    <t>Suma de Unidades</t>
  </si>
  <si>
    <t>Suma de Total Facturado</t>
  </si>
  <si>
    <t>Etiquetas de columna</t>
  </si>
  <si>
    <t>Total Suma de Unidades</t>
  </si>
  <si>
    <t>Total Promedio de Precio_Unitario</t>
  </si>
  <si>
    <t>Promedio de Precio_Unitario</t>
  </si>
  <si>
    <t>Suma de Monto IVA</t>
  </si>
  <si>
    <t>Suma de Total con IVA</t>
  </si>
  <si>
    <t>Vendedores</t>
  </si>
  <si>
    <t>Region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</si>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</sst>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0" fontId="0" fillId="0" borderId="0" xfId="0" applyNumberFormat="1"/>
    <xf numFmtId="44" fontId="0" fillId="0" borderId="0" xfId="1" applyFont="1"/>
  </cellXfs>
  <cellStyles count="2">
    <cellStyle name="Moneda" xfId="1" builtinId="4"/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 tablas dinamicas.xlsx]Dashboard_Ventas!TablaDinámica2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6034558180227472"/>
          <c:y val="0.13323855351414407"/>
          <c:w val="0.28584886264216974"/>
          <c:h val="0.750473170020414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Dashboard_Ventas!$B$1</c:f>
              <c:strCache>
                <c:ptCount val="1"/>
                <c:pt idx="0">
                  <c:v>Suma de Unidades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Dashboard_Ventas!$A$2:$A$6</c:f>
              <c:strCache>
                <c:ptCount val="4"/>
                <c:pt idx="0">
                  <c:v>Ana Martínez</c:v>
                </c:pt>
                <c:pt idx="1">
                  <c:v>Carlos Gómez</c:v>
                </c:pt>
                <c:pt idx="2">
                  <c:v>Lucía Fernández</c:v>
                </c:pt>
                <c:pt idx="3">
                  <c:v>Roberto Díaz</c:v>
                </c:pt>
              </c:strCache>
            </c:strRef>
          </c:cat>
          <c:val>
            <c:numRef>
              <c:f>Dashboard_Ventas!$B$2:$B$6</c:f>
              <c:numCache>
                <c:formatCode>General</c:formatCode>
                <c:ptCount val="4"/>
                <c:pt idx="0">
                  <c:v>123</c:v>
                </c:pt>
                <c:pt idx="1">
                  <c:v>119</c:v>
                </c:pt>
                <c:pt idx="2">
                  <c:v>13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B-44F5-9220-1B7B52036776}"/>
            </c:ext>
          </c:extLst>
        </c:ser>
        <c:ser>
          <c:idx val="1"/>
          <c:order val="1"/>
          <c:tx>
            <c:strRef>
              <c:f>Dashboard_Ventas!$C$1</c:f>
              <c:strCache>
                <c:ptCount val="1"/>
                <c:pt idx="0">
                  <c:v>Suma de Total Facturado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Dashboard_Ventas!$A$2:$A$6</c:f>
              <c:strCache>
                <c:ptCount val="4"/>
                <c:pt idx="0">
                  <c:v>Ana Martínez</c:v>
                </c:pt>
                <c:pt idx="1">
                  <c:v>Carlos Gómez</c:v>
                </c:pt>
                <c:pt idx="2">
                  <c:v>Lucía Fernández</c:v>
                </c:pt>
                <c:pt idx="3">
                  <c:v>Roberto Díaz</c:v>
                </c:pt>
              </c:strCache>
            </c:strRef>
          </c:cat>
          <c:val>
            <c:numRef>
              <c:f>Dashboard_Ventas!$C$2:$C$6</c:f>
              <c:numCache>
                <c:formatCode>"$"\ #,##0.00</c:formatCode>
                <c:ptCount val="4"/>
                <c:pt idx="0">
                  <c:v>3740</c:v>
                </c:pt>
                <c:pt idx="1">
                  <c:v>6015</c:v>
                </c:pt>
                <c:pt idx="2">
                  <c:v>5650</c:v>
                </c:pt>
                <c:pt idx="3">
                  <c:v>2410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4B-44F5-9220-1B7B52036776}"/>
            </c:ext>
          </c:extLst>
        </c:ser>
        <c:ser>
          <c:idx val="2"/>
          <c:order val="2"/>
          <c:tx>
            <c:strRef>
              <c:f>Dashboard_Ventas!$D$1</c:f>
              <c:strCache>
                <c:ptCount val="1"/>
                <c:pt idx="0">
                  <c:v>Suma de Monto IVA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Dashboard_Ventas!$A$2:$A$6</c:f>
              <c:strCache>
                <c:ptCount val="4"/>
                <c:pt idx="0">
                  <c:v>Ana Martínez</c:v>
                </c:pt>
                <c:pt idx="1">
                  <c:v>Carlos Gómez</c:v>
                </c:pt>
                <c:pt idx="2">
                  <c:v>Lucía Fernández</c:v>
                </c:pt>
                <c:pt idx="3">
                  <c:v>Roberto Díaz</c:v>
                </c:pt>
              </c:strCache>
            </c:strRef>
          </c:cat>
          <c:val>
            <c:numRef>
              <c:f>Dashboard_Ventas!$D$2:$D$6</c:f>
              <c:numCache>
                <c:formatCode>"$"\ #,##0.00</c:formatCode>
                <c:ptCount val="4"/>
                <c:pt idx="0">
                  <c:v>785.4</c:v>
                </c:pt>
                <c:pt idx="1">
                  <c:v>1263.1499999999999</c:v>
                </c:pt>
                <c:pt idx="2">
                  <c:v>1186.5</c:v>
                </c:pt>
                <c:pt idx="3">
                  <c:v>506.09999999999997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4B-44F5-9220-1B7B52036776}"/>
            </c:ext>
          </c:extLst>
        </c:ser>
        <c:ser>
          <c:idx val="3"/>
          <c:order val="3"/>
          <c:tx>
            <c:strRef>
              <c:f>Dashboard_Ventas!$E$1</c:f>
              <c:strCache>
                <c:ptCount val="1"/>
                <c:pt idx="0">
                  <c:v>Suma de Total con IVA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Dashboard_Ventas!$A$2:$A$6</c:f>
              <c:strCache>
                <c:ptCount val="4"/>
                <c:pt idx="0">
                  <c:v>Ana Martínez</c:v>
                </c:pt>
                <c:pt idx="1">
                  <c:v>Carlos Gómez</c:v>
                </c:pt>
                <c:pt idx="2">
                  <c:v>Lucía Fernández</c:v>
                </c:pt>
                <c:pt idx="3">
                  <c:v>Roberto Díaz</c:v>
                </c:pt>
              </c:strCache>
            </c:strRef>
          </c:cat>
          <c:val>
            <c:numRef>
              <c:f>Dashboard_Ventas!$E$2:$E$6</c:f>
              <c:numCache>
                <c:formatCode>"$"\ #,##0.00</c:formatCode>
                <c:ptCount val="4"/>
                <c:pt idx="0">
                  <c:v>4525.3999999999996</c:v>
                </c:pt>
                <c:pt idx="1">
                  <c:v>7278.15</c:v>
                </c:pt>
                <c:pt idx="2">
                  <c:v>6836.5</c:v>
                </c:pt>
                <c:pt idx="3">
                  <c:v>2916.1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4B-44F5-9220-1B7B5203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57664"/>
        <c:axId val="2025300335"/>
      </c:barChart>
      <c:catAx>
        <c:axId val="13735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25300335"/>
        <c:crosses val="autoZero"/>
        <c:auto val="1"/>
        <c:lblAlgn val="ctr"/>
        <c:lblOffset val="100"/>
        <c:noMultiLvlLbl val="0"/>
      </c:catAx>
      <c:valAx>
        <c:axId val="2025300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735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[tp tablas dinamicas.xlsx]Dashboard_Ventas!TablaDinámica4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Dashboard_Ventas!$B$20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03-4BEF-B649-50C8FFCEC4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03-4BEF-B649-50C8FFCEC4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03-4BEF-B649-50C8FFCEC448}"/>
              </c:ext>
            </c:extLst>
          </c:dPt>
          <c:cat>
            <c:strRef>
              <c:f>Dashboard_Ventas!$A$21:$A$24</c:f>
              <c:strCache>
                <c:ptCount val="3"/>
                <c:pt idx="0">
                  <c:v>Electrónica</c:v>
                </c:pt>
                <c:pt idx="1">
                  <c:v>Muebles</c:v>
                </c:pt>
                <c:pt idx="2">
                  <c:v>Papelería</c:v>
                </c:pt>
              </c:strCache>
            </c:strRef>
          </c:cat>
          <c:val>
            <c:numRef>
              <c:f>Dashboard_Ventas!$B$21:$B$24</c:f>
              <c:numCache>
                <c:formatCode>0.00%</c:formatCode>
                <c:ptCount val="3"/>
                <c:pt idx="0">
                  <c:v>0.6272803817008139</c:v>
                </c:pt>
                <c:pt idx="1">
                  <c:v>0.30816727476845357</c:v>
                </c:pt>
                <c:pt idx="2">
                  <c:v>6.4552343530732526E-2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2-41F6-B11F-0EB21B7D9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9524</xdr:colOff>
      <xdr:row>1</xdr:row>
      <xdr:rowOff>0</xdr:rowOff>
    </xdr:from>
    <xdr:to>
      <xdr:col>12</xdr:col>
      <xdr:colOff>761999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ón">
              <a:extLst>
                <a:ext uri="{FF2B5EF4-FFF2-40B4-BE49-F238E27FC236}">
                  <a16:creationId xmlns:a16="http://schemas.microsoft.com/office/drawing/2014/main" id="{0E87D686-2C54-471D-DF12-58C374C826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16074" y="190500"/>
              <a:ext cx="2276475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9525</xdr:colOff>
      <xdr:row>1</xdr:row>
      <xdr:rowOff>0</xdr:rowOff>
    </xdr:from>
    <xdr:to>
      <xdr:col>16</xdr:col>
      <xdr:colOff>752476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ía">
              <a:extLst>
                <a:ext uri="{FF2B5EF4-FFF2-40B4-BE49-F238E27FC236}">
                  <a16:creationId xmlns:a16="http://schemas.microsoft.com/office/drawing/2014/main" id="{EF0EA9E1-935E-4E46-BA95-B477342201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64075" y="190500"/>
              <a:ext cx="226695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0</xdr:colOff>
      <xdr:row>16</xdr:row>
      <xdr:rowOff>19050</xdr:rowOff>
    </xdr:from>
    <xdr:to>
      <xdr:col>15</xdr:col>
      <xdr:colOff>0</xdr:colOff>
      <xdr:row>24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D7243E9A-DED3-3CFC-3513-A7D0CC62BB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06550" y="3067050"/>
              <a:ext cx="3810000" cy="152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10</xdr:col>
      <xdr:colOff>9525</xdr:colOff>
      <xdr:row>25</xdr:row>
      <xdr:rowOff>9524</xdr:rowOff>
    </xdr:from>
    <xdr:to>
      <xdr:col>16</xdr:col>
      <xdr:colOff>9525</xdr:colOff>
      <xdr:row>39</xdr:row>
      <xdr:rowOff>190499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19C2C0E-1080-F4D8-1D65-418C4E718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41</xdr:row>
      <xdr:rowOff>19050</xdr:rowOff>
    </xdr:from>
    <xdr:to>
      <xdr:col>16</xdr:col>
      <xdr:colOff>9525</xdr:colOff>
      <xdr:row>55</xdr:row>
      <xdr:rowOff>171450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5186C88-E73E-5C02-D1F6-D86EC09703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us" refreshedDate="46315.968143981481" createdVersion="8" refreshedVersion="8" minRefreshableVersion="3" recordCount="15" xr:uid="{B17DD4C5-3606-4D88-86D2-F6BA8BBAB76F}">
  <cacheSource type="worksheet">
    <worksheetSource name="TablaVentas"/>
  </cacheSource>
  <cacheFields count="11">
    <cacheField name="ID_Venta" numFmtId="0">
      <sharedItems/>
    </cacheField>
    <cacheField name="Fecha" numFmtId="14">
      <sharedItems containsSemiMixedTypes="0" containsNonDate="0" containsDate="1" containsString="0" minDate="2025-10-05T00:00:00" maxDate="2025-12-13T00:00:00" count="15">
        <d v="2025-10-05T00:00:00"/>
        <d v="2025-10-06T00:00:00"/>
        <d v="2025-10-08T00:00:00"/>
        <d v="2025-10-12T00:00:00"/>
        <d v="2025-10-15T00:00:00"/>
        <d v="2025-10-18T00:00:00"/>
        <d v="2025-10-22T00:00:00"/>
        <d v="2025-11-02T00:00:00"/>
        <d v="2025-11-05T00:00:00"/>
        <d v="2025-11-10T00:00:00"/>
        <d v="2025-11-15T00:00:00"/>
        <d v="2025-11-20T00:00:00"/>
        <d v="2025-12-01T00:00:00"/>
        <d v="2025-12-05T00:00:00"/>
        <d v="2025-12-12T00:00:00"/>
      </sharedItems>
    </cacheField>
    <cacheField name="Región" numFmtId="0">
      <sharedItems count="3">
        <s v="Norte"/>
        <s v="Sur"/>
        <s v="Centro"/>
      </sharedItems>
    </cacheField>
    <cacheField name="Vendedor" numFmtId="0">
      <sharedItems count="4">
        <s v="Carlos Gómez"/>
        <s v="Ana Martínez"/>
        <s v="Lucía Fernández"/>
        <s v="Roberto Díaz"/>
      </sharedItems>
    </cacheField>
    <cacheField name="Categoría" numFmtId="0">
      <sharedItems count="3">
        <s v="Electrónica"/>
        <s v="Muebles"/>
        <s v="Papelería"/>
      </sharedItems>
    </cacheField>
    <cacheField name="Producto" numFmtId="0">
      <sharedItems/>
    </cacheField>
    <cacheField name="Unidades" numFmtId="0">
      <sharedItems containsSemiMixedTypes="0" containsString="0" containsNumber="1" containsInteger="1" minValue="2" maxValue="100"/>
    </cacheField>
    <cacheField name="Precio_Unitario" numFmtId="0">
      <sharedItems containsSemiMixedTypes="0" containsString="0" containsNumber="1" containsInteger="1" minValue="5" maxValue="850"/>
    </cacheField>
    <cacheField name="Total Facturado" numFmtId="0">
      <sharedItems containsSemiMixedTypes="0" containsString="0" containsNumber="1" containsInteger="1" minValue="250" maxValue="3400"/>
    </cacheField>
    <cacheField name="Monto IVA" numFmtId="0" formula="'Total Facturado'*0.21" databaseField="0"/>
    <cacheField name="Total con IVA" numFmtId="0" formula="'Total Facturado'+'Monto IVA'" databaseField="0"/>
  </cacheFields>
  <extLst>
    <ext xmlns:x14="http://schemas.microsoft.com/office/spreadsheetml/2009/9/main" uri="{725AE2AE-9491-48be-B2B4-4EB974FC3084}">
      <x14:pivotCacheDefinition pivotCacheId="360162640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V-1001"/>
    <x v="0"/>
    <x v="0"/>
    <x v="0"/>
    <x v="0"/>
    <s v="Monitor 24&quot;"/>
    <n v="10"/>
    <n v="180"/>
    <n v="1800"/>
  </r>
  <r>
    <s v="V-1002"/>
    <x v="1"/>
    <x v="1"/>
    <x v="1"/>
    <x v="1"/>
    <s v="Silla Ergonómica"/>
    <n v="5"/>
    <n v="120"/>
    <n v="600"/>
  </r>
  <r>
    <s v="V-1003"/>
    <x v="2"/>
    <x v="2"/>
    <x v="0"/>
    <x v="0"/>
    <s v="Teclado Mecánico"/>
    <n v="15"/>
    <n v="45"/>
    <n v="675"/>
  </r>
  <r>
    <s v="V-1004"/>
    <x v="3"/>
    <x v="0"/>
    <x v="2"/>
    <x v="1"/>
    <s v="Escritorio MDF"/>
    <n v="3"/>
    <n v="250"/>
    <n v="750"/>
  </r>
  <r>
    <s v="V-1005"/>
    <x v="4"/>
    <x v="1"/>
    <x v="1"/>
    <x v="0"/>
    <s v="Monitor 24&quot;"/>
    <n v="8"/>
    <n v="180"/>
    <n v="1440"/>
  </r>
  <r>
    <s v="V-1006"/>
    <x v="5"/>
    <x v="2"/>
    <x v="3"/>
    <x v="2"/>
    <s v="Resma A4"/>
    <n v="50"/>
    <n v="5"/>
    <n v="250"/>
  </r>
  <r>
    <s v="V-1007"/>
    <x v="6"/>
    <x v="0"/>
    <x v="0"/>
    <x v="1"/>
    <s v="Silla Ergonómica"/>
    <n v="12"/>
    <n v="120"/>
    <n v="1440"/>
  </r>
  <r>
    <s v="V-1008"/>
    <x v="7"/>
    <x v="1"/>
    <x v="2"/>
    <x v="0"/>
    <s v="Laptop i5"/>
    <n v="4"/>
    <n v="850"/>
    <n v="3400"/>
  </r>
  <r>
    <s v="V-1009"/>
    <x v="8"/>
    <x v="2"/>
    <x v="3"/>
    <x v="0"/>
    <s v="Teclado Mecánico"/>
    <n v="20"/>
    <n v="45"/>
    <n v="900"/>
  </r>
  <r>
    <s v="V-1010"/>
    <x v="9"/>
    <x v="0"/>
    <x v="1"/>
    <x v="2"/>
    <s v="Resma A4"/>
    <n v="100"/>
    <n v="5"/>
    <n v="500"/>
  </r>
  <r>
    <s v="V-1011"/>
    <x v="10"/>
    <x v="1"/>
    <x v="0"/>
    <x v="0"/>
    <s v="Laptop i5"/>
    <n v="2"/>
    <n v="850"/>
    <n v="1700"/>
  </r>
  <r>
    <s v="V-1012"/>
    <x v="11"/>
    <x v="2"/>
    <x v="2"/>
    <x v="1"/>
    <s v="Escritorio MDF"/>
    <n v="6"/>
    <n v="250"/>
    <n v="1500"/>
  </r>
  <r>
    <s v="V-1013"/>
    <x v="12"/>
    <x v="0"/>
    <x v="3"/>
    <x v="0"/>
    <s v="Monitor 24&quot;"/>
    <n v="7"/>
    <n v="180"/>
    <n v="1260"/>
  </r>
  <r>
    <s v="V-1014"/>
    <x v="13"/>
    <x v="1"/>
    <x v="1"/>
    <x v="1"/>
    <s v="Silla Ergonómica"/>
    <n v="10"/>
    <n v="120"/>
    <n v="1200"/>
  </r>
  <r>
    <s v="V-1015"/>
    <x v="14"/>
    <x v="2"/>
    <x v="0"/>
    <x v="2"/>
    <s v="Resma A4"/>
    <n v="80"/>
    <n v="5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41F664-D87E-4F8F-AA1A-5B37ACE467DC}" name="TablaDinámica4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1" rowHeaderCaption="Categoria">
  <location ref="A20:B24" firstHeaderRow="1" firstDataRow="1" firstDataCol="1"/>
  <pivotFields count="11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Total Facturado" fld="8" showDataAs="percentOfTotal" baseField="4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68" name="Fecha">
      <autoFilter ref="A1">
        <filterColumn colId="0">
          <customFilters and="1">
            <customFilter operator="greaterThanOrEqual" val="4593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0CE55-EC4A-46BB-A14D-89AF867EE062}" name="TablaDinámica3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rowHeaderCaption="Region">
  <location ref="A10:I16" firstHeaderRow="1" firstDataRow="3" firstDataCol="1"/>
  <pivotFields count="11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4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Promedio de Precio_Unitario" fld="7" subtotal="average" baseField="2" baseItem="0"/>
    <dataField name="Suma de Unidades" fld="6" baseField="2" baseItem="0"/>
  </dataFields>
  <pivotTableStyleInfo name="PivotStyleLight16" showRowHeaders="1" showColHeaders="1" showRowStripes="0" showColStripes="0" showLastColumn="1"/>
  <filters count="1">
    <filter fld="1" type="dateBetween" evalOrder="-1" id="68" name="Fecha">
      <autoFilter ref="A1">
        <filterColumn colId="0">
          <customFilters and="1">
            <customFilter operator="greaterThanOrEqual" val="4593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13682-8880-44AC-9EE9-CC14F4237AC9}" name="TablaDinámica2" cacheId="0" applyNumberFormats="0" applyBorderFormats="0" applyFontFormats="0" applyPatternFormats="0" applyAlignmentFormats="0" applyWidthHeightFormats="1" dataCaption="Valores" updatedVersion="6" minRefreshableVersion="5" useAutoFormatting="1" itemPrintTitles="1" createdVersion="8" indent="0" outline="1" outlineData="1" multipleFieldFilters="0" chartFormat="1" rowHeaderCaption="Vendedores">
  <location ref="A1:E6" firstHeaderRow="0" firstDataRow="1" firstDataCol="1"/>
  <pivotFields count="11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>
      <items count="4">
        <item x="2"/>
        <item x="0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dataField="1" showAll="0"/>
    <pivotField dataField="1" dragToRow="0" dragToCol="0" dragToPage="0" showAll="0" defaultSubtota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Unidades" fld="6" baseField="0" baseItem="0"/>
    <dataField name="Suma de Total Facturado" fld="8" baseField="3" baseItem="0" numFmtId="164"/>
    <dataField name="Suma de Monto IVA" fld="9" baseField="3" baseItem="0" numFmtId="164"/>
    <dataField name="Suma de Total con IVA" fld="10" baseField="3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dateBetween" evalOrder="-1" id="68" name="Fecha">
      <autoFilter ref="A1">
        <filterColumn colId="0">
          <customFilters and="1">
            <customFilter operator="greaterThanOrEqual" val="45931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2744ABDF-A9F4-4B17-84AC-B9F74AF277E6}" sourceName="Región">
  <pivotTables>
    <pivotTable tabId="3" name="TablaDinámica2"/>
    <pivotTable tabId="3" name="TablaDinámica3"/>
    <pivotTable tabId="3" name="TablaDinámica4"/>
  </pivotTables>
  <data>
    <tabular pivotCacheId="360162640">
      <items count="3">
        <i x="2" s="1"/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" xr10:uid="{0250E7F4-A3E7-4A08-BBFE-69DE77390C7D}" sourceName="Categoría">
  <pivotTables>
    <pivotTable tabId="3" name="TablaDinámica2"/>
    <pivotTable tabId="3" name="TablaDinámica3"/>
    <pivotTable tabId="3" name="TablaDinámica4"/>
  </pivotTables>
  <data>
    <tabular pivotCacheId="36016264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ón" xr10:uid="{A69D215E-AAFA-4D1B-8700-650178C81E6A}" cache="SegmentaciónDeDatos_Región" caption="Región" rowHeight="257175"/>
  <slicer name="Categoría" xr10:uid="{9D36EAC2-6B3B-4260-BFC3-9FD68D561D25}" cache="SegmentaciónDeDatos_Categoría" caption="Categoría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CC46E5-985B-4B92-85F0-3C3FBF761379}" name="TablaVentas" displayName="TablaVentas" ref="A1:I16" totalsRowShown="0">
  <autoFilter ref="A1:I16" xr:uid="{54CC46E5-985B-4B92-85F0-3C3FBF761379}"/>
  <tableColumns count="9">
    <tableColumn id="1" xr3:uid="{45615C12-8647-4DCB-89D2-840AC386C73A}" name="ID_Venta"/>
    <tableColumn id="2" xr3:uid="{988385D6-54CA-43E2-9639-BF3B55A15382}" name="Fecha" dataDxfId="0"/>
    <tableColumn id="3" xr3:uid="{6696AEBC-165B-45F9-9C9F-27A6C657C49F}" name="Región"/>
    <tableColumn id="4" xr3:uid="{2E4BED63-A64D-49BF-AC8B-8266930EF410}" name="Vendedor"/>
    <tableColumn id="5" xr3:uid="{58212702-ADB5-418D-91C7-6CB50E63558F}" name="Categoría"/>
    <tableColumn id="6" xr3:uid="{2754841E-9FB5-47A4-83D2-635B03F98D76}" name="Producto"/>
    <tableColumn id="7" xr3:uid="{EDAED615-E842-499C-98B9-F7AC4CCFCB17}" name="Unidades"/>
    <tableColumn id="8" xr3:uid="{2664D06A-A313-442A-964A-457065F91658}" name="Precio_Unitario" dataCellStyle="Moneda"/>
    <tableColumn id="9" xr3:uid="{7B22973D-6B7F-4EC2-9F36-47A7EDEF3F10}" name="Total Facturado" dataCellStyle="Moneda">
      <calculatedColumnFormula>TablaVentas[[#This Row],[Unidades]]*TablaVentas[[#This Row],[Precio_Unitario]]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753D4F45-1248-4330-A134-58C9B4F9A338}" sourceName="Fecha">
  <pivotTables>
    <pivotTable tabId="3" name="TablaDinámica2"/>
    <pivotTable tabId="3" name="TablaDinámica3"/>
    <pivotTable tabId="3" name="TablaDinámica4"/>
  </pivotTables>
  <state minimalRefreshVersion="6" lastRefreshVersion="6" pivotCacheId="360162640" filterType="dateBetween">
    <selection startDate="2025-10-01T00:00:00" endDate="2025-12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1ACF71ED-1D69-4EA3-AF42-B373914DCF37}" cache="NativeTimeline_Fecha" caption="Fecha" level="2" selectionLevel="1" scrollPosition="2025-03-25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11/relationships/timeline" Target="../timelines/timelin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C0C6-AA0E-4F4B-A65E-BA3CB1D57A5A}">
  <dimension ref="A1:I16"/>
  <sheetViews>
    <sheetView workbookViewId="0">
      <selection activeCell="J11" sqref="J11"/>
    </sheetView>
  </sheetViews>
  <sheetFormatPr baseColWidth="10" defaultRowHeight="13.8"/>
  <cols>
    <col min="1" max="1" width="12" customWidth="1"/>
    <col min="2" max="2" width="13.296875" customWidth="1"/>
    <col min="3" max="3" width="12.09765625" customWidth="1"/>
    <col min="4" max="4" width="18.296875" customWidth="1"/>
    <col min="5" max="5" width="14.296875" customWidth="1"/>
    <col min="6" max="6" width="19.59765625" customWidth="1"/>
    <col min="7" max="7" width="13" customWidth="1"/>
    <col min="8" max="8" width="17.296875" customWidth="1"/>
    <col min="9" max="9" width="18.2968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</v>
      </c>
    </row>
    <row r="2" spans="1:9">
      <c r="A2" t="s">
        <v>8</v>
      </c>
      <c r="B2" s="1">
        <v>45935</v>
      </c>
      <c r="C2" t="s">
        <v>9</v>
      </c>
      <c r="D2" t="s">
        <v>10</v>
      </c>
      <c r="E2" t="s">
        <v>11</v>
      </c>
      <c r="F2" t="s">
        <v>12</v>
      </c>
      <c r="G2">
        <v>10</v>
      </c>
      <c r="H2" s="7">
        <v>180</v>
      </c>
      <c r="I2" s="7">
        <f>TablaVentas[[#This Row],[Unidades]]*TablaVentas[[#This Row],[Precio_Unitario]]</f>
        <v>1800</v>
      </c>
    </row>
    <row r="3" spans="1:9">
      <c r="A3" t="s">
        <v>13</v>
      </c>
      <c r="B3" s="1">
        <v>45936</v>
      </c>
      <c r="C3" t="s">
        <v>14</v>
      </c>
      <c r="D3" t="s">
        <v>15</v>
      </c>
      <c r="E3" t="s">
        <v>16</v>
      </c>
      <c r="F3" t="s">
        <v>17</v>
      </c>
      <c r="G3">
        <v>5</v>
      </c>
      <c r="H3" s="7">
        <v>120</v>
      </c>
      <c r="I3" s="7">
        <f>TablaVentas[[#This Row],[Unidades]]*TablaVentas[[#This Row],[Precio_Unitario]]</f>
        <v>600</v>
      </c>
    </row>
    <row r="4" spans="1:9">
      <c r="A4" t="s">
        <v>18</v>
      </c>
      <c r="B4" s="1">
        <v>45938</v>
      </c>
      <c r="C4" t="s">
        <v>19</v>
      </c>
      <c r="D4" t="s">
        <v>10</v>
      </c>
      <c r="E4" t="s">
        <v>11</v>
      </c>
      <c r="F4" t="s">
        <v>20</v>
      </c>
      <c r="G4">
        <v>15</v>
      </c>
      <c r="H4" s="7">
        <v>45</v>
      </c>
      <c r="I4" s="7">
        <f>TablaVentas[[#This Row],[Unidades]]*TablaVentas[[#This Row],[Precio_Unitario]]</f>
        <v>675</v>
      </c>
    </row>
    <row r="5" spans="1:9">
      <c r="A5" t="s">
        <v>21</v>
      </c>
      <c r="B5" s="1">
        <v>45942</v>
      </c>
      <c r="C5" t="s">
        <v>9</v>
      </c>
      <c r="D5" t="s">
        <v>22</v>
      </c>
      <c r="E5" t="s">
        <v>16</v>
      </c>
      <c r="F5" t="s">
        <v>23</v>
      </c>
      <c r="G5">
        <v>3</v>
      </c>
      <c r="H5" s="7">
        <v>250</v>
      </c>
      <c r="I5" s="7">
        <f>TablaVentas[[#This Row],[Unidades]]*TablaVentas[[#This Row],[Precio_Unitario]]</f>
        <v>750</v>
      </c>
    </row>
    <row r="6" spans="1:9">
      <c r="A6" t="s">
        <v>24</v>
      </c>
      <c r="B6" s="1">
        <v>45945</v>
      </c>
      <c r="C6" t="s">
        <v>14</v>
      </c>
      <c r="D6" t="s">
        <v>15</v>
      </c>
      <c r="E6" t="s">
        <v>11</v>
      </c>
      <c r="F6" t="s">
        <v>12</v>
      </c>
      <c r="G6">
        <v>8</v>
      </c>
      <c r="H6" s="7">
        <v>180</v>
      </c>
      <c r="I6" s="7">
        <f>TablaVentas[[#This Row],[Unidades]]*TablaVentas[[#This Row],[Precio_Unitario]]</f>
        <v>1440</v>
      </c>
    </row>
    <row r="7" spans="1:9">
      <c r="A7" t="s">
        <v>25</v>
      </c>
      <c r="B7" s="1">
        <v>45948</v>
      </c>
      <c r="C7" t="s">
        <v>19</v>
      </c>
      <c r="D7" t="s">
        <v>26</v>
      </c>
      <c r="E7" t="s">
        <v>27</v>
      </c>
      <c r="F7" t="s">
        <v>28</v>
      </c>
      <c r="G7">
        <v>50</v>
      </c>
      <c r="H7" s="7">
        <v>5</v>
      </c>
      <c r="I7" s="7">
        <f>TablaVentas[[#This Row],[Unidades]]*TablaVentas[[#This Row],[Precio_Unitario]]</f>
        <v>250</v>
      </c>
    </row>
    <row r="8" spans="1:9">
      <c r="A8" t="s">
        <v>29</v>
      </c>
      <c r="B8" s="1">
        <v>45952</v>
      </c>
      <c r="C8" t="s">
        <v>9</v>
      </c>
      <c r="D8" t="s">
        <v>10</v>
      </c>
      <c r="E8" t="s">
        <v>16</v>
      </c>
      <c r="F8" t="s">
        <v>17</v>
      </c>
      <c r="G8">
        <v>12</v>
      </c>
      <c r="H8" s="7">
        <v>120</v>
      </c>
      <c r="I8" s="7">
        <f>TablaVentas[[#This Row],[Unidades]]*TablaVentas[[#This Row],[Precio_Unitario]]</f>
        <v>1440</v>
      </c>
    </row>
    <row r="9" spans="1:9">
      <c r="A9" t="s">
        <v>30</v>
      </c>
      <c r="B9" s="1">
        <v>45963</v>
      </c>
      <c r="C9" t="s">
        <v>14</v>
      </c>
      <c r="D9" t="s">
        <v>22</v>
      </c>
      <c r="E9" t="s">
        <v>11</v>
      </c>
      <c r="F9" t="s">
        <v>31</v>
      </c>
      <c r="G9">
        <v>4</v>
      </c>
      <c r="H9" s="7">
        <v>850</v>
      </c>
      <c r="I9" s="7">
        <f>TablaVentas[[#This Row],[Unidades]]*TablaVentas[[#This Row],[Precio_Unitario]]</f>
        <v>3400</v>
      </c>
    </row>
    <row r="10" spans="1:9">
      <c r="A10" t="s">
        <v>32</v>
      </c>
      <c r="B10" s="1">
        <v>45966</v>
      </c>
      <c r="C10" t="s">
        <v>19</v>
      </c>
      <c r="D10" t="s">
        <v>26</v>
      </c>
      <c r="E10" t="s">
        <v>11</v>
      </c>
      <c r="F10" t="s">
        <v>20</v>
      </c>
      <c r="G10">
        <v>20</v>
      </c>
      <c r="H10" s="7">
        <v>45</v>
      </c>
      <c r="I10" s="7">
        <f>TablaVentas[[#This Row],[Unidades]]*TablaVentas[[#This Row],[Precio_Unitario]]</f>
        <v>900</v>
      </c>
    </row>
    <row r="11" spans="1:9">
      <c r="A11" t="s">
        <v>33</v>
      </c>
      <c r="B11" s="1">
        <v>45971</v>
      </c>
      <c r="C11" t="s">
        <v>9</v>
      </c>
      <c r="D11" t="s">
        <v>15</v>
      </c>
      <c r="E11" t="s">
        <v>27</v>
      </c>
      <c r="F11" t="s">
        <v>28</v>
      </c>
      <c r="G11">
        <v>100</v>
      </c>
      <c r="H11" s="7">
        <v>5</v>
      </c>
      <c r="I11" s="7">
        <f>TablaVentas[[#This Row],[Unidades]]*TablaVentas[[#This Row],[Precio_Unitario]]</f>
        <v>500</v>
      </c>
    </row>
    <row r="12" spans="1:9">
      <c r="A12" t="s">
        <v>34</v>
      </c>
      <c r="B12" s="1">
        <v>45976</v>
      </c>
      <c r="C12" t="s">
        <v>14</v>
      </c>
      <c r="D12" t="s">
        <v>10</v>
      </c>
      <c r="E12" t="s">
        <v>11</v>
      </c>
      <c r="F12" t="s">
        <v>31</v>
      </c>
      <c r="G12">
        <v>2</v>
      </c>
      <c r="H12" s="7">
        <v>850</v>
      </c>
      <c r="I12" s="7">
        <f>TablaVentas[[#This Row],[Unidades]]*TablaVentas[[#This Row],[Precio_Unitario]]</f>
        <v>1700</v>
      </c>
    </row>
    <row r="13" spans="1:9">
      <c r="A13" t="s">
        <v>35</v>
      </c>
      <c r="B13" s="1">
        <v>45981</v>
      </c>
      <c r="C13" t="s">
        <v>19</v>
      </c>
      <c r="D13" t="s">
        <v>22</v>
      </c>
      <c r="E13" t="s">
        <v>16</v>
      </c>
      <c r="F13" t="s">
        <v>23</v>
      </c>
      <c r="G13">
        <v>6</v>
      </c>
      <c r="H13" s="7">
        <v>250</v>
      </c>
      <c r="I13" s="7">
        <f>TablaVentas[[#This Row],[Unidades]]*TablaVentas[[#This Row],[Precio_Unitario]]</f>
        <v>1500</v>
      </c>
    </row>
    <row r="14" spans="1:9">
      <c r="A14" t="s">
        <v>36</v>
      </c>
      <c r="B14" s="1">
        <v>45992</v>
      </c>
      <c r="C14" t="s">
        <v>9</v>
      </c>
      <c r="D14" t="s">
        <v>26</v>
      </c>
      <c r="E14" t="s">
        <v>11</v>
      </c>
      <c r="F14" t="s">
        <v>12</v>
      </c>
      <c r="G14">
        <v>7</v>
      </c>
      <c r="H14" s="7">
        <v>180</v>
      </c>
      <c r="I14" s="7">
        <f>TablaVentas[[#This Row],[Unidades]]*TablaVentas[[#This Row],[Precio_Unitario]]</f>
        <v>1260</v>
      </c>
    </row>
    <row r="15" spans="1:9">
      <c r="A15" t="s">
        <v>37</v>
      </c>
      <c r="B15" s="1">
        <v>45996</v>
      </c>
      <c r="C15" t="s">
        <v>14</v>
      </c>
      <c r="D15" t="s">
        <v>15</v>
      </c>
      <c r="E15" t="s">
        <v>16</v>
      </c>
      <c r="F15" t="s">
        <v>17</v>
      </c>
      <c r="G15">
        <v>10</v>
      </c>
      <c r="H15" s="7">
        <v>120</v>
      </c>
      <c r="I15" s="7">
        <f>TablaVentas[[#This Row],[Unidades]]*TablaVentas[[#This Row],[Precio_Unitario]]</f>
        <v>1200</v>
      </c>
    </row>
    <row r="16" spans="1:9">
      <c r="A16" t="s">
        <v>38</v>
      </c>
      <c r="B16" s="1">
        <v>46003</v>
      </c>
      <c r="C16" t="s">
        <v>19</v>
      </c>
      <c r="D16" t="s">
        <v>10</v>
      </c>
      <c r="E16" t="s">
        <v>27</v>
      </c>
      <c r="F16" t="s">
        <v>28</v>
      </c>
      <c r="G16">
        <v>80</v>
      </c>
      <c r="H16" s="7">
        <v>5</v>
      </c>
      <c r="I16" s="7">
        <f>TablaVentas[[#This Row],[Unidades]]*TablaVentas[[#This Row],[Precio_Unitario]]</f>
        <v>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09F8-3AD6-4FEC-B6B0-77E1FC9CA88B}">
  <dimension ref="A1:I24"/>
  <sheetViews>
    <sheetView tabSelected="1" zoomScale="90" zoomScaleNormal="90" workbookViewId="0">
      <selection activeCell="Q21" sqref="Q21"/>
    </sheetView>
  </sheetViews>
  <sheetFormatPr baseColWidth="10" defaultRowHeight="13.8"/>
  <cols>
    <col min="1" max="1" width="12.296875" bestFit="1" customWidth="1"/>
    <col min="2" max="2" width="23.09765625" bestFit="1" customWidth="1"/>
    <col min="3" max="3" width="17.3984375" bestFit="1" customWidth="1"/>
    <col min="4" max="4" width="26.296875" bestFit="1" customWidth="1"/>
    <col min="5" max="5" width="17.3984375" bestFit="1" customWidth="1"/>
    <col min="6" max="6" width="26.296875" bestFit="1" customWidth="1"/>
    <col min="7" max="7" width="17.3984375" bestFit="1" customWidth="1"/>
    <col min="8" max="8" width="31.19921875" bestFit="1" customWidth="1"/>
    <col min="9" max="9" width="22.296875" bestFit="1" customWidth="1"/>
  </cols>
  <sheetData>
    <row r="1" spans="1:9">
      <c r="A1" s="2" t="s">
        <v>49</v>
      </c>
      <c r="B1" t="s">
        <v>41</v>
      </c>
      <c r="C1" t="s">
        <v>42</v>
      </c>
      <c r="D1" t="s">
        <v>47</v>
      </c>
      <c r="E1" t="s">
        <v>48</v>
      </c>
    </row>
    <row r="2" spans="1:9">
      <c r="A2" s="3" t="s">
        <v>15</v>
      </c>
      <c r="B2" s="6">
        <v>123</v>
      </c>
      <c r="C2" s="4">
        <v>3740</v>
      </c>
      <c r="D2" s="4">
        <v>785.4</v>
      </c>
      <c r="E2" s="4">
        <v>4525.3999999999996</v>
      </c>
    </row>
    <row r="3" spans="1:9">
      <c r="A3" s="3" t="s">
        <v>10</v>
      </c>
      <c r="B3" s="6">
        <v>119</v>
      </c>
      <c r="C3" s="4">
        <v>6015</v>
      </c>
      <c r="D3" s="4">
        <v>1263.1499999999999</v>
      </c>
      <c r="E3" s="4">
        <v>7278.15</v>
      </c>
    </row>
    <row r="4" spans="1:9">
      <c r="A4" s="3" t="s">
        <v>22</v>
      </c>
      <c r="B4" s="6">
        <v>13</v>
      </c>
      <c r="C4" s="4">
        <v>5650</v>
      </c>
      <c r="D4" s="4">
        <v>1186.5</v>
      </c>
      <c r="E4" s="4">
        <v>6836.5</v>
      </c>
    </row>
    <row r="5" spans="1:9">
      <c r="A5" s="3" t="s">
        <v>26</v>
      </c>
      <c r="B5" s="6">
        <v>77</v>
      </c>
      <c r="C5" s="4">
        <v>2410</v>
      </c>
      <c r="D5" s="4">
        <v>506.09999999999997</v>
      </c>
      <c r="E5" s="4">
        <v>2916.1</v>
      </c>
    </row>
    <row r="6" spans="1:9">
      <c r="A6" s="3" t="s">
        <v>39</v>
      </c>
      <c r="B6" s="6">
        <v>332</v>
      </c>
      <c r="C6" s="4">
        <v>17815</v>
      </c>
      <c r="D6" s="4">
        <v>3741.1499999999996</v>
      </c>
      <c r="E6" s="4">
        <v>21556.15</v>
      </c>
    </row>
    <row r="10" spans="1:9">
      <c r="B10" s="2" t="s">
        <v>43</v>
      </c>
    </row>
    <row r="11" spans="1:9">
      <c r="B11" t="s">
        <v>11</v>
      </c>
      <c r="D11" t="s">
        <v>16</v>
      </c>
      <c r="F11" t="s">
        <v>27</v>
      </c>
      <c r="H11" t="s">
        <v>45</v>
      </c>
      <c r="I11" t="s">
        <v>44</v>
      </c>
    </row>
    <row r="12" spans="1:9">
      <c r="A12" s="2" t="s">
        <v>50</v>
      </c>
      <c r="B12" t="s">
        <v>46</v>
      </c>
      <c r="C12" t="s">
        <v>41</v>
      </c>
      <c r="D12" t="s">
        <v>46</v>
      </c>
      <c r="E12" t="s">
        <v>41</v>
      </c>
      <c r="F12" t="s">
        <v>46</v>
      </c>
      <c r="G12" t="s">
        <v>41</v>
      </c>
    </row>
    <row r="13" spans="1:9">
      <c r="A13" s="3" t="s">
        <v>19</v>
      </c>
      <c r="B13" s="6">
        <v>45</v>
      </c>
      <c r="C13" s="6">
        <v>35</v>
      </c>
      <c r="D13" s="6">
        <v>250</v>
      </c>
      <c r="E13" s="6">
        <v>6</v>
      </c>
      <c r="F13" s="6">
        <v>5</v>
      </c>
      <c r="G13" s="6">
        <v>130</v>
      </c>
      <c r="H13" s="6">
        <v>70</v>
      </c>
      <c r="I13" s="6">
        <v>171</v>
      </c>
    </row>
    <row r="14" spans="1:9">
      <c r="A14" s="3" t="s">
        <v>9</v>
      </c>
      <c r="B14" s="6">
        <v>180</v>
      </c>
      <c r="C14" s="6">
        <v>17</v>
      </c>
      <c r="D14" s="6">
        <v>185</v>
      </c>
      <c r="E14" s="6">
        <v>15</v>
      </c>
      <c r="F14" s="6">
        <v>5</v>
      </c>
      <c r="G14" s="6">
        <v>100</v>
      </c>
      <c r="H14" s="6">
        <v>147</v>
      </c>
      <c r="I14" s="6">
        <v>132</v>
      </c>
    </row>
    <row r="15" spans="1:9">
      <c r="A15" s="3" t="s">
        <v>14</v>
      </c>
      <c r="B15" s="6">
        <v>626.66666666666663</v>
      </c>
      <c r="C15" s="6">
        <v>14</v>
      </c>
      <c r="D15" s="6">
        <v>120</v>
      </c>
      <c r="E15" s="6">
        <v>15</v>
      </c>
      <c r="F15" s="6"/>
      <c r="G15" s="6"/>
      <c r="H15" s="6">
        <v>424</v>
      </c>
      <c r="I15" s="6">
        <v>29</v>
      </c>
    </row>
    <row r="16" spans="1:9">
      <c r="A16" s="3" t="s">
        <v>39</v>
      </c>
      <c r="B16" s="6">
        <v>332.85714285714283</v>
      </c>
      <c r="C16" s="6">
        <v>66</v>
      </c>
      <c r="D16" s="6">
        <v>172</v>
      </c>
      <c r="E16" s="6">
        <v>36</v>
      </c>
      <c r="F16" s="6">
        <v>5</v>
      </c>
      <c r="G16" s="6">
        <v>230</v>
      </c>
      <c r="H16" s="6">
        <v>213.66666666666666</v>
      </c>
      <c r="I16" s="6">
        <v>332</v>
      </c>
    </row>
    <row r="20" spans="1:2">
      <c r="A20" s="2" t="s">
        <v>51</v>
      </c>
      <c r="B20" t="s">
        <v>42</v>
      </c>
    </row>
    <row r="21" spans="1:2">
      <c r="A21" s="3" t="s">
        <v>11</v>
      </c>
      <c r="B21" s="5">
        <v>0.6272803817008139</v>
      </c>
    </row>
    <row r="22" spans="1:2">
      <c r="A22" s="3" t="s">
        <v>16</v>
      </c>
      <c r="B22" s="5">
        <v>0.30816727476845357</v>
      </c>
    </row>
    <row r="23" spans="1:2">
      <c r="A23" s="3" t="s">
        <v>27</v>
      </c>
      <c r="B23" s="5">
        <v>6.4552343530732526E-2</v>
      </c>
    </row>
    <row r="24" spans="1:2">
      <c r="A24" s="3" t="s">
        <v>39</v>
      </c>
      <c r="B24" s="5">
        <v>1</v>
      </c>
    </row>
  </sheetData>
  <pageMargins left="0.7" right="0.7" top="0.75" bottom="0.75" header="0.3" footer="0.3"/>
  <pageSetup paperSize="9" orientation="portrait" horizontalDpi="0" verticalDpi="0" r:id="rId4"/>
  <drawing r:id="rId5"/>
  <extLst>
    <ext xmlns:x14="http://schemas.microsoft.com/office/spreadsheetml/2009/9/main" uri="{A8765BA9-456A-4dab-B4F3-ACF838C121DE}">
      <x14:slicerList>
        <x14:slicer r:id="rId6"/>
      </x14:slicerList>
    </ext>
    <ext xmlns:x15="http://schemas.microsoft.com/office/spreadsheetml/2010/11/main" uri="{7E03D99C-DC04-49d9-9315-930204A7B6E9}">
      <x15:timelineRefs>
        <x15:timelineRef r:id="rId7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Base_de_Datos</vt:lpstr>
      <vt:lpstr>Dashboard_Ventas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Bolivar</dc:creator>
  <cp:lastModifiedBy>PASCALITO-08</cp:lastModifiedBy>
  <dcterms:created xsi:type="dcterms:W3CDTF">2026-10-21T01:50:25Z</dcterms:created>
  <dcterms:modified xsi:type="dcterms:W3CDTF">2026-10-28T00:55:14Z</dcterms:modified>
</cp:coreProperties>
</file>